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Hunar\Downloads\"/>
    </mc:Choice>
  </mc:AlternateContent>
  <xr:revisionPtr revIDLastSave="0" documentId="13_ncr:1_{5F0B790A-3AD9-4516-91F8-C13897EA5242}" xr6:coauthVersionLast="47" xr6:coauthVersionMax="47" xr10:uidLastSave="{00000000-0000-0000-0000-000000000000}"/>
  <bookViews>
    <workbookView xWindow="-108" yWindow="-108" windowWidth="23256" windowHeight="12576" activeTab="2" xr2:uid="{12904215-0054-4D36-B25E-D56DCDF62678}"/>
  </bookViews>
  <sheets>
    <sheet name="DATA" sheetId="1" r:id="rId1"/>
    <sheet name="PIVOT TABLE" sheetId="4" r:id="rId2"/>
    <sheet name="DASHBOARDS" sheetId="3" r:id="rId3"/>
  </sheets>
  <definedNames>
    <definedName name="_xlchart.v5.0" hidden="1">'PIVOT TABLE'!$R$8</definedName>
    <definedName name="_xlchart.v5.1" hidden="1">'PIVOT TABLE'!$R$9:$R$24</definedName>
    <definedName name="_xlchart.v5.2" hidden="1">'PIVOT TABLE'!$S$8</definedName>
    <definedName name="_xlchart.v5.3" hidden="1">'PIVOT TABLE'!$S$9:$S$24</definedName>
    <definedName name="Slicer_Country">#N/A</definedName>
    <definedName name="Slicer_Product_Category">#N/A</definedName>
    <definedName name="Slicer_QUART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9" i="4" l="1"/>
  <c r="S10" i="4"/>
  <c r="S11" i="4"/>
  <c r="S12" i="4"/>
  <c r="S13" i="4"/>
  <c r="S14" i="4"/>
  <c r="S15" i="4"/>
  <c r="S16" i="4"/>
  <c r="S17" i="4"/>
  <c r="S18" i="4"/>
  <c r="S19" i="4"/>
  <c r="S20" i="4"/>
  <c r="S21" i="4"/>
  <c r="S22" i="4"/>
  <c r="S23" i="4"/>
  <c r="S24" i="4"/>
  <c r="S8" i="4"/>
  <c r="R9" i="4"/>
  <c r="R10" i="4"/>
  <c r="R11" i="4"/>
  <c r="R12" i="4"/>
  <c r="R13" i="4"/>
  <c r="R14" i="4"/>
  <c r="R15" i="4"/>
  <c r="R16" i="4"/>
  <c r="R17" i="4"/>
  <c r="R18" i="4"/>
  <c r="R19" i="4"/>
  <c r="R20" i="4"/>
  <c r="R21" i="4"/>
  <c r="R22" i="4"/>
  <c r="R23" i="4"/>
  <c r="R24" i="4"/>
  <c r="R8" i="4"/>
  <c r="Q2" i="1"/>
  <c r="R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2" i="1"/>
  <c r="E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2" i="1"/>
  <c r="C2" i="1"/>
  <c r="E382" i="1"/>
  <c r="E355" i="1"/>
  <c r="E112" i="1"/>
  <c r="E266" i="1"/>
  <c r="E84" i="1"/>
  <c r="E140" i="1"/>
  <c r="E198" i="1"/>
  <c r="E484" i="1"/>
  <c r="E448" i="1"/>
  <c r="E191" i="1"/>
  <c r="E451" i="1"/>
  <c r="E411" i="1"/>
  <c r="E38" i="1"/>
  <c r="E422" i="1"/>
  <c r="E373" i="1"/>
  <c r="E185" i="1"/>
  <c r="E369" i="1"/>
  <c r="E171" i="1"/>
  <c r="E371" i="1"/>
  <c r="E380" i="1"/>
  <c r="E177" i="1"/>
  <c r="E159" i="1"/>
  <c r="E359" i="1"/>
  <c r="E333" i="1"/>
  <c r="E289" i="1"/>
  <c r="E178" i="1"/>
  <c r="E327" i="1"/>
  <c r="E167" i="1"/>
  <c r="E267" i="1"/>
  <c r="E136" i="1"/>
  <c r="E412" i="1"/>
  <c r="E46" i="1"/>
  <c r="E56" i="1"/>
  <c r="E186" i="1"/>
  <c r="E439" i="1"/>
  <c r="E47" i="1"/>
  <c r="E461" i="1"/>
  <c r="E187" i="1"/>
  <c r="E242" i="1"/>
  <c r="E299" i="1"/>
  <c r="E313" i="1"/>
  <c r="E28" i="1"/>
  <c r="E249" i="1"/>
  <c r="E108" i="1"/>
  <c r="E473" i="1"/>
  <c r="E146" i="1"/>
  <c r="E236" i="1"/>
  <c r="E374" i="1"/>
  <c r="E77" i="1"/>
  <c r="E405" i="1"/>
  <c r="E302" i="1"/>
  <c r="E223" i="1"/>
  <c r="E469" i="1"/>
  <c r="E202" i="1"/>
  <c r="E153" i="1"/>
  <c r="E168" i="1"/>
  <c r="E433" i="1"/>
  <c r="E282" i="1"/>
  <c r="E494" i="1"/>
  <c r="E328" i="1"/>
  <c r="E334" i="1"/>
  <c r="E172" i="1"/>
  <c r="E381" i="1"/>
  <c r="E154" i="1"/>
  <c r="E149" i="1"/>
  <c r="E6" i="1"/>
  <c r="E160" i="1"/>
  <c r="E119" i="1"/>
  <c r="E452" i="1"/>
  <c r="E155" i="1"/>
  <c r="E330" i="1"/>
  <c r="E34" i="1"/>
  <c r="E335" i="1"/>
  <c r="E430" i="1"/>
  <c r="E479" i="1"/>
  <c r="E495" i="1"/>
  <c r="E257" i="1"/>
  <c r="E303" i="1"/>
  <c r="E375" i="1"/>
  <c r="E318" i="1"/>
  <c r="E131" i="1"/>
  <c r="E8" i="1"/>
  <c r="E336" i="1"/>
  <c r="E175" i="1"/>
  <c r="E499" i="1"/>
  <c r="E82" i="1"/>
  <c r="E141" i="1"/>
  <c r="E37" i="1"/>
  <c r="E399" i="1"/>
  <c r="E340" i="1"/>
  <c r="E103" i="1"/>
  <c r="E268" i="1"/>
  <c r="E69" i="1"/>
  <c r="E53" i="1"/>
  <c r="E25" i="1"/>
  <c r="E441" i="1"/>
  <c r="E50" i="1"/>
  <c r="E218" i="1"/>
  <c r="E231" i="1"/>
  <c r="E192" i="1"/>
  <c r="E307" i="1"/>
  <c r="E72" i="1"/>
  <c r="E29" i="1"/>
  <c r="E314" i="1"/>
  <c r="E345" i="1"/>
  <c r="E13" i="1"/>
  <c r="E206" i="1"/>
  <c r="E137" i="1"/>
  <c r="E201" i="1"/>
  <c r="E383" i="1"/>
  <c r="E290" i="1"/>
  <c r="E30" i="1"/>
  <c r="E95" i="1"/>
  <c r="E492" i="1"/>
  <c r="E31" i="1"/>
  <c r="E442" i="1"/>
  <c r="E40" i="1"/>
  <c r="E485" i="1"/>
  <c r="E413" i="1"/>
  <c r="E203" i="1"/>
  <c r="E180" i="1"/>
  <c r="E269" i="1"/>
  <c r="E9" i="1"/>
  <c r="E443" i="1"/>
  <c r="E309" i="1"/>
  <c r="E291" i="1"/>
  <c r="E182" i="1"/>
  <c r="E480" i="1"/>
  <c r="E258" i="1"/>
  <c r="E436" i="1"/>
  <c r="E286" i="1"/>
  <c r="E169" i="1"/>
  <c r="E109" i="1"/>
  <c r="E315" i="1"/>
  <c r="E278" i="1"/>
  <c r="E449" i="1"/>
  <c r="E384" i="1"/>
  <c r="E101" i="1"/>
  <c r="E250" i="1"/>
  <c r="E295" i="1"/>
  <c r="E354" i="1"/>
  <c r="E341" i="1"/>
  <c r="E232" i="1"/>
  <c r="E423" i="1"/>
  <c r="E458" i="1"/>
  <c r="E292" i="1"/>
  <c r="E488" i="1"/>
  <c r="E261" i="1"/>
  <c r="E470" i="1"/>
  <c r="E463" i="1"/>
  <c r="E199" i="1"/>
  <c r="E132" i="1"/>
  <c r="E464" i="1"/>
  <c r="E296" i="1"/>
  <c r="E424" i="1"/>
  <c r="E57" i="1"/>
  <c r="E158" i="1"/>
  <c r="E471" i="1"/>
  <c r="E219" i="1"/>
  <c r="E304" i="1"/>
  <c r="E279" i="1"/>
  <c r="E300" i="1"/>
  <c r="E437" i="1"/>
  <c r="E414" i="1"/>
  <c r="E123" i="1"/>
  <c r="E455" i="1"/>
  <c r="E110" i="1"/>
  <c r="E393" i="1"/>
  <c r="E220" i="1"/>
  <c r="E41" i="1"/>
  <c r="E409" i="1"/>
  <c r="E104" i="1"/>
  <c r="E179" i="1"/>
  <c r="E287" i="1"/>
  <c r="E181" i="1"/>
  <c r="E496" i="1"/>
  <c r="E237" i="1"/>
  <c r="E156" i="1"/>
  <c r="E70" i="1"/>
  <c r="E133" i="1"/>
  <c r="E434" i="1"/>
  <c r="E481" i="1"/>
  <c r="E147" i="1"/>
  <c r="E362" i="1"/>
  <c r="E64" i="1"/>
  <c r="E262" i="1"/>
  <c r="E459" i="1"/>
  <c r="E331" i="1"/>
  <c r="E431" i="1"/>
  <c r="E297" i="1"/>
  <c r="E360" i="1"/>
  <c r="E400" i="1"/>
  <c r="E332" i="1"/>
  <c r="E48" i="1"/>
  <c r="E240" i="1"/>
  <c r="E324" i="1"/>
  <c r="E224" i="1"/>
  <c r="E251" i="1"/>
  <c r="E310" i="1"/>
  <c r="E193" i="1"/>
  <c r="E210" i="1"/>
  <c r="E428" i="1"/>
  <c r="E308" i="1"/>
  <c r="E96" i="1"/>
  <c r="E271" i="1"/>
  <c r="E401" i="1"/>
  <c r="E19" i="1"/>
  <c r="E183" i="1"/>
  <c r="E91" i="1"/>
  <c r="E246" i="1"/>
  <c r="E500" i="1"/>
  <c r="E350" i="1"/>
  <c r="E62" i="1"/>
  <c r="E51" i="1"/>
  <c r="E385" i="1"/>
  <c r="E120" i="1"/>
  <c r="E143" i="1"/>
  <c r="E410" i="1"/>
  <c r="E58" i="1"/>
  <c r="E450" i="1"/>
  <c r="E489" i="1"/>
  <c r="E293" i="1"/>
  <c r="E228" i="1"/>
  <c r="E173" i="1"/>
  <c r="E207" i="1"/>
  <c r="E113" i="1"/>
  <c r="E356" i="1"/>
  <c r="E425" i="1"/>
  <c r="E188" i="1"/>
  <c r="E386" i="1"/>
  <c r="E486" i="1"/>
  <c r="E144" i="1"/>
  <c r="E363" i="1"/>
  <c r="E276" i="1"/>
  <c r="E16" i="1"/>
  <c r="E337" i="1"/>
  <c r="E487" i="1"/>
  <c r="E298" i="1"/>
  <c r="E42" i="1"/>
  <c r="E127" i="1"/>
  <c r="E344" i="1"/>
  <c r="E152" i="1"/>
  <c r="E85" i="1"/>
  <c r="E59" i="1"/>
  <c r="E497" i="1"/>
  <c r="E164" i="1"/>
  <c r="E92" i="1"/>
  <c r="E148" i="1"/>
  <c r="E32" i="1"/>
  <c r="E208" i="1"/>
  <c r="E453" i="1"/>
  <c r="E116" i="1"/>
  <c r="E475" i="1"/>
  <c r="E283" i="1"/>
  <c r="E272" i="1"/>
  <c r="E462" i="1"/>
  <c r="E490" i="1"/>
  <c r="E342" i="1"/>
  <c r="E472" i="1"/>
  <c r="E394" i="1"/>
  <c r="E234" i="1"/>
  <c r="E321" i="1"/>
  <c r="E17" i="1"/>
  <c r="E247" i="1"/>
  <c r="E288" i="1"/>
  <c r="E264" i="1"/>
  <c r="E376" i="1"/>
  <c r="E476" i="1"/>
  <c r="E138" i="1"/>
  <c r="E426" i="1"/>
  <c r="E311" i="1"/>
  <c r="E406" i="1"/>
  <c r="E213" i="1"/>
  <c r="E351" i="1"/>
  <c r="E214" i="1"/>
  <c r="E97" i="1"/>
  <c r="E176" i="1"/>
  <c r="E377" i="1"/>
  <c r="E139" i="1"/>
  <c r="E83" i="1"/>
  <c r="E270" i="1"/>
  <c r="E71" i="1"/>
  <c r="E161" i="1"/>
  <c r="E162" i="1"/>
  <c r="E124" i="1"/>
  <c r="E26" i="1"/>
  <c r="E105" i="1"/>
  <c r="E346" i="1"/>
  <c r="E204" i="1"/>
  <c r="E142" i="1"/>
  <c r="E395" i="1"/>
  <c r="E284" i="1"/>
  <c r="E125" i="1"/>
  <c r="E157" i="1"/>
  <c r="E226" i="1"/>
  <c r="E215" i="1"/>
  <c r="E93" i="1"/>
  <c r="E243" i="1"/>
  <c r="E252" i="1"/>
  <c r="E52" i="1"/>
  <c r="E274" i="1"/>
  <c r="E196" i="1"/>
  <c r="E20" i="1"/>
  <c r="E14" i="1"/>
  <c r="E364" i="1"/>
  <c r="E102" i="1"/>
  <c r="E254" i="1"/>
  <c r="E7" i="1"/>
  <c r="E305" i="1"/>
  <c r="E229" i="1"/>
  <c r="E256" i="1"/>
  <c r="E329" i="1"/>
  <c r="E444" i="1"/>
  <c r="E316" i="1"/>
  <c r="E378" i="1"/>
  <c r="E456" i="1"/>
  <c r="E357" i="1"/>
  <c r="E21" i="1"/>
  <c r="E98" i="1"/>
  <c r="E338" i="1"/>
  <c r="E79" i="1"/>
  <c r="E128" i="1"/>
  <c r="E134" i="1"/>
  <c r="E421" i="1"/>
  <c r="E73" i="1"/>
  <c r="E347" i="1"/>
  <c r="E325" i="1"/>
  <c r="E174" i="1"/>
  <c r="E427" i="1"/>
  <c r="E121" i="1"/>
  <c r="E10" i="1"/>
  <c r="E491" i="1"/>
  <c r="E209" i="1"/>
  <c r="E358" i="1"/>
  <c r="E35" i="1"/>
  <c r="E27" i="1"/>
  <c r="E415" i="1"/>
  <c r="E397" i="1"/>
  <c r="E402" i="1"/>
  <c r="E87" i="1"/>
  <c r="E99" i="1"/>
  <c r="E361" i="1"/>
  <c r="E65" i="1"/>
  <c r="E194" i="1"/>
  <c r="E39" i="1"/>
  <c r="E3" i="1"/>
  <c r="E255" i="1"/>
  <c r="E501" i="1"/>
  <c r="E88" i="1"/>
  <c r="E493" i="1"/>
  <c r="E227" i="1"/>
  <c r="E370" i="1"/>
  <c r="E106" i="1"/>
  <c r="E416" i="1"/>
  <c r="E457" i="1"/>
  <c r="E221" i="1"/>
  <c r="E273" i="1"/>
  <c r="E89" i="1"/>
  <c r="E417" i="1"/>
  <c r="E205" i="1"/>
  <c r="E60" i="1"/>
  <c r="E418" i="1"/>
  <c r="E80" i="1"/>
  <c r="E11" i="1"/>
  <c r="E195" i="1"/>
  <c r="E407" i="1"/>
  <c r="E114" i="1"/>
  <c r="E15" i="1"/>
  <c r="E387" i="1"/>
  <c r="E54" i="1"/>
  <c r="E49" i="1"/>
  <c r="E259" i="1"/>
  <c r="E260" i="1"/>
  <c r="E165" i="1"/>
  <c r="E222" i="1"/>
  <c r="E200" i="1"/>
  <c r="E61" i="1"/>
  <c r="E466" i="1"/>
  <c r="E235" i="1"/>
  <c r="E78" i="1"/>
  <c r="E379" i="1"/>
  <c r="E115" i="1"/>
  <c r="E280" i="1"/>
  <c r="E319" i="1"/>
  <c r="E43" i="1"/>
  <c r="E419" i="1"/>
  <c r="E66" i="1"/>
  <c r="E281" i="1"/>
  <c r="E197" i="1"/>
  <c r="E211" i="1"/>
  <c r="E94" i="1"/>
  <c r="E253" i="1"/>
  <c r="E230" i="1"/>
  <c r="E166" i="1"/>
  <c r="E408" i="1"/>
  <c r="E498" i="1"/>
  <c r="E225" i="1"/>
  <c r="E366" i="1"/>
  <c r="E129" i="1"/>
  <c r="E367" i="1"/>
  <c r="E233" i="1"/>
  <c r="E390" i="1"/>
  <c r="E130" i="1"/>
  <c r="E429" i="1"/>
  <c r="E55" i="1"/>
  <c r="E12" i="1"/>
  <c r="E4" i="1"/>
  <c r="E248" i="1"/>
  <c r="E212" i="1"/>
  <c r="E117" i="1"/>
  <c r="E23" i="1"/>
  <c r="E150" i="1"/>
  <c r="E68" i="1"/>
  <c r="E301" i="1"/>
  <c r="E126" i="1"/>
  <c r="E467" i="1"/>
  <c r="E135" i="1"/>
  <c r="E396" i="1"/>
  <c r="E163" i="1"/>
  <c r="E170" i="1"/>
  <c r="E403" i="1"/>
  <c r="E36" i="1"/>
  <c r="E184" i="1"/>
  <c r="E365" i="1"/>
  <c r="E398" i="1"/>
  <c r="E189" i="1"/>
  <c r="E100" i="1"/>
  <c r="E339" i="1"/>
  <c r="E348" i="1"/>
  <c r="E294" i="1"/>
  <c r="E263" i="1"/>
  <c r="E368" i="1"/>
  <c r="E322" i="1"/>
  <c r="E86" i="1"/>
  <c r="E420" i="1"/>
  <c r="E24" i="1"/>
  <c r="E151" i="1"/>
  <c r="E90" i="1"/>
  <c r="E265" i="1"/>
  <c r="E74" i="1"/>
  <c r="E45" i="1"/>
  <c r="E107" i="1"/>
  <c r="E22" i="1"/>
  <c r="E404" i="1"/>
  <c r="E216" i="1"/>
  <c r="E391" i="1"/>
  <c r="E238" i="1"/>
  <c r="E445" i="1"/>
  <c r="E217" i="1"/>
  <c r="E326" i="1"/>
  <c r="E446" i="1"/>
  <c r="E63" i="1"/>
  <c r="E33" i="1"/>
  <c r="E482" i="1"/>
  <c r="E75" i="1"/>
  <c r="E323" i="1"/>
  <c r="E122" i="1"/>
  <c r="E18" i="1"/>
  <c r="E440" i="1"/>
  <c r="E81" i="1"/>
  <c r="E111" i="1"/>
  <c r="E432" i="1"/>
  <c r="E145" i="1"/>
  <c r="E118" i="1"/>
  <c r="E5" i="1"/>
  <c r="E67" i="1"/>
  <c r="E190" i="1"/>
  <c r="E483" i="1"/>
  <c r="E468" i="1"/>
  <c r="E244" i="1"/>
  <c r="E343" i="1"/>
  <c r="E76" i="1"/>
  <c r="E435" i="1"/>
  <c r="E312" i="1"/>
  <c r="E241" i="1"/>
  <c r="E389" i="1"/>
  <c r="E349" i="1"/>
  <c r="E454" i="1"/>
  <c r="E353" i="1"/>
  <c r="E285" i="1"/>
  <c r="E392" i="1"/>
  <c r="E239" i="1"/>
  <c r="E245" i="1"/>
  <c r="E352" i="1"/>
  <c r="E277" i="1"/>
  <c r="E477" i="1"/>
  <c r="E306" i="1"/>
  <c r="E465" i="1"/>
  <c r="E320" i="1"/>
  <c r="E388" i="1"/>
  <c r="E460" i="1"/>
  <c r="E372" i="1"/>
  <c r="E474" i="1"/>
  <c r="E44" i="1"/>
  <c r="E478" i="1"/>
  <c r="E275" i="1"/>
  <c r="E438" i="1"/>
  <c r="E317" i="1"/>
  <c r="E447" i="1"/>
  <c r="C447" i="1"/>
  <c r="C382" i="1"/>
  <c r="C355" i="1"/>
  <c r="C112" i="1"/>
  <c r="C266" i="1"/>
  <c r="C84" i="1"/>
  <c r="C140" i="1"/>
  <c r="C198" i="1"/>
  <c r="C484" i="1"/>
  <c r="C448" i="1"/>
  <c r="C191" i="1"/>
  <c r="C451" i="1"/>
  <c r="C411" i="1"/>
  <c r="C38" i="1"/>
  <c r="C422" i="1"/>
  <c r="C373" i="1"/>
  <c r="C185" i="1"/>
  <c r="C369" i="1"/>
  <c r="C171" i="1"/>
  <c r="C371" i="1"/>
  <c r="C380" i="1"/>
  <c r="C177" i="1"/>
  <c r="C159" i="1"/>
  <c r="C359" i="1"/>
  <c r="C333" i="1"/>
  <c r="C289" i="1"/>
  <c r="C178" i="1"/>
  <c r="C327" i="1"/>
  <c r="C167" i="1"/>
  <c r="C267" i="1"/>
  <c r="C136" i="1"/>
  <c r="C412" i="1"/>
  <c r="C46" i="1"/>
  <c r="C56" i="1"/>
  <c r="C186" i="1"/>
  <c r="C439" i="1"/>
  <c r="C47" i="1"/>
  <c r="C461" i="1"/>
  <c r="C187" i="1"/>
  <c r="C242" i="1"/>
  <c r="C299" i="1"/>
  <c r="C313" i="1"/>
  <c r="C28" i="1"/>
  <c r="C249" i="1"/>
  <c r="C108" i="1"/>
  <c r="C473" i="1"/>
  <c r="C146" i="1"/>
  <c r="C236" i="1"/>
  <c r="C374" i="1"/>
  <c r="C77" i="1"/>
  <c r="C405" i="1"/>
  <c r="C302" i="1"/>
  <c r="C223" i="1"/>
  <c r="C469" i="1"/>
  <c r="C202" i="1"/>
  <c r="C153" i="1"/>
  <c r="C168" i="1"/>
  <c r="C433" i="1"/>
  <c r="C282" i="1"/>
  <c r="C494" i="1"/>
  <c r="C328" i="1"/>
  <c r="C334" i="1"/>
  <c r="C172" i="1"/>
  <c r="C381" i="1"/>
  <c r="C154" i="1"/>
  <c r="C149" i="1"/>
  <c r="C6" i="1"/>
  <c r="C160" i="1"/>
  <c r="C119" i="1"/>
  <c r="C452" i="1"/>
  <c r="C155" i="1"/>
  <c r="C330" i="1"/>
  <c r="C34" i="1"/>
  <c r="C335" i="1"/>
  <c r="C430" i="1"/>
  <c r="C479" i="1"/>
  <c r="C495" i="1"/>
  <c r="C257" i="1"/>
  <c r="C303" i="1"/>
  <c r="C375" i="1"/>
  <c r="C318" i="1"/>
  <c r="C131" i="1"/>
  <c r="C8" i="1"/>
  <c r="C336" i="1"/>
  <c r="C175" i="1"/>
  <c r="C499" i="1"/>
  <c r="C82" i="1"/>
  <c r="C141" i="1"/>
  <c r="C37" i="1"/>
  <c r="C399" i="1"/>
  <c r="C340" i="1"/>
  <c r="C103" i="1"/>
  <c r="C268" i="1"/>
  <c r="C69" i="1"/>
  <c r="C53" i="1"/>
  <c r="C25" i="1"/>
  <c r="C441" i="1"/>
  <c r="C50" i="1"/>
  <c r="C218" i="1"/>
  <c r="C231" i="1"/>
  <c r="C192" i="1"/>
  <c r="C307" i="1"/>
  <c r="C72" i="1"/>
  <c r="C29" i="1"/>
  <c r="C314" i="1"/>
  <c r="C345" i="1"/>
  <c r="C13" i="1"/>
  <c r="C206" i="1"/>
  <c r="C137" i="1"/>
  <c r="C201" i="1"/>
  <c r="C383" i="1"/>
  <c r="C290" i="1"/>
  <c r="C30" i="1"/>
  <c r="C95" i="1"/>
  <c r="C492" i="1"/>
  <c r="C31" i="1"/>
  <c r="C442" i="1"/>
  <c r="C40" i="1"/>
  <c r="C485" i="1"/>
  <c r="C413" i="1"/>
  <c r="C203" i="1"/>
  <c r="C180" i="1"/>
  <c r="C269" i="1"/>
  <c r="C9" i="1"/>
  <c r="C443" i="1"/>
  <c r="C309" i="1"/>
  <c r="C291" i="1"/>
  <c r="C182" i="1"/>
  <c r="C480" i="1"/>
  <c r="C258" i="1"/>
  <c r="C436" i="1"/>
  <c r="C286" i="1"/>
  <c r="C169" i="1"/>
  <c r="C109" i="1"/>
  <c r="C315" i="1"/>
  <c r="C278" i="1"/>
  <c r="C449" i="1"/>
  <c r="C384" i="1"/>
  <c r="C101" i="1"/>
  <c r="C250" i="1"/>
  <c r="C295" i="1"/>
  <c r="C354" i="1"/>
  <c r="C341" i="1"/>
  <c r="C232" i="1"/>
  <c r="C423" i="1"/>
  <c r="C458" i="1"/>
  <c r="C292" i="1"/>
  <c r="C488" i="1"/>
  <c r="C261" i="1"/>
  <c r="C470" i="1"/>
  <c r="C463" i="1"/>
  <c r="C199" i="1"/>
  <c r="C132" i="1"/>
  <c r="C464" i="1"/>
  <c r="C296" i="1"/>
  <c r="C424" i="1"/>
  <c r="C57" i="1"/>
  <c r="C158" i="1"/>
  <c r="C471" i="1"/>
  <c r="C219" i="1"/>
  <c r="C304" i="1"/>
  <c r="C279" i="1"/>
  <c r="C300" i="1"/>
  <c r="C437" i="1"/>
  <c r="C414" i="1"/>
  <c r="C123" i="1"/>
  <c r="C455" i="1"/>
  <c r="C110" i="1"/>
  <c r="C393" i="1"/>
  <c r="C220" i="1"/>
  <c r="C41" i="1"/>
  <c r="C409" i="1"/>
  <c r="C104" i="1"/>
  <c r="C179" i="1"/>
  <c r="C287" i="1"/>
  <c r="C181" i="1"/>
  <c r="C496" i="1"/>
  <c r="C237" i="1"/>
  <c r="C156" i="1"/>
  <c r="C70" i="1"/>
  <c r="C133" i="1"/>
  <c r="C434" i="1"/>
  <c r="C481" i="1"/>
  <c r="C147" i="1"/>
  <c r="C362" i="1"/>
  <c r="C64" i="1"/>
  <c r="C262" i="1"/>
  <c r="C459" i="1"/>
  <c r="C331" i="1"/>
  <c r="C431" i="1"/>
  <c r="C297" i="1"/>
  <c r="C360" i="1"/>
  <c r="C400" i="1"/>
  <c r="C332" i="1"/>
  <c r="C48" i="1"/>
  <c r="C240" i="1"/>
  <c r="C324" i="1"/>
  <c r="C224" i="1"/>
  <c r="C251" i="1"/>
  <c r="C310" i="1"/>
  <c r="C193" i="1"/>
  <c r="C210" i="1"/>
  <c r="C428" i="1"/>
  <c r="C308" i="1"/>
  <c r="C96" i="1"/>
  <c r="C271" i="1"/>
  <c r="C401" i="1"/>
  <c r="C19" i="1"/>
  <c r="C183" i="1"/>
  <c r="C91" i="1"/>
  <c r="C246" i="1"/>
  <c r="C500" i="1"/>
  <c r="C350" i="1"/>
  <c r="C62" i="1"/>
  <c r="C51" i="1"/>
  <c r="C385" i="1"/>
  <c r="C120" i="1"/>
  <c r="C143" i="1"/>
  <c r="C410" i="1"/>
  <c r="C58" i="1"/>
  <c r="C450" i="1"/>
  <c r="C489" i="1"/>
  <c r="C293" i="1"/>
  <c r="C228" i="1"/>
  <c r="C173" i="1"/>
  <c r="C207" i="1"/>
  <c r="C113" i="1"/>
  <c r="C356" i="1"/>
  <c r="C425" i="1"/>
  <c r="C188" i="1"/>
  <c r="C386" i="1"/>
  <c r="C486" i="1"/>
  <c r="C144" i="1"/>
  <c r="C363" i="1"/>
  <c r="C276" i="1"/>
  <c r="C16" i="1"/>
  <c r="C337" i="1"/>
  <c r="C487" i="1"/>
  <c r="C298" i="1"/>
  <c r="C42" i="1"/>
  <c r="C127" i="1"/>
  <c r="C344" i="1"/>
  <c r="C152" i="1"/>
  <c r="C85" i="1"/>
  <c r="C59" i="1"/>
  <c r="C497" i="1"/>
  <c r="C164" i="1"/>
  <c r="C92" i="1"/>
  <c r="C148" i="1"/>
  <c r="C32" i="1"/>
  <c r="C208" i="1"/>
  <c r="C453" i="1"/>
  <c r="C116" i="1"/>
  <c r="C475" i="1"/>
  <c r="C283" i="1"/>
  <c r="C272" i="1"/>
  <c r="C462" i="1"/>
  <c r="C490" i="1"/>
  <c r="C342" i="1"/>
  <c r="C472" i="1"/>
  <c r="C394" i="1"/>
  <c r="C234" i="1"/>
  <c r="C321" i="1"/>
  <c r="C17" i="1"/>
  <c r="C247" i="1"/>
  <c r="C288" i="1"/>
  <c r="C264" i="1"/>
  <c r="C376" i="1"/>
  <c r="C476" i="1"/>
  <c r="C138" i="1"/>
  <c r="C426" i="1"/>
  <c r="C311" i="1"/>
  <c r="C406" i="1"/>
  <c r="C213" i="1"/>
  <c r="C351" i="1"/>
  <c r="C214" i="1"/>
  <c r="C97" i="1"/>
  <c r="C176" i="1"/>
  <c r="C377" i="1"/>
  <c r="C139" i="1"/>
  <c r="C83" i="1"/>
  <c r="C270" i="1"/>
  <c r="C71" i="1"/>
  <c r="C161" i="1"/>
  <c r="C162" i="1"/>
  <c r="C124" i="1"/>
  <c r="C26" i="1"/>
  <c r="C105" i="1"/>
  <c r="C346" i="1"/>
  <c r="C204" i="1"/>
  <c r="C142" i="1"/>
  <c r="C395" i="1"/>
  <c r="C284" i="1"/>
  <c r="C125" i="1"/>
  <c r="C157" i="1"/>
  <c r="C226" i="1"/>
  <c r="C215" i="1"/>
  <c r="C93" i="1"/>
  <c r="C243" i="1"/>
  <c r="C252" i="1"/>
  <c r="C52" i="1"/>
  <c r="C274" i="1"/>
  <c r="C196" i="1"/>
  <c r="C20" i="1"/>
  <c r="C14" i="1"/>
  <c r="C364" i="1"/>
  <c r="C102" i="1"/>
  <c r="C254" i="1"/>
  <c r="C7" i="1"/>
  <c r="C305" i="1"/>
  <c r="C229" i="1"/>
  <c r="C256" i="1"/>
  <c r="C329" i="1"/>
  <c r="C444" i="1"/>
  <c r="C316" i="1"/>
  <c r="C378" i="1"/>
  <c r="C456" i="1"/>
  <c r="C357" i="1"/>
  <c r="C21" i="1"/>
  <c r="C98" i="1"/>
  <c r="C338" i="1"/>
  <c r="C79" i="1"/>
  <c r="C128" i="1"/>
  <c r="C134" i="1"/>
  <c r="C421" i="1"/>
  <c r="C73" i="1"/>
  <c r="C347" i="1"/>
  <c r="C325" i="1"/>
  <c r="C174" i="1"/>
  <c r="C427" i="1"/>
  <c r="C121" i="1"/>
  <c r="C10" i="1"/>
  <c r="C491" i="1"/>
  <c r="C209" i="1"/>
  <c r="C358" i="1"/>
  <c r="C35" i="1"/>
  <c r="C27" i="1"/>
  <c r="C415" i="1"/>
  <c r="C397" i="1"/>
  <c r="C402" i="1"/>
  <c r="C87" i="1"/>
  <c r="C99" i="1"/>
  <c r="C361" i="1"/>
  <c r="C65" i="1"/>
  <c r="C194" i="1"/>
  <c r="C39" i="1"/>
  <c r="C3" i="1"/>
  <c r="C255" i="1"/>
  <c r="C501" i="1"/>
  <c r="C88" i="1"/>
  <c r="C493" i="1"/>
  <c r="C227" i="1"/>
  <c r="C370" i="1"/>
  <c r="C106" i="1"/>
  <c r="C416" i="1"/>
  <c r="C457" i="1"/>
  <c r="C221" i="1"/>
  <c r="C273" i="1"/>
  <c r="C89" i="1"/>
  <c r="C417" i="1"/>
  <c r="C205" i="1"/>
  <c r="C60" i="1"/>
  <c r="C418" i="1"/>
  <c r="C80" i="1"/>
  <c r="C11" i="1"/>
  <c r="C195" i="1"/>
  <c r="C407" i="1"/>
  <c r="C114" i="1"/>
  <c r="C15" i="1"/>
  <c r="C387" i="1"/>
  <c r="C54" i="1"/>
  <c r="C49" i="1"/>
  <c r="C259" i="1"/>
  <c r="C260" i="1"/>
  <c r="C165" i="1"/>
  <c r="C222" i="1"/>
  <c r="C200" i="1"/>
  <c r="C61" i="1"/>
  <c r="C466" i="1"/>
  <c r="C235" i="1"/>
  <c r="C78" i="1"/>
  <c r="C379" i="1"/>
  <c r="C115" i="1"/>
  <c r="C280" i="1"/>
  <c r="C319" i="1"/>
  <c r="C43" i="1"/>
  <c r="C419" i="1"/>
  <c r="C66" i="1"/>
  <c r="C281" i="1"/>
  <c r="C197" i="1"/>
  <c r="C211" i="1"/>
  <c r="C94" i="1"/>
  <c r="C253" i="1"/>
  <c r="C230" i="1"/>
  <c r="C166" i="1"/>
  <c r="C408" i="1"/>
  <c r="C498" i="1"/>
  <c r="C225" i="1"/>
  <c r="C366" i="1"/>
  <c r="C129" i="1"/>
  <c r="C367" i="1"/>
  <c r="C233" i="1"/>
  <c r="C390" i="1"/>
  <c r="C130" i="1"/>
  <c r="C429" i="1"/>
  <c r="C55" i="1"/>
  <c r="C12" i="1"/>
  <c r="C4" i="1"/>
  <c r="C248" i="1"/>
  <c r="C212" i="1"/>
  <c r="C117" i="1"/>
  <c r="C23" i="1"/>
  <c r="C150" i="1"/>
  <c r="C68" i="1"/>
  <c r="C301" i="1"/>
  <c r="C126" i="1"/>
  <c r="C467" i="1"/>
  <c r="C135" i="1"/>
  <c r="C396" i="1"/>
  <c r="C163" i="1"/>
  <c r="C170" i="1"/>
  <c r="C403" i="1"/>
  <c r="C36" i="1"/>
  <c r="C184" i="1"/>
  <c r="C365" i="1"/>
  <c r="C398" i="1"/>
  <c r="C189" i="1"/>
  <c r="C100" i="1"/>
  <c r="C339" i="1"/>
  <c r="C348" i="1"/>
  <c r="C294" i="1"/>
  <c r="C263" i="1"/>
  <c r="C368" i="1"/>
  <c r="C322" i="1"/>
  <c r="C86" i="1"/>
  <c r="C420" i="1"/>
  <c r="C24" i="1"/>
  <c r="C151" i="1"/>
  <c r="C90" i="1"/>
  <c r="C265" i="1"/>
  <c r="C74" i="1"/>
  <c r="C45" i="1"/>
  <c r="C107" i="1"/>
  <c r="C22" i="1"/>
  <c r="C404" i="1"/>
  <c r="C216" i="1"/>
  <c r="C391" i="1"/>
  <c r="C238" i="1"/>
  <c r="C445" i="1"/>
  <c r="C217" i="1"/>
  <c r="C326" i="1"/>
  <c r="C446" i="1"/>
  <c r="C63" i="1"/>
  <c r="C33" i="1"/>
  <c r="C482" i="1"/>
  <c r="C75" i="1"/>
  <c r="C323" i="1"/>
  <c r="C122" i="1"/>
  <c r="C18" i="1"/>
  <c r="C440" i="1"/>
  <c r="C81" i="1"/>
  <c r="C111" i="1"/>
  <c r="C432" i="1"/>
  <c r="C145" i="1"/>
  <c r="C118" i="1"/>
  <c r="C5" i="1"/>
  <c r="C67" i="1"/>
  <c r="C190" i="1"/>
  <c r="C483" i="1"/>
  <c r="C468" i="1"/>
  <c r="C244" i="1"/>
  <c r="C343" i="1"/>
  <c r="C76" i="1"/>
  <c r="C435" i="1"/>
  <c r="C312" i="1"/>
  <c r="C241" i="1"/>
  <c r="C389" i="1"/>
  <c r="C349" i="1"/>
  <c r="C454" i="1"/>
  <c r="C353" i="1"/>
  <c r="C285" i="1"/>
  <c r="C392" i="1"/>
  <c r="C239" i="1"/>
  <c r="C245" i="1"/>
  <c r="C352" i="1"/>
  <c r="C277" i="1"/>
  <c r="C477" i="1"/>
  <c r="C306" i="1"/>
  <c r="C465" i="1"/>
  <c r="C320" i="1"/>
  <c r="C388" i="1"/>
  <c r="C460" i="1"/>
  <c r="C372" i="1"/>
  <c r="C474" i="1"/>
  <c r="C44" i="1"/>
  <c r="C478" i="1"/>
  <c r="C275" i="1"/>
  <c r="C438" i="1"/>
  <c r="C317" i="1"/>
  <c r="R317" i="1"/>
  <c r="Q317" i="1"/>
  <c r="R438" i="1"/>
  <c r="Q438" i="1"/>
  <c r="R275" i="1"/>
  <c r="Q275" i="1"/>
  <c r="R478" i="1"/>
  <c r="Q478" i="1"/>
  <c r="R44" i="1"/>
  <c r="Q44" i="1"/>
  <c r="R474" i="1"/>
  <c r="Q474" i="1"/>
  <c r="R372" i="1"/>
  <c r="Q372" i="1"/>
  <c r="R460" i="1"/>
  <c r="Q460" i="1"/>
  <c r="R388" i="1"/>
  <c r="Q388" i="1"/>
  <c r="R320" i="1"/>
  <c r="Q320" i="1"/>
  <c r="R465" i="1"/>
  <c r="Q465" i="1"/>
  <c r="R306" i="1"/>
  <c r="Q306" i="1"/>
  <c r="R477" i="1"/>
  <c r="Q477" i="1"/>
  <c r="R277" i="1"/>
  <c r="Q277" i="1"/>
  <c r="R352" i="1"/>
  <c r="Q352" i="1"/>
  <c r="R245" i="1"/>
  <c r="Q245" i="1"/>
  <c r="R239" i="1"/>
  <c r="Q239" i="1"/>
  <c r="R392" i="1"/>
  <c r="Q392" i="1"/>
  <c r="R285" i="1"/>
  <c r="Q285" i="1"/>
  <c r="R353" i="1"/>
  <c r="Q353" i="1"/>
  <c r="R454" i="1"/>
  <c r="Q454" i="1"/>
  <c r="R349" i="1"/>
  <c r="Q349" i="1"/>
  <c r="R389" i="1"/>
  <c r="Q389" i="1"/>
  <c r="R241" i="1"/>
  <c r="Q241" i="1"/>
  <c r="R312" i="1"/>
  <c r="Q312" i="1"/>
  <c r="R435" i="1"/>
  <c r="Q435" i="1"/>
  <c r="R76" i="1"/>
  <c r="Q76" i="1"/>
  <c r="R343" i="1"/>
  <c r="Q343" i="1"/>
  <c r="R244" i="1"/>
  <c r="Q244" i="1"/>
  <c r="R468" i="1"/>
  <c r="Q468" i="1"/>
  <c r="R483" i="1"/>
  <c r="Q483" i="1"/>
  <c r="R190" i="1"/>
  <c r="Q190" i="1"/>
  <c r="R67" i="1"/>
  <c r="Q67" i="1"/>
  <c r="R5" i="1"/>
  <c r="Q5" i="1"/>
  <c r="R118" i="1"/>
  <c r="Q118" i="1"/>
  <c r="R145" i="1"/>
  <c r="Q145" i="1"/>
  <c r="R432" i="1"/>
  <c r="Q432" i="1"/>
  <c r="R111" i="1"/>
  <c r="Q111" i="1"/>
  <c r="R81" i="1"/>
  <c r="Q81" i="1"/>
  <c r="R440" i="1"/>
  <c r="Q440" i="1"/>
  <c r="R18" i="1"/>
  <c r="Q18" i="1"/>
  <c r="R122" i="1"/>
  <c r="Q122" i="1"/>
  <c r="R323" i="1"/>
  <c r="Q323" i="1"/>
  <c r="R75" i="1"/>
  <c r="Q75" i="1"/>
  <c r="R482" i="1"/>
  <c r="Q482" i="1"/>
  <c r="R33" i="1"/>
  <c r="Q33" i="1"/>
  <c r="R63" i="1"/>
  <c r="Q63" i="1"/>
  <c r="R446" i="1"/>
  <c r="Q446" i="1"/>
  <c r="R326" i="1"/>
  <c r="Q326" i="1"/>
  <c r="R217" i="1"/>
  <c r="Q217" i="1"/>
  <c r="R445" i="1"/>
  <c r="Q445" i="1"/>
  <c r="R238" i="1"/>
  <c r="Q238" i="1"/>
  <c r="R391" i="1"/>
  <c r="Q391" i="1"/>
  <c r="R216" i="1"/>
  <c r="Q216" i="1"/>
  <c r="R404" i="1"/>
  <c r="Q404" i="1"/>
  <c r="R22" i="1"/>
  <c r="Q22" i="1"/>
  <c r="R107" i="1"/>
  <c r="Q107" i="1"/>
  <c r="R45" i="1"/>
  <c r="Q45" i="1"/>
  <c r="R74" i="1"/>
  <c r="Q74" i="1"/>
  <c r="R265" i="1"/>
  <c r="Q265" i="1"/>
  <c r="R90" i="1"/>
  <c r="Q90" i="1"/>
  <c r="R151" i="1"/>
  <c r="Q151" i="1"/>
  <c r="R24" i="1"/>
  <c r="Q24" i="1"/>
  <c r="R420" i="1"/>
  <c r="Q420" i="1"/>
  <c r="R86" i="1"/>
  <c r="Q86" i="1"/>
  <c r="R322" i="1"/>
  <c r="Q322" i="1"/>
  <c r="R368" i="1"/>
  <c r="Q368" i="1"/>
  <c r="R263" i="1"/>
  <c r="Q263" i="1"/>
  <c r="R294" i="1"/>
  <c r="Q294" i="1"/>
  <c r="R348" i="1"/>
  <c r="Q348" i="1"/>
  <c r="R339" i="1"/>
  <c r="Q339" i="1"/>
  <c r="R100" i="1"/>
  <c r="Q100" i="1"/>
  <c r="R189" i="1"/>
  <c r="Q189" i="1"/>
  <c r="R398" i="1"/>
  <c r="Q398" i="1"/>
  <c r="R365" i="1"/>
  <c r="Q365" i="1"/>
  <c r="R184" i="1"/>
  <c r="Q184" i="1"/>
  <c r="R36" i="1"/>
  <c r="Q36" i="1"/>
  <c r="R403" i="1"/>
  <c r="Q403" i="1"/>
  <c r="R170" i="1"/>
  <c r="Q170" i="1"/>
  <c r="R163" i="1"/>
  <c r="Q163" i="1"/>
  <c r="R396" i="1"/>
  <c r="Q396" i="1"/>
  <c r="R135" i="1"/>
  <c r="Q135" i="1"/>
  <c r="R467" i="1"/>
  <c r="Q467" i="1"/>
  <c r="R126" i="1"/>
  <c r="Q126" i="1"/>
  <c r="R301" i="1"/>
  <c r="Q301" i="1"/>
  <c r="R68" i="1"/>
  <c r="Q68" i="1"/>
  <c r="R150" i="1"/>
  <c r="Q150" i="1"/>
  <c r="R23" i="1"/>
  <c r="Q23" i="1"/>
  <c r="R117" i="1"/>
  <c r="Q117" i="1"/>
  <c r="R212" i="1"/>
  <c r="Q212" i="1"/>
  <c r="R248" i="1"/>
  <c r="Q248" i="1"/>
  <c r="R4" i="1"/>
  <c r="Q4" i="1"/>
  <c r="R12" i="1"/>
  <c r="Q12" i="1"/>
  <c r="R55" i="1"/>
  <c r="Q55" i="1"/>
  <c r="R429" i="1"/>
  <c r="Q429" i="1"/>
  <c r="R130" i="1"/>
  <c r="Q130" i="1"/>
  <c r="R390" i="1"/>
  <c r="Q390" i="1"/>
  <c r="R233" i="1"/>
  <c r="Q233" i="1"/>
  <c r="R367" i="1"/>
  <c r="Q367" i="1"/>
  <c r="R129" i="1"/>
  <c r="Q129" i="1"/>
  <c r="R366" i="1"/>
  <c r="Q366" i="1"/>
  <c r="R225" i="1"/>
  <c r="Q225" i="1"/>
  <c r="R498" i="1"/>
  <c r="Q498" i="1"/>
  <c r="R408" i="1"/>
  <c r="Q408" i="1"/>
  <c r="R166" i="1"/>
  <c r="Q166" i="1"/>
  <c r="R230" i="1"/>
  <c r="Q230" i="1"/>
  <c r="R253" i="1"/>
  <c r="Q253" i="1"/>
  <c r="R94" i="1"/>
  <c r="Q94" i="1"/>
  <c r="R211" i="1"/>
  <c r="Q211" i="1"/>
  <c r="R197" i="1"/>
  <c r="Q197" i="1"/>
  <c r="R281" i="1"/>
  <c r="Q281" i="1"/>
  <c r="R66" i="1"/>
  <c r="Q66" i="1"/>
  <c r="R419" i="1"/>
  <c r="Q419" i="1"/>
  <c r="R43" i="1"/>
  <c r="Q43" i="1"/>
  <c r="R319" i="1"/>
  <c r="Q319" i="1"/>
  <c r="R280" i="1"/>
  <c r="Q280" i="1"/>
  <c r="R115" i="1"/>
  <c r="Q115" i="1"/>
  <c r="R379" i="1"/>
  <c r="Q379" i="1"/>
  <c r="R78" i="1"/>
  <c r="Q78" i="1"/>
  <c r="R235" i="1"/>
  <c r="Q235" i="1"/>
  <c r="R466" i="1"/>
  <c r="Q466" i="1"/>
  <c r="R61" i="1"/>
  <c r="Q61" i="1"/>
  <c r="R200" i="1"/>
  <c r="Q200" i="1"/>
  <c r="R222" i="1"/>
  <c r="Q222" i="1"/>
  <c r="R165" i="1"/>
  <c r="Q165" i="1"/>
  <c r="R260" i="1"/>
  <c r="Q260" i="1"/>
  <c r="R259" i="1"/>
  <c r="Q259" i="1"/>
  <c r="R49" i="1"/>
  <c r="Q49" i="1"/>
  <c r="R54" i="1"/>
  <c r="Q54" i="1"/>
  <c r="R387" i="1"/>
  <c r="Q387" i="1"/>
  <c r="R15" i="1"/>
  <c r="Q15" i="1"/>
  <c r="R114" i="1"/>
  <c r="Q114" i="1"/>
  <c r="R407" i="1"/>
  <c r="Q407" i="1"/>
  <c r="R195" i="1"/>
  <c r="Q195" i="1"/>
  <c r="R11" i="1"/>
  <c r="Q11" i="1"/>
  <c r="R80" i="1"/>
  <c r="Q80" i="1"/>
  <c r="R418" i="1"/>
  <c r="Q418" i="1"/>
  <c r="R60" i="1"/>
  <c r="Q60" i="1"/>
  <c r="R205" i="1"/>
  <c r="Q205" i="1"/>
  <c r="R417" i="1"/>
  <c r="Q417" i="1"/>
  <c r="R89" i="1"/>
  <c r="Q89" i="1"/>
  <c r="R273" i="1"/>
  <c r="Q273" i="1"/>
  <c r="R221" i="1"/>
  <c r="Q221" i="1"/>
  <c r="R457" i="1"/>
  <c r="Q457" i="1"/>
  <c r="R416" i="1"/>
  <c r="Q416" i="1"/>
  <c r="R106" i="1"/>
  <c r="Q106" i="1"/>
  <c r="R370" i="1"/>
  <c r="Q370" i="1"/>
  <c r="R227" i="1"/>
  <c r="Q227" i="1"/>
  <c r="R493" i="1"/>
  <c r="Q493" i="1"/>
  <c r="R88" i="1"/>
  <c r="Q88" i="1"/>
  <c r="R501" i="1"/>
  <c r="Q501" i="1"/>
  <c r="R255" i="1"/>
  <c r="Q255" i="1"/>
  <c r="R3" i="1"/>
  <c r="Q3" i="1"/>
  <c r="R39" i="1"/>
  <c r="Q39" i="1"/>
  <c r="R194" i="1"/>
  <c r="Q194" i="1"/>
  <c r="R65" i="1"/>
  <c r="Q65" i="1"/>
  <c r="R361" i="1"/>
  <c r="Q361" i="1"/>
  <c r="R99" i="1"/>
  <c r="Q99" i="1"/>
  <c r="R87" i="1"/>
  <c r="Q87" i="1"/>
  <c r="R402" i="1"/>
  <c r="Q402" i="1"/>
  <c r="R397" i="1"/>
  <c r="Q397" i="1"/>
  <c r="R415" i="1"/>
  <c r="Q415" i="1"/>
  <c r="R27" i="1"/>
  <c r="Q27" i="1"/>
  <c r="R35" i="1"/>
  <c r="Q35" i="1"/>
  <c r="R358" i="1"/>
  <c r="Q358" i="1"/>
  <c r="R209" i="1"/>
  <c r="Q209" i="1"/>
  <c r="R491" i="1"/>
  <c r="Q491" i="1"/>
  <c r="R10" i="1"/>
  <c r="Q10" i="1"/>
  <c r="R121" i="1"/>
  <c r="Q121" i="1"/>
  <c r="R427" i="1"/>
  <c r="Q427" i="1"/>
  <c r="R174" i="1"/>
  <c r="Q174" i="1"/>
  <c r="R325" i="1"/>
  <c r="Q325" i="1"/>
  <c r="R347" i="1"/>
  <c r="Q347" i="1"/>
  <c r="R73" i="1"/>
  <c r="Q73" i="1"/>
  <c r="R421" i="1"/>
  <c r="Q421" i="1"/>
  <c r="R134" i="1"/>
  <c r="Q134" i="1"/>
  <c r="R128" i="1"/>
  <c r="Q128" i="1"/>
  <c r="R79" i="1"/>
  <c r="Q79" i="1"/>
  <c r="R338" i="1"/>
  <c r="Q338" i="1"/>
  <c r="R98" i="1"/>
  <c r="Q98" i="1"/>
  <c r="R21" i="1"/>
  <c r="Q21" i="1"/>
  <c r="R357" i="1"/>
  <c r="Q357" i="1"/>
  <c r="R456" i="1"/>
  <c r="Q456" i="1"/>
  <c r="R378" i="1"/>
  <c r="Q378" i="1"/>
  <c r="R316" i="1"/>
  <c r="Q316" i="1"/>
  <c r="R444" i="1"/>
  <c r="Q444" i="1"/>
  <c r="R329" i="1"/>
  <c r="Q329" i="1"/>
  <c r="R256" i="1"/>
  <c r="Q256" i="1"/>
  <c r="R229" i="1"/>
  <c r="Q229" i="1"/>
  <c r="R305" i="1"/>
  <c r="Q305" i="1"/>
  <c r="R7" i="1"/>
  <c r="Q7" i="1"/>
  <c r="R254" i="1"/>
  <c r="Q254" i="1"/>
  <c r="R102" i="1"/>
  <c r="Q102" i="1"/>
  <c r="R364" i="1"/>
  <c r="Q364" i="1"/>
  <c r="R14" i="1"/>
  <c r="Q14" i="1"/>
  <c r="R20" i="1"/>
  <c r="Q20" i="1"/>
  <c r="R196" i="1"/>
  <c r="Q196" i="1"/>
  <c r="R274" i="1"/>
  <c r="Q274" i="1"/>
  <c r="R52" i="1"/>
  <c r="Q52" i="1"/>
  <c r="R252" i="1"/>
  <c r="Q252" i="1"/>
  <c r="R243" i="1"/>
  <c r="Q243" i="1"/>
  <c r="R93" i="1"/>
  <c r="Q93" i="1"/>
  <c r="R215" i="1"/>
  <c r="Q215" i="1"/>
  <c r="R226" i="1"/>
  <c r="Q226" i="1"/>
  <c r="R157" i="1"/>
  <c r="Q157" i="1"/>
  <c r="R125" i="1"/>
  <c r="Q125" i="1"/>
  <c r="R284" i="1"/>
  <c r="Q284" i="1"/>
  <c r="R395" i="1"/>
  <c r="Q395" i="1"/>
  <c r="R142" i="1"/>
  <c r="Q142" i="1"/>
  <c r="R204" i="1"/>
  <c r="Q204" i="1"/>
  <c r="R346" i="1"/>
  <c r="Q346" i="1"/>
  <c r="R105" i="1"/>
  <c r="Q105" i="1"/>
  <c r="R26" i="1"/>
  <c r="Q26" i="1"/>
  <c r="R124" i="1"/>
  <c r="Q124" i="1"/>
  <c r="R162" i="1"/>
  <c r="Q162" i="1"/>
  <c r="R161" i="1"/>
  <c r="Q161" i="1"/>
  <c r="R71" i="1"/>
  <c r="Q71" i="1"/>
  <c r="R270" i="1"/>
  <c r="Q270" i="1"/>
  <c r="R83" i="1"/>
  <c r="Q83" i="1"/>
  <c r="R139" i="1"/>
  <c r="Q139" i="1"/>
  <c r="R377" i="1"/>
  <c r="Q377" i="1"/>
  <c r="R176" i="1"/>
  <c r="Q176" i="1"/>
  <c r="R97" i="1"/>
  <c r="Q97" i="1"/>
  <c r="R214" i="1"/>
  <c r="Q214" i="1"/>
  <c r="R351" i="1"/>
  <c r="Q351" i="1"/>
  <c r="R213" i="1"/>
  <c r="Q213" i="1"/>
  <c r="R406" i="1"/>
  <c r="Q406" i="1"/>
  <c r="R311" i="1"/>
  <c r="Q311" i="1"/>
  <c r="R426" i="1"/>
  <c r="Q426" i="1"/>
  <c r="R138" i="1"/>
  <c r="Q138" i="1"/>
  <c r="R476" i="1"/>
  <c r="Q476" i="1"/>
  <c r="R376" i="1"/>
  <c r="Q376" i="1"/>
  <c r="R264" i="1"/>
  <c r="Q264" i="1"/>
  <c r="R288" i="1"/>
  <c r="Q288" i="1"/>
  <c r="R247" i="1"/>
  <c r="Q247" i="1"/>
  <c r="R17" i="1"/>
  <c r="Q17" i="1"/>
  <c r="R321" i="1"/>
  <c r="Q321" i="1"/>
  <c r="R234" i="1"/>
  <c r="Q234" i="1"/>
  <c r="R394" i="1"/>
  <c r="Q394" i="1"/>
  <c r="R472" i="1"/>
  <c r="Q472" i="1"/>
  <c r="R342" i="1"/>
  <c r="Q342" i="1"/>
  <c r="R490" i="1"/>
  <c r="Q490" i="1"/>
  <c r="R462" i="1"/>
  <c r="Q462" i="1"/>
  <c r="R272" i="1"/>
  <c r="Q272" i="1"/>
  <c r="R283" i="1"/>
  <c r="Q283" i="1"/>
  <c r="R475" i="1"/>
  <c r="Q475" i="1"/>
  <c r="R116" i="1"/>
  <c r="Q116" i="1"/>
  <c r="R453" i="1"/>
  <c r="Q453" i="1"/>
  <c r="R208" i="1"/>
  <c r="Q208" i="1"/>
  <c r="R32" i="1"/>
  <c r="Q32" i="1"/>
  <c r="R148" i="1"/>
  <c r="Q148" i="1"/>
  <c r="R92" i="1"/>
  <c r="Q92" i="1"/>
  <c r="R164" i="1"/>
  <c r="Q164" i="1"/>
  <c r="R497" i="1"/>
  <c r="Q497" i="1"/>
  <c r="R59" i="1"/>
  <c r="Q59" i="1"/>
  <c r="R85" i="1"/>
  <c r="Q85" i="1"/>
  <c r="R152" i="1"/>
  <c r="Q152" i="1"/>
  <c r="R344" i="1"/>
  <c r="Q344" i="1"/>
  <c r="R127" i="1"/>
  <c r="Q127" i="1"/>
  <c r="R42" i="1"/>
  <c r="Q42" i="1"/>
  <c r="R298" i="1"/>
  <c r="Q298" i="1"/>
  <c r="R487" i="1"/>
  <c r="Q487" i="1"/>
  <c r="R337" i="1"/>
  <c r="Q337" i="1"/>
  <c r="R16" i="1"/>
  <c r="Q16" i="1"/>
  <c r="R276" i="1"/>
  <c r="Q276" i="1"/>
  <c r="R363" i="1"/>
  <c r="Q363" i="1"/>
  <c r="R144" i="1"/>
  <c r="Q144" i="1"/>
  <c r="R486" i="1"/>
  <c r="Q486" i="1"/>
  <c r="R386" i="1"/>
  <c r="Q386" i="1"/>
  <c r="R188" i="1"/>
  <c r="Q188" i="1"/>
  <c r="R425" i="1"/>
  <c r="Q425" i="1"/>
  <c r="R356" i="1"/>
  <c r="Q356" i="1"/>
  <c r="R113" i="1"/>
  <c r="Q113" i="1"/>
  <c r="R207" i="1"/>
  <c r="Q207" i="1"/>
  <c r="R173" i="1"/>
  <c r="Q173" i="1"/>
  <c r="R228" i="1"/>
  <c r="Q228" i="1"/>
  <c r="R293" i="1"/>
  <c r="Q293" i="1"/>
  <c r="R489" i="1"/>
  <c r="Q489" i="1"/>
  <c r="R450" i="1"/>
  <c r="Q450" i="1"/>
  <c r="R58" i="1"/>
  <c r="Q58" i="1"/>
  <c r="R410" i="1"/>
  <c r="Q410" i="1"/>
  <c r="R143" i="1"/>
  <c r="Q143" i="1"/>
  <c r="R120" i="1"/>
  <c r="Q120" i="1"/>
  <c r="R385" i="1"/>
  <c r="Q385" i="1"/>
  <c r="R51" i="1"/>
  <c r="Q51" i="1"/>
  <c r="R62" i="1"/>
  <c r="Q62" i="1"/>
  <c r="R350" i="1"/>
  <c r="Q350" i="1"/>
  <c r="R500" i="1"/>
  <c r="Q500" i="1"/>
  <c r="R246" i="1"/>
  <c r="Q246" i="1"/>
  <c r="R91" i="1"/>
  <c r="Q91" i="1"/>
  <c r="R183" i="1"/>
  <c r="Q183" i="1"/>
  <c r="R19" i="1"/>
  <c r="Q19" i="1"/>
  <c r="R401" i="1"/>
  <c r="Q401" i="1"/>
  <c r="R271" i="1"/>
  <c r="Q271" i="1"/>
  <c r="R96" i="1"/>
  <c r="Q96" i="1"/>
  <c r="R308" i="1"/>
  <c r="Q308" i="1"/>
  <c r="R428" i="1"/>
  <c r="Q428" i="1"/>
  <c r="R210" i="1"/>
  <c r="Q210" i="1"/>
  <c r="R193" i="1"/>
  <c r="Q193" i="1"/>
  <c r="R310" i="1"/>
  <c r="Q310" i="1"/>
  <c r="R251" i="1"/>
  <c r="Q251" i="1"/>
  <c r="R224" i="1"/>
  <c r="Q224" i="1"/>
  <c r="R324" i="1"/>
  <c r="Q324" i="1"/>
  <c r="R240" i="1"/>
  <c r="Q240" i="1"/>
  <c r="R48" i="1"/>
  <c r="Q48" i="1"/>
  <c r="R332" i="1"/>
  <c r="Q332" i="1"/>
  <c r="R400" i="1"/>
  <c r="Q400" i="1"/>
  <c r="R360" i="1"/>
  <c r="Q360" i="1"/>
  <c r="R297" i="1"/>
  <c r="Q297" i="1"/>
  <c r="R431" i="1"/>
  <c r="Q431" i="1"/>
  <c r="R331" i="1"/>
  <c r="Q331" i="1"/>
  <c r="R459" i="1"/>
  <c r="Q459" i="1"/>
  <c r="R262" i="1"/>
  <c r="Q262" i="1"/>
  <c r="R64" i="1"/>
  <c r="Q64" i="1"/>
  <c r="R362" i="1"/>
  <c r="Q362" i="1"/>
  <c r="R147" i="1"/>
  <c r="Q147" i="1"/>
  <c r="R481" i="1"/>
  <c r="Q481" i="1"/>
  <c r="R434" i="1"/>
  <c r="Q434" i="1"/>
  <c r="R133" i="1"/>
  <c r="Q133" i="1"/>
  <c r="R70" i="1"/>
  <c r="Q70" i="1"/>
  <c r="R156" i="1"/>
  <c r="Q156" i="1"/>
  <c r="R237" i="1"/>
  <c r="Q237" i="1"/>
  <c r="R496" i="1"/>
  <c r="Q496" i="1"/>
  <c r="R181" i="1"/>
  <c r="Q181" i="1"/>
  <c r="R287" i="1"/>
  <c r="Q287" i="1"/>
  <c r="R179" i="1"/>
  <c r="Q179" i="1"/>
  <c r="R104" i="1"/>
  <c r="Q104" i="1"/>
  <c r="R409" i="1"/>
  <c r="Q409" i="1"/>
  <c r="R41" i="1"/>
  <c r="Q41" i="1"/>
  <c r="R220" i="1"/>
  <c r="Q220" i="1"/>
  <c r="R393" i="1"/>
  <c r="Q393" i="1"/>
  <c r="R110" i="1"/>
  <c r="Q110" i="1"/>
  <c r="R455" i="1"/>
  <c r="Q455" i="1"/>
  <c r="R123" i="1"/>
  <c r="Q123" i="1"/>
  <c r="R414" i="1"/>
  <c r="Q414" i="1"/>
  <c r="R437" i="1"/>
  <c r="Q437" i="1"/>
  <c r="R300" i="1"/>
  <c r="Q300" i="1"/>
  <c r="R279" i="1"/>
  <c r="Q279" i="1"/>
  <c r="R304" i="1"/>
  <c r="Q304" i="1"/>
  <c r="R219" i="1"/>
  <c r="Q219" i="1"/>
  <c r="R471" i="1"/>
  <c r="Q471" i="1"/>
  <c r="R158" i="1"/>
  <c r="Q158" i="1"/>
  <c r="R57" i="1"/>
  <c r="Q57" i="1"/>
  <c r="R424" i="1"/>
  <c r="Q424" i="1"/>
  <c r="R296" i="1"/>
  <c r="Q296" i="1"/>
  <c r="R464" i="1"/>
  <c r="Q464" i="1"/>
  <c r="R132" i="1"/>
  <c r="Q132" i="1"/>
  <c r="R199" i="1"/>
  <c r="Q199" i="1"/>
  <c r="R463" i="1"/>
  <c r="Q463" i="1"/>
  <c r="R470" i="1"/>
  <c r="Q470" i="1"/>
  <c r="R261" i="1"/>
  <c r="Q261" i="1"/>
  <c r="R488" i="1"/>
  <c r="Q488" i="1"/>
  <c r="R292" i="1"/>
  <c r="Q292" i="1"/>
  <c r="R458" i="1"/>
  <c r="Q458" i="1"/>
  <c r="R423" i="1"/>
  <c r="Q423" i="1"/>
  <c r="R232" i="1"/>
  <c r="Q232" i="1"/>
  <c r="R341" i="1"/>
  <c r="Q341" i="1"/>
  <c r="R354" i="1"/>
  <c r="Q354" i="1"/>
  <c r="R295" i="1"/>
  <c r="Q295" i="1"/>
  <c r="R250" i="1"/>
  <c r="Q250" i="1"/>
  <c r="R101" i="1"/>
  <c r="Q101" i="1"/>
  <c r="R384" i="1"/>
  <c r="Q384" i="1"/>
  <c r="R449" i="1"/>
  <c r="Q449" i="1"/>
  <c r="R278" i="1"/>
  <c r="Q278" i="1"/>
  <c r="R315" i="1"/>
  <c r="Q315" i="1"/>
  <c r="R109" i="1"/>
  <c r="Q109" i="1"/>
  <c r="R169" i="1"/>
  <c r="Q169" i="1"/>
  <c r="R286" i="1"/>
  <c r="Q286" i="1"/>
  <c r="R436" i="1"/>
  <c r="Q436" i="1"/>
  <c r="R258" i="1"/>
  <c r="Q258" i="1"/>
  <c r="R480" i="1"/>
  <c r="Q480" i="1"/>
  <c r="R182" i="1"/>
  <c r="Q182" i="1"/>
  <c r="R291" i="1"/>
  <c r="Q291" i="1"/>
  <c r="R309" i="1"/>
  <c r="Q309" i="1"/>
  <c r="R443" i="1"/>
  <c r="Q443" i="1"/>
  <c r="R9" i="1"/>
  <c r="Q9" i="1"/>
  <c r="R269" i="1"/>
  <c r="Q269" i="1"/>
  <c r="R180" i="1"/>
  <c r="Q180" i="1"/>
  <c r="R203" i="1"/>
  <c r="Q203" i="1"/>
  <c r="R413" i="1"/>
  <c r="Q413" i="1"/>
  <c r="R485" i="1"/>
  <c r="Q485" i="1"/>
  <c r="R40" i="1"/>
  <c r="Q40" i="1"/>
  <c r="R442" i="1"/>
  <c r="Q442" i="1"/>
  <c r="R31" i="1"/>
  <c r="Q31" i="1"/>
  <c r="R492" i="1"/>
  <c r="Q492" i="1"/>
  <c r="R95" i="1"/>
  <c r="Q95" i="1"/>
  <c r="R30" i="1"/>
  <c r="Q30" i="1"/>
  <c r="R290" i="1"/>
  <c r="Q290" i="1"/>
  <c r="R383" i="1"/>
  <c r="Q383" i="1"/>
  <c r="R201" i="1"/>
  <c r="Q201" i="1"/>
  <c r="R137" i="1"/>
  <c r="Q137" i="1"/>
  <c r="R206" i="1"/>
  <c r="Q206" i="1"/>
  <c r="R13" i="1"/>
  <c r="Q13" i="1"/>
  <c r="R345" i="1"/>
  <c r="Q345" i="1"/>
  <c r="R314" i="1"/>
  <c r="Q314" i="1"/>
  <c r="R29" i="1"/>
  <c r="Q29" i="1"/>
  <c r="R72" i="1"/>
  <c r="Q72" i="1"/>
  <c r="R307" i="1"/>
  <c r="Q307" i="1"/>
  <c r="R192" i="1"/>
  <c r="Q192" i="1"/>
  <c r="R231" i="1"/>
  <c r="Q231" i="1"/>
  <c r="R218" i="1"/>
  <c r="Q218" i="1"/>
  <c r="R50" i="1"/>
  <c r="Q50" i="1"/>
  <c r="R441" i="1"/>
  <c r="Q441" i="1"/>
  <c r="R25" i="1"/>
  <c r="Q25" i="1"/>
  <c r="R53" i="1"/>
  <c r="Q53" i="1"/>
  <c r="R69" i="1"/>
  <c r="Q69" i="1"/>
  <c r="R268" i="1"/>
  <c r="Q268" i="1"/>
  <c r="R103" i="1"/>
  <c r="Q103" i="1"/>
  <c r="R340" i="1"/>
  <c r="Q340" i="1"/>
  <c r="R399" i="1"/>
  <c r="Q399" i="1"/>
  <c r="R37" i="1"/>
  <c r="Q37" i="1"/>
  <c r="R141" i="1"/>
  <c r="Q141" i="1"/>
  <c r="R82" i="1"/>
  <c r="Q82" i="1"/>
  <c r="R499" i="1"/>
  <c r="Q499" i="1"/>
  <c r="R175" i="1"/>
  <c r="Q175" i="1"/>
  <c r="R336" i="1"/>
  <c r="Q336" i="1"/>
  <c r="R8" i="1"/>
  <c r="Q8" i="1"/>
  <c r="R131" i="1"/>
  <c r="Q131" i="1"/>
  <c r="R318" i="1"/>
  <c r="Q318" i="1"/>
  <c r="R375" i="1"/>
  <c r="Q375" i="1"/>
  <c r="R303" i="1"/>
  <c r="Q303" i="1"/>
  <c r="R257" i="1"/>
  <c r="Q257" i="1"/>
  <c r="R495" i="1"/>
  <c r="Q495" i="1"/>
  <c r="R479" i="1"/>
  <c r="Q479" i="1"/>
  <c r="R430" i="1"/>
  <c r="Q430" i="1"/>
  <c r="R335" i="1"/>
  <c r="Q335" i="1"/>
  <c r="R34" i="1"/>
  <c r="Q34" i="1"/>
  <c r="R330" i="1"/>
  <c r="Q330" i="1"/>
  <c r="R155" i="1"/>
  <c r="Q155" i="1"/>
  <c r="R452" i="1"/>
  <c r="Q452" i="1"/>
  <c r="R119" i="1"/>
  <c r="Q119" i="1"/>
  <c r="R160" i="1"/>
  <c r="Q160" i="1"/>
  <c r="R6" i="1"/>
  <c r="Q6" i="1"/>
  <c r="R149" i="1"/>
  <c r="Q149" i="1"/>
  <c r="R154" i="1"/>
  <c r="Q154" i="1"/>
  <c r="R381" i="1"/>
  <c r="Q381" i="1"/>
  <c r="R172" i="1"/>
  <c r="Q172" i="1"/>
  <c r="R334" i="1"/>
  <c r="Q334" i="1"/>
  <c r="R328" i="1"/>
  <c r="Q328" i="1"/>
  <c r="R494" i="1"/>
  <c r="Q494" i="1"/>
  <c r="R282" i="1"/>
  <c r="Q282" i="1"/>
  <c r="R433" i="1"/>
  <c r="Q433" i="1"/>
  <c r="R168" i="1"/>
  <c r="Q168" i="1"/>
  <c r="R153" i="1"/>
  <c r="Q153" i="1"/>
  <c r="R202" i="1"/>
  <c r="Q202" i="1"/>
  <c r="R469" i="1"/>
  <c r="Q469" i="1"/>
  <c r="R223" i="1"/>
  <c r="Q223" i="1"/>
  <c r="R302" i="1"/>
  <c r="Q302" i="1"/>
  <c r="R405" i="1"/>
  <c r="Q405" i="1"/>
  <c r="R77" i="1"/>
  <c r="Q77" i="1"/>
  <c r="R374" i="1"/>
  <c r="Q374" i="1"/>
  <c r="R236" i="1"/>
  <c r="Q236" i="1"/>
  <c r="R146" i="1"/>
  <c r="Q146" i="1"/>
  <c r="R473" i="1"/>
  <c r="Q473" i="1"/>
  <c r="R108" i="1"/>
  <c r="Q108" i="1"/>
  <c r="R249" i="1"/>
  <c r="Q249" i="1"/>
  <c r="R28" i="1"/>
  <c r="Q28" i="1"/>
  <c r="R313" i="1"/>
  <c r="Q313" i="1"/>
  <c r="R299" i="1"/>
  <c r="Q299" i="1"/>
  <c r="R242" i="1"/>
  <c r="Q242" i="1"/>
  <c r="R187" i="1"/>
  <c r="Q187" i="1"/>
  <c r="R461" i="1"/>
  <c r="Q461" i="1"/>
  <c r="R47" i="1"/>
  <c r="Q47" i="1"/>
  <c r="R439" i="1"/>
  <c r="Q439" i="1"/>
  <c r="R186" i="1"/>
  <c r="Q186" i="1"/>
  <c r="R56" i="1"/>
  <c r="Q56" i="1"/>
  <c r="R46" i="1"/>
  <c r="Q46" i="1"/>
  <c r="R412" i="1"/>
  <c r="Q412" i="1"/>
  <c r="R136" i="1"/>
  <c r="Q136" i="1"/>
  <c r="R267" i="1"/>
  <c r="Q267" i="1"/>
  <c r="R167" i="1"/>
  <c r="Q167" i="1"/>
  <c r="R327" i="1"/>
  <c r="Q327" i="1"/>
  <c r="R178" i="1"/>
  <c r="Q178" i="1"/>
  <c r="R289" i="1"/>
  <c r="Q289" i="1"/>
  <c r="R333" i="1"/>
  <c r="Q333" i="1"/>
  <c r="R359" i="1"/>
  <c r="Q359" i="1"/>
  <c r="R159" i="1"/>
  <c r="Q159" i="1"/>
  <c r="R177" i="1"/>
  <c r="Q177" i="1"/>
  <c r="R380" i="1"/>
  <c r="Q380" i="1"/>
  <c r="R371" i="1"/>
  <c r="Q371" i="1"/>
  <c r="R171" i="1"/>
  <c r="Q171" i="1"/>
  <c r="R369" i="1"/>
  <c r="Q369" i="1"/>
  <c r="R185" i="1"/>
  <c r="Q185" i="1"/>
  <c r="R373" i="1"/>
  <c r="Q373" i="1"/>
  <c r="R422" i="1"/>
  <c r="Q422" i="1"/>
  <c r="R38" i="1"/>
  <c r="Q38" i="1"/>
  <c r="R411" i="1"/>
  <c r="Q411" i="1"/>
  <c r="R451" i="1"/>
  <c r="Q451" i="1"/>
  <c r="R191" i="1"/>
  <c r="Q191" i="1"/>
  <c r="R448" i="1"/>
  <c r="Q448" i="1"/>
  <c r="R484" i="1"/>
  <c r="Q484" i="1"/>
  <c r="R198" i="1"/>
  <c r="Q198" i="1"/>
  <c r="R140" i="1"/>
  <c r="Q140" i="1"/>
  <c r="R84" i="1"/>
  <c r="Q84" i="1"/>
  <c r="R266" i="1"/>
  <c r="Q266" i="1"/>
  <c r="R112" i="1"/>
  <c r="Q112" i="1"/>
  <c r="R355" i="1"/>
  <c r="Q355" i="1"/>
  <c r="R382" i="1"/>
  <c r="Q382" i="1"/>
  <c r="R447" i="1"/>
  <c r="Q447" i="1"/>
  <c r="F4" i="4"/>
  <c r="S112" i="1" l="1"/>
  <c r="T112" i="1" s="1"/>
  <c r="S341" i="1"/>
  <c r="T341" i="1" s="1"/>
  <c r="S292" i="1"/>
  <c r="T292" i="1" s="1"/>
  <c r="S293" i="1"/>
  <c r="T293" i="1" s="1"/>
  <c r="S321" i="1"/>
  <c r="T321" i="1" s="1"/>
  <c r="S390" i="1"/>
  <c r="T390" i="1" s="1"/>
  <c r="S396" i="1"/>
  <c r="T396" i="1" s="1"/>
  <c r="S294" i="1"/>
  <c r="T294" i="1" s="1"/>
  <c r="S90" i="1"/>
  <c r="T90" i="1" s="1"/>
  <c r="S107" i="1"/>
  <c r="T107" i="1" s="1"/>
  <c r="S44" i="1"/>
  <c r="T44" i="1" s="1"/>
  <c r="S317" i="1"/>
  <c r="T317" i="1" s="1"/>
  <c r="S448" i="1"/>
  <c r="T448" i="1" s="1"/>
  <c r="S369" i="1"/>
  <c r="T369" i="1" s="1"/>
  <c r="S177" i="1"/>
  <c r="T177" i="1" s="1"/>
  <c r="S267" i="1"/>
  <c r="T267" i="1" s="1"/>
  <c r="S469" i="1"/>
  <c r="T469" i="1" s="1"/>
  <c r="S452" i="1"/>
  <c r="T452" i="1" s="1"/>
  <c r="S335" i="1"/>
  <c r="T335" i="1" s="1"/>
  <c r="S131" i="1"/>
  <c r="T131" i="1" s="1"/>
  <c r="S499" i="1"/>
  <c r="T499" i="1" s="1"/>
  <c r="S443" i="1"/>
  <c r="T443" i="1" s="1"/>
  <c r="S480" i="1"/>
  <c r="T480" i="1" s="1"/>
  <c r="S169" i="1"/>
  <c r="T169" i="1" s="1"/>
  <c r="S449" i="1"/>
  <c r="T449" i="1" s="1"/>
  <c r="S501" i="1"/>
  <c r="T501" i="1" s="1"/>
  <c r="S370" i="1"/>
  <c r="T370" i="1" s="1"/>
  <c r="S118" i="1"/>
  <c r="T118" i="1" s="1"/>
  <c r="S483" i="1"/>
  <c r="T483" i="1" s="1"/>
  <c r="S76" i="1"/>
  <c r="T76" i="1" s="1"/>
  <c r="S389" i="1"/>
  <c r="T389" i="1" s="1"/>
  <c r="S207" i="1"/>
  <c r="T207" i="1" s="1"/>
  <c r="S188" i="1"/>
  <c r="T188" i="1" s="1"/>
  <c r="S487" i="1"/>
  <c r="T487" i="1" s="1"/>
  <c r="S344" i="1"/>
  <c r="T344" i="1" s="1"/>
  <c r="S138" i="1"/>
  <c r="T138" i="1" s="1"/>
  <c r="S274" i="1"/>
  <c r="T274" i="1" s="1"/>
  <c r="S427" i="1"/>
  <c r="T427" i="1" s="1"/>
  <c r="S415" i="1"/>
  <c r="T415" i="1" s="1"/>
  <c r="S273" i="1"/>
  <c r="T273" i="1" s="1"/>
  <c r="S60" i="1"/>
  <c r="T60" i="1" s="1"/>
  <c r="S195" i="1"/>
  <c r="T195" i="1" s="1"/>
  <c r="S387" i="1"/>
  <c r="T387" i="1" s="1"/>
  <c r="S260" i="1"/>
  <c r="T260" i="1" s="1"/>
  <c r="S61" i="1"/>
  <c r="T61" i="1" s="1"/>
  <c r="S122" i="1"/>
  <c r="T122" i="1" s="1"/>
  <c r="S111" i="1"/>
  <c r="T111" i="1" s="1"/>
  <c r="S468" i="1"/>
  <c r="T468" i="1" s="1"/>
  <c r="S261" i="1"/>
  <c r="T261" i="1" s="1"/>
  <c r="S132" i="1"/>
  <c r="T132" i="1" s="1"/>
  <c r="S285" i="1"/>
  <c r="T285" i="1" s="1"/>
  <c r="S42" i="1"/>
  <c r="T42" i="1" s="1"/>
  <c r="S417" i="1"/>
  <c r="T417" i="1" s="1"/>
  <c r="S94" i="1"/>
  <c r="T94" i="1" s="1"/>
  <c r="S408" i="1"/>
  <c r="T408" i="1" s="1"/>
  <c r="S129" i="1"/>
  <c r="T129" i="1" s="1"/>
  <c r="S4" i="1"/>
  <c r="T4" i="1" s="1"/>
  <c r="S23" i="1"/>
  <c r="T23" i="1" s="1"/>
  <c r="S126" i="1"/>
  <c r="T126" i="1" s="1"/>
  <c r="S184" i="1"/>
  <c r="T184" i="1" s="1"/>
  <c r="S263" i="1"/>
  <c r="T263" i="1" s="1"/>
  <c r="S420" i="1"/>
  <c r="T420" i="1" s="1"/>
  <c r="S75" i="1"/>
  <c r="T75" i="1" s="1"/>
  <c r="S145" i="1"/>
  <c r="T145" i="1" s="1"/>
  <c r="S241" i="1"/>
  <c r="T241" i="1" s="1"/>
  <c r="S353" i="1"/>
  <c r="T353" i="1" s="1"/>
  <c r="S245" i="1"/>
  <c r="T245" i="1" s="1"/>
  <c r="S281" i="1"/>
  <c r="T281" i="1" s="1"/>
  <c r="S422" i="1"/>
  <c r="T422" i="1" s="1"/>
  <c r="S143" i="1"/>
  <c r="T143" i="1" s="1"/>
  <c r="S403" i="1"/>
  <c r="T403" i="1" s="1"/>
  <c r="S438" i="1"/>
  <c r="T438" i="1" s="1"/>
  <c r="S96" i="1"/>
  <c r="T96" i="1" s="1"/>
  <c r="S355" i="1"/>
  <c r="T355" i="1" s="1"/>
  <c r="S140" i="1"/>
  <c r="T140" i="1" s="1"/>
  <c r="S345" i="1"/>
  <c r="T345" i="1" s="1"/>
  <c r="S384" i="1"/>
  <c r="T384" i="1" s="1"/>
  <c r="S460" i="1"/>
  <c r="T460" i="1" s="1"/>
  <c r="S275" i="1"/>
  <c r="T275" i="1" s="1"/>
  <c r="S198" i="1"/>
  <c r="T198" i="1" s="1"/>
  <c r="S359" i="1"/>
  <c r="T359" i="1" s="1"/>
  <c r="S153" i="1"/>
  <c r="T153" i="1" s="1"/>
  <c r="S375" i="1"/>
  <c r="T375" i="1" s="1"/>
  <c r="S361" i="1"/>
  <c r="T361" i="1" s="1"/>
  <c r="S225" i="1"/>
  <c r="T225" i="1" s="1"/>
  <c r="S349" i="1"/>
  <c r="T349" i="1" s="1"/>
  <c r="S392" i="1"/>
  <c r="T392" i="1" s="1"/>
  <c r="S277" i="1"/>
  <c r="T277" i="1" s="1"/>
  <c r="S484" i="1"/>
  <c r="T484" i="1" s="1"/>
  <c r="S411" i="1"/>
  <c r="T411" i="1" s="1"/>
  <c r="S185" i="1"/>
  <c r="T185" i="1" s="1"/>
  <c r="S380" i="1"/>
  <c r="T380" i="1" s="1"/>
  <c r="S299" i="1"/>
  <c r="T299" i="1" s="1"/>
  <c r="S108" i="1"/>
  <c r="T108" i="1" s="1"/>
  <c r="S374" i="1"/>
  <c r="T374" i="1" s="1"/>
  <c r="S223" i="1"/>
  <c r="T223" i="1" s="1"/>
  <c r="S34" i="1"/>
  <c r="T34" i="1" s="1"/>
  <c r="S495" i="1"/>
  <c r="T495" i="1" s="1"/>
  <c r="S37" i="1"/>
  <c r="T37" i="1" s="1"/>
  <c r="S268" i="1"/>
  <c r="T268" i="1" s="1"/>
  <c r="S192" i="1"/>
  <c r="T192" i="1" s="1"/>
  <c r="S500" i="1"/>
  <c r="T500" i="1" s="1"/>
  <c r="S58" i="1"/>
  <c r="T58" i="1" s="1"/>
  <c r="S89" i="1"/>
  <c r="T89" i="1" s="1"/>
  <c r="S418" i="1"/>
  <c r="T418" i="1" s="1"/>
  <c r="S54" i="1"/>
  <c r="T54" i="1" s="1"/>
  <c r="S165" i="1"/>
  <c r="T165" i="1" s="1"/>
  <c r="S466" i="1"/>
  <c r="T466" i="1" s="1"/>
  <c r="S115" i="1"/>
  <c r="T115" i="1" s="1"/>
  <c r="S419" i="1"/>
  <c r="T419" i="1" s="1"/>
  <c r="S272" i="1"/>
  <c r="T272" i="1" s="1"/>
  <c r="S256" i="1"/>
  <c r="T256" i="1" s="1"/>
  <c r="S412" i="1"/>
  <c r="T412" i="1" s="1"/>
  <c r="S242" i="1"/>
  <c r="T242" i="1" s="1"/>
  <c r="S249" i="1"/>
  <c r="T249" i="1" s="1"/>
  <c r="S236" i="1"/>
  <c r="T236" i="1" s="1"/>
  <c r="S302" i="1"/>
  <c r="T302" i="1" s="1"/>
  <c r="S381" i="1"/>
  <c r="T381" i="1" s="1"/>
  <c r="S330" i="1"/>
  <c r="T330" i="1" s="1"/>
  <c r="S479" i="1"/>
  <c r="T479" i="1" s="1"/>
  <c r="S141" i="1"/>
  <c r="T141" i="1" s="1"/>
  <c r="S29" i="1"/>
  <c r="T29" i="1" s="1"/>
  <c r="S91" i="1"/>
  <c r="T91" i="1" s="1"/>
  <c r="S59" i="1"/>
  <c r="T59" i="1" s="1"/>
  <c r="S476" i="1"/>
  <c r="T476" i="1" s="1"/>
  <c r="S97" i="1"/>
  <c r="T97" i="1" s="1"/>
  <c r="S52" i="1"/>
  <c r="T52" i="1" s="1"/>
  <c r="S7" i="1"/>
  <c r="T7" i="1" s="1"/>
  <c r="S457" i="1"/>
  <c r="T457" i="1" s="1"/>
  <c r="S211" i="1"/>
  <c r="T211" i="1" s="1"/>
  <c r="S151" i="1"/>
  <c r="T151" i="1" s="1"/>
  <c r="S372" i="1"/>
  <c r="T372" i="1" s="1"/>
  <c r="S49" i="1"/>
  <c r="T49" i="1" s="1"/>
  <c r="S280" i="1"/>
  <c r="T280" i="1" s="1"/>
  <c r="S482" i="1"/>
  <c r="T482" i="1" s="1"/>
  <c r="S474" i="1"/>
  <c r="T474" i="1" s="1"/>
  <c r="S167" i="1"/>
  <c r="T167" i="1" s="1"/>
  <c r="S328" i="1"/>
  <c r="T328" i="1" s="1"/>
  <c r="S206" i="1"/>
  <c r="T206" i="1" s="1"/>
  <c r="S286" i="1"/>
  <c r="T286" i="1" s="1"/>
  <c r="S110" i="1"/>
  <c r="T110" i="1" s="1"/>
  <c r="S409" i="1"/>
  <c r="T409" i="1" s="1"/>
  <c r="S70" i="1"/>
  <c r="T70" i="1" s="1"/>
  <c r="S360" i="1"/>
  <c r="T360" i="1" s="1"/>
  <c r="S240" i="1"/>
  <c r="T240" i="1" s="1"/>
  <c r="S32" i="1"/>
  <c r="T32" i="1" s="1"/>
  <c r="S209" i="1"/>
  <c r="T209" i="1" s="1"/>
  <c r="S39" i="1"/>
  <c r="T39" i="1" s="1"/>
  <c r="S88" i="1"/>
  <c r="T88" i="1" s="1"/>
  <c r="S106" i="1"/>
  <c r="T106" i="1" s="1"/>
  <c r="S259" i="1"/>
  <c r="T259" i="1" s="1"/>
  <c r="S200" i="1"/>
  <c r="T200" i="1" s="1"/>
  <c r="S312" i="1"/>
  <c r="T312" i="1" s="1"/>
  <c r="S239" i="1"/>
  <c r="T239" i="1" s="1"/>
  <c r="S121" i="1"/>
  <c r="T121" i="1" s="1"/>
  <c r="S265" i="1"/>
  <c r="T265" i="1" s="1"/>
  <c r="S22" i="1"/>
  <c r="T22" i="1" s="1"/>
  <c r="S238" i="1"/>
  <c r="T238" i="1" s="1"/>
  <c r="S446" i="1"/>
  <c r="T446" i="1" s="1"/>
  <c r="S130" i="1"/>
  <c r="T130" i="1" s="1"/>
  <c r="S388" i="1"/>
  <c r="T388" i="1" s="1"/>
  <c r="S461" i="1"/>
  <c r="T461" i="1" s="1"/>
  <c r="S136" i="1"/>
  <c r="T136" i="1" s="1"/>
  <c r="S202" i="1"/>
  <c r="T202" i="1" s="1"/>
  <c r="S172" i="1"/>
  <c r="T172" i="1" s="1"/>
  <c r="S303" i="1"/>
  <c r="T303" i="1" s="1"/>
  <c r="S8" i="1"/>
  <c r="T8" i="1" s="1"/>
  <c r="S340" i="1"/>
  <c r="T340" i="1" s="1"/>
  <c r="S53" i="1"/>
  <c r="T53" i="1" s="1"/>
  <c r="S218" i="1"/>
  <c r="T218" i="1" s="1"/>
  <c r="S414" i="1"/>
  <c r="T414" i="1" s="1"/>
  <c r="S393" i="1"/>
  <c r="T393" i="1" s="1"/>
  <c r="S486" i="1"/>
  <c r="T486" i="1" s="1"/>
  <c r="S85" i="1"/>
  <c r="T85" i="1" s="1"/>
  <c r="S92" i="1"/>
  <c r="T92" i="1" s="1"/>
  <c r="S453" i="1"/>
  <c r="T453" i="1" s="1"/>
  <c r="S17" i="1"/>
  <c r="T17" i="1" s="1"/>
  <c r="S311" i="1"/>
  <c r="T311" i="1" s="1"/>
  <c r="S105" i="1"/>
  <c r="T105" i="1" s="1"/>
  <c r="S226" i="1"/>
  <c r="T226" i="1" s="1"/>
  <c r="S98" i="1"/>
  <c r="T98" i="1" s="1"/>
  <c r="S325" i="1"/>
  <c r="T325" i="1" s="1"/>
  <c r="S10" i="1"/>
  <c r="T10" i="1" s="1"/>
  <c r="S402" i="1"/>
  <c r="T402" i="1" s="1"/>
  <c r="S367" i="1"/>
  <c r="T367" i="1" s="1"/>
  <c r="S150" i="1"/>
  <c r="T150" i="1" s="1"/>
  <c r="S306" i="1"/>
  <c r="T306" i="1" s="1"/>
  <c r="S451" i="1"/>
  <c r="T451" i="1" s="1"/>
  <c r="S373" i="1"/>
  <c r="T373" i="1" s="1"/>
  <c r="S371" i="1"/>
  <c r="T371" i="1" s="1"/>
  <c r="S187" i="1"/>
  <c r="T187" i="1" s="1"/>
  <c r="S28" i="1"/>
  <c r="T28" i="1" s="1"/>
  <c r="S146" i="1"/>
  <c r="T146" i="1" s="1"/>
  <c r="S405" i="1"/>
  <c r="T405" i="1" s="1"/>
  <c r="S334" i="1"/>
  <c r="T334" i="1" s="1"/>
  <c r="S318" i="1"/>
  <c r="T318" i="1" s="1"/>
  <c r="S175" i="1"/>
  <c r="T175" i="1" s="1"/>
  <c r="S383" i="1"/>
  <c r="T383" i="1" s="1"/>
  <c r="S269" i="1"/>
  <c r="T269" i="1" s="1"/>
  <c r="S291" i="1"/>
  <c r="T291" i="1" s="1"/>
  <c r="S436" i="1"/>
  <c r="T436" i="1" s="1"/>
  <c r="S133" i="1"/>
  <c r="T133" i="1" s="1"/>
  <c r="S362" i="1"/>
  <c r="T362" i="1" s="1"/>
  <c r="S385" i="1"/>
  <c r="T385" i="1" s="1"/>
  <c r="S228" i="1"/>
  <c r="T228" i="1" s="1"/>
  <c r="S283" i="1"/>
  <c r="T283" i="1" s="1"/>
  <c r="S234" i="1"/>
  <c r="T234" i="1" s="1"/>
  <c r="S20" i="1"/>
  <c r="T20" i="1" s="1"/>
  <c r="S254" i="1"/>
  <c r="T254" i="1" s="1"/>
  <c r="S378" i="1"/>
  <c r="T378" i="1" s="1"/>
  <c r="S347" i="1"/>
  <c r="T347" i="1" s="1"/>
  <c r="S27" i="1"/>
  <c r="T27" i="1" s="1"/>
  <c r="S65" i="1"/>
  <c r="T65" i="1" s="1"/>
  <c r="S255" i="1"/>
  <c r="T255" i="1" s="1"/>
  <c r="S227" i="1"/>
  <c r="T227" i="1" s="1"/>
  <c r="S379" i="1"/>
  <c r="T379" i="1" s="1"/>
  <c r="S197" i="1"/>
  <c r="T197" i="1" s="1"/>
  <c r="S230" i="1"/>
  <c r="T230" i="1" s="1"/>
  <c r="S348" i="1"/>
  <c r="T348" i="1" s="1"/>
  <c r="S322" i="1"/>
  <c r="T322" i="1" s="1"/>
  <c r="S67" i="1"/>
  <c r="T67" i="1" s="1"/>
  <c r="S213" i="1"/>
  <c r="T213" i="1" s="1"/>
  <c r="S270" i="1"/>
  <c r="T270" i="1" s="1"/>
  <c r="S87" i="1"/>
  <c r="T87" i="1" s="1"/>
  <c r="S477" i="1"/>
  <c r="T477" i="1" s="1"/>
  <c r="S382" i="1"/>
  <c r="T382" i="1" s="1"/>
  <c r="S84" i="1"/>
  <c r="T84" i="1" s="1"/>
  <c r="S155" i="1"/>
  <c r="T155" i="1" s="1"/>
  <c r="S430" i="1"/>
  <c r="T430" i="1" s="1"/>
  <c r="S399" i="1"/>
  <c r="T399" i="1" s="1"/>
  <c r="S50" i="1"/>
  <c r="T50" i="1" s="1"/>
  <c r="S314" i="1"/>
  <c r="T314" i="1" s="1"/>
  <c r="S488" i="1"/>
  <c r="T488" i="1" s="1"/>
  <c r="S199" i="1"/>
  <c r="T199" i="1" s="1"/>
  <c r="S424" i="1"/>
  <c r="T424" i="1" s="1"/>
  <c r="S287" i="1"/>
  <c r="T287" i="1" s="1"/>
  <c r="S156" i="1"/>
  <c r="T156" i="1" s="1"/>
  <c r="S337" i="1"/>
  <c r="T337" i="1" s="1"/>
  <c r="S26" i="1"/>
  <c r="T26" i="1" s="1"/>
  <c r="S125" i="1"/>
  <c r="T125" i="1" s="1"/>
  <c r="S358" i="1"/>
  <c r="T358" i="1" s="1"/>
  <c r="S221" i="1"/>
  <c r="T221" i="1" s="1"/>
  <c r="S80" i="1"/>
  <c r="T80" i="1" s="1"/>
  <c r="S114" i="1"/>
  <c r="T114" i="1" s="1"/>
  <c r="S235" i="1"/>
  <c r="T235" i="1" s="1"/>
  <c r="S66" i="1"/>
  <c r="T66" i="1" s="1"/>
  <c r="S166" i="1"/>
  <c r="T166" i="1" s="1"/>
  <c r="S248" i="1"/>
  <c r="T248" i="1" s="1"/>
  <c r="S45" i="1"/>
  <c r="T45" i="1" s="1"/>
  <c r="S33" i="1"/>
  <c r="T33" i="1" s="1"/>
  <c r="S205" i="1"/>
  <c r="T205" i="1" s="1"/>
  <c r="S343" i="1"/>
  <c r="T343" i="1" s="1"/>
  <c r="S72" i="1"/>
  <c r="T72" i="1" s="1"/>
  <c r="S251" i="1"/>
  <c r="T251" i="1" s="1"/>
  <c r="S428" i="1"/>
  <c r="T428" i="1" s="1"/>
  <c r="S214" i="1"/>
  <c r="T214" i="1" s="1"/>
  <c r="S139" i="1"/>
  <c r="T139" i="1" s="1"/>
  <c r="S161" i="1"/>
  <c r="T161" i="1" s="1"/>
  <c r="S157" i="1"/>
  <c r="T157" i="1" s="1"/>
  <c r="S364" i="1"/>
  <c r="T364" i="1" s="1"/>
  <c r="S444" i="1"/>
  <c r="T444" i="1" s="1"/>
  <c r="S174" i="1"/>
  <c r="T174" i="1" s="1"/>
  <c r="S11" i="1"/>
  <c r="T11" i="1" s="1"/>
  <c r="S15" i="1"/>
  <c r="T15" i="1" s="1"/>
  <c r="S78" i="1"/>
  <c r="T78" i="1" s="1"/>
  <c r="S352" i="1"/>
  <c r="T352" i="1" s="1"/>
  <c r="S191" i="1"/>
  <c r="T191" i="1" s="1"/>
  <c r="S171" i="1"/>
  <c r="T171" i="1" s="1"/>
  <c r="S159" i="1"/>
  <c r="T159" i="1" s="1"/>
  <c r="S313" i="1"/>
  <c r="T313" i="1" s="1"/>
  <c r="S77" i="1"/>
  <c r="T77" i="1" s="1"/>
  <c r="S336" i="1"/>
  <c r="T336" i="1" s="1"/>
  <c r="S82" i="1"/>
  <c r="T82" i="1" s="1"/>
  <c r="S201" i="1"/>
  <c r="T201" i="1" s="1"/>
  <c r="S180" i="1"/>
  <c r="T180" i="1" s="1"/>
  <c r="S57" i="1"/>
  <c r="T57" i="1" s="1"/>
  <c r="S19" i="1"/>
  <c r="T19" i="1" s="1"/>
  <c r="S386" i="1"/>
  <c r="T386" i="1" s="1"/>
  <c r="S21" i="1"/>
  <c r="T21" i="1" s="1"/>
  <c r="S73" i="1"/>
  <c r="T73" i="1" s="1"/>
  <c r="S491" i="1"/>
  <c r="T491" i="1" s="1"/>
  <c r="S35" i="1"/>
  <c r="T35" i="1" s="1"/>
  <c r="S3" i="1"/>
  <c r="T3" i="1" s="1"/>
  <c r="S493" i="1"/>
  <c r="T493" i="1" s="1"/>
  <c r="S253" i="1"/>
  <c r="T253" i="1" s="1"/>
  <c r="S55" i="1"/>
  <c r="T55" i="1" s="1"/>
  <c r="S365" i="1"/>
  <c r="T365" i="1" s="1"/>
  <c r="S339" i="1"/>
  <c r="T339" i="1" s="1"/>
  <c r="S368" i="1"/>
  <c r="T368" i="1" s="1"/>
  <c r="S24" i="1"/>
  <c r="T24" i="1" s="1"/>
  <c r="S432" i="1"/>
  <c r="T432" i="1" s="1"/>
  <c r="S5" i="1"/>
  <c r="T5" i="1" s="1"/>
  <c r="S478" i="1"/>
  <c r="T478" i="1" s="1"/>
  <c r="S333" i="1"/>
  <c r="T333" i="1" s="1"/>
  <c r="S186" i="1"/>
  <c r="T186" i="1" s="1"/>
  <c r="S433" i="1"/>
  <c r="T433" i="1" s="1"/>
  <c r="S160" i="1"/>
  <c r="T160" i="1" s="1"/>
  <c r="S257" i="1"/>
  <c r="T257" i="1" s="1"/>
  <c r="S471" i="1"/>
  <c r="T471" i="1" s="1"/>
  <c r="S300" i="1"/>
  <c r="T300" i="1" s="1"/>
  <c r="S331" i="1"/>
  <c r="T331" i="1" s="1"/>
  <c r="S400" i="1"/>
  <c r="T400" i="1" s="1"/>
  <c r="S301" i="1"/>
  <c r="T301" i="1" s="1"/>
  <c r="S135" i="1"/>
  <c r="T135" i="1" s="1"/>
  <c r="S100" i="1"/>
  <c r="T100" i="1" s="1"/>
  <c r="S326" i="1"/>
  <c r="T326" i="1" s="1"/>
  <c r="S323" i="1"/>
  <c r="T323" i="1" s="1"/>
  <c r="S81" i="1"/>
  <c r="T81" i="1" s="1"/>
  <c r="S2" i="1"/>
  <c r="T2" i="1" s="1"/>
  <c r="S295" i="1"/>
  <c r="T295" i="1" s="1"/>
  <c r="S423" i="1"/>
  <c r="T423" i="1" s="1"/>
  <c r="S437" i="1"/>
  <c r="T437" i="1" s="1"/>
  <c r="S455" i="1"/>
  <c r="T455" i="1" s="1"/>
  <c r="S41" i="1"/>
  <c r="T41" i="1" s="1"/>
  <c r="S324" i="1"/>
  <c r="T324" i="1" s="1"/>
  <c r="S193" i="1"/>
  <c r="T193" i="1" s="1"/>
  <c r="S183" i="1"/>
  <c r="T183" i="1" s="1"/>
  <c r="S490" i="1"/>
  <c r="T490" i="1" s="1"/>
  <c r="S204" i="1"/>
  <c r="T204" i="1" s="1"/>
  <c r="S79" i="1"/>
  <c r="T79" i="1" s="1"/>
  <c r="S397" i="1"/>
  <c r="T397" i="1" s="1"/>
  <c r="S99" i="1"/>
  <c r="T99" i="1" s="1"/>
  <c r="S194" i="1"/>
  <c r="T194" i="1" s="1"/>
  <c r="S498" i="1"/>
  <c r="T498" i="1" s="1"/>
  <c r="S86" i="1"/>
  <c r="T86" i="1" s="1"/>
  <c r="S74" i="1"/>
  <c r="T74" i="1" s="1"/>
  <c r="S404" i="1"/>
  <c r="T404" i="1" s="1"/>
  <c r="S190" i="1"/>
  <c r="T190" i="1" s="1"/>
  <c r="S244" i="1"/>
  <c r="T244" i="1" s="1"/>
  <c r="S435" i="1"/>
  <c r="T435" i="1" s="1"/>
  <c r="S289" i="1"/>
  <c r="T289" i="1" s="1"/>
  <c r="S439" i="1"/>
  <c r="T439" i="1" s="1"/>
  <c r="S473" i="1"/>
  <c r="T473" i="1" s="1"/>
  <c r="S282" i="1"/>
  <c r="T282" i="1" s="1"/>
  <c r="S154" i="1"/>
  <c r="T154" i="1" s="1"/>
  <c r="S119" i="1"/>
  <c r="T119" i="1" s="1"/>
  <c r="S481" i="1"/>
  <c r="T481" i="1" s="1"/>
  <c r="S262" i="1"/>
  <c r="T262" i="1" s="1"/>
  <c r="S363" i="1"/>
  <c r="T363" i="1" s="1"/>
  <c r="S288" i="1"/>
  <c r="T288" i="1" s="1"/>
  <c r="S93" i="1"/>
  <c r="T93" i="1" s="1"/>
  <c r="S447" i="1"/>
  <c r="T447" i="1" s="1"/>
  <c r="S38" i="1"/>
  <c r="T38" i="1" s="1"/>
  <c r="S178" i="1"/>
  <c r="T178" i="1" s="1"/>
  <c r="S46" i="1"/>
  <c r="T46" i="1" s="1"/>
  <c r="S47" i="1"/>
  <c r="T47" i="1" s="1"/>
  <c r="S494" i="1"/>
  <c r="T494" i="1" s="1"/>
  <c r="S149" i="1"/>
  <c r="T149" i="1" s="1"/>
  <c r="S25" i="1"/>
  <c r="T25" i="1" s="1"/>
  <c r="S413" i="1"/>
  <c r="T413" i="1" s="1"/>
  <c r="S9" i="1"/>
  <c r="T9" i="1" s="1"/>
  <c r="S315" i="1"/>
  <c r="T315" i="1" s="1"/>
  <c r="S101" i="1"/>
  <c r="T101" i="1" s="1"/>
  <c r="S464" i="1"/>
  <c r="T464" i="1" s="1"/>
  <c r="S304" i="1"/>
  <c r="T304" i="1" s="1"/>
  <c r="S147" i="1"/>
  <c r="T147" i="1" s="1"/>
  <c r="S459" i="1"/>
  <c r="T459" i="1" s="1"/>
  <c r="S297" i="1"/>
  <c r="T297" i="1" s="1"/>
  <c r="S48" i="1"/>
  <c r="T48" i="1" s="1"/>
  <c r="S62" i="1"/>
  <c r="T62" i="1" s="1"/>
  <c r="S450" i="1"/>
  <c r="T450" i="1" s="1"/>
  <c r="S356" i="1"/>
  <c r="T356" i="1" s="1"/>
  <c r="S298" i="1"/>
  <c r="T298" i="1" s="1"/>
  <c r="S497" i="1"/>
  <c r="T497" i="1" s="1"/>
  <c r="S116" i="1"/>
  <c r="T116" i="1" s="1"/>
  <c r="S472" i="1"/>
  <c r="T472" i="1" s="1"/>
  <c r="S426" i="1"/>
  <c r="T426" i="1" s="1"/>
  <c r="S176" i="1"/>
  <c r="T176" i="1" s="1"/>
  <c r="S162" i="1"/>
  <c r="T162" i="1" s="1"/>
  <c r="S395" i="1"/>
  <c r="T395" i="1" s="1"/>
  <c r="S196" i="1"/>
  <c r="T196" i="1" s="1"/>
  <c r="S305" i="1"/>
  <c r="T305" i="1" s="1"/>
  <c r="S456" i="1"/>
  <c r="T456" i="1" s="1"/>
  <c r="S134" i="1"/>
  <c r="T134" i="1" s="1"/>
  <c r="S416" i="1"/>
  <c r="T416" i="1" s="1"/>
  <c r="S407" i="1"/>
  <c r="T407" i="1" s="1"/>
  <c r="S319" i="1"/>
  <c r="T319" i="1" s="1"/>
  <c r="S12" i="1"/>
  <c r="T12" i="1" s="1"/>
  <c r="S212" i="1"/>
  <c r="T212" i="1" s="1"/>
  <c r="S163" i="1"/>
  <c r="T163" i="1" s="1"/>
  <c r="S36" i="1"/>
  <c r="T36" i="1" s="1"/>
  <c r="S398" i="1"/>
  <c r="T398" i="1" s="1"/>
  <c r="S216" i="1"/>
  <c r="T216" i="1" s="1"/>
  <c r="S445" i="1"/>
  <c r="T445" i="1" s="1"/>
  <c r="S63" i="1"/>
  <c r="T63" i="1" s="1"/>
  <c r="S18" i="1"/>
  <c r="T18" i="1" s="1"/>
  <c r="S454" i="1"/>
  <c r="T454" i="1" s="1"/>
  <c r="S465" i="1"/>
  <c r="T465" i="1" s="1"/>
  <c r="S266" i="1"/>
  <c r="T266" i="1" s="1"/>
  <c r="S327" i="1"/>
  <c r="T327" i="1" s="1"/>
  <c r="S56" i="1"/>
  <c r="T56" i="1" s="1"/>
  <c r="S168" i="1"/>
  <c r="T168" i="1" s="1"/>
  <c r="S6" i="1"/>
  <c r="T6" i="1" s="1"/>
  <c r="S441" i="1"/>
  <c r="T441" i="1" s="1"/>
  <c r="S203" i="1"/>
  <c r="T203" i="1" s="1"/>
  <c r="S278" i="1"/>
  <c r="T278" i="1" s="1"/>
  <c r="S250" i="1"/>
  <c r="T250" i="1" s="1"/>
  <c r="S463" i="1"/>
  <c r="T463" i="1" s="1"/>
  <c r="S296" i="1"/>
  <c r="T296" i="1" s="1"/>
  <c r="S220" i="1"/>
  <c r="T220" i="1" s="1"/>
  <c r="S104" i="1"/>
  <c r="T104" i="1" s="1"/>
  <c r="S496" i="1"/>
  <c r="T496" i="1" s="1"/>
  <c r="S310" i="1"/>
  <c r="T310" i="1" s="1"/>
  <c r="S308" i="1"/>
  <c r="T308" i="1" s="1"/>
  <c r="S401" i="1"/>
  <c r="T401" i="1" s="1"/>
  <c r="S51" i="1"/>
  <c r="T51" i="1" s="1"/>
  <c r="S489" i="1"/>
  <c r="T489" i="1" s="1"/>
  <c r="S16" i="1"/>
  <c r="T16" i="1" s="1"/>
  <c r="S164" i="1"/>
  <c r="T164" i="1" s="1"/>
  <c r="S475" i="1"/>
  <c r="T475" i="1" s="1"/>
  <c r="S394" i="1"/>
  <c r="T394" i="1" s="1"/>
  <c r="S376" i="1"/>
  <c r="T376" i="1" s="1"/>
  <c r="S377" i="1"/>
  <c r="T377" i="1" s="1"/>
  <c r="S124" i="1"/>
  <c r="T124" i="1" s="1"/>
  <c r="S284" i="1"/>
  <c r="T284" i="1" s="1"/>
  <c r="S252" i="1"/>
  <c r="T252" i="1" s="1"/>
  <c r="S229" i="1"/>
  <c r="T229" i="1" s="1"/>
  <c r="S357" i="1"/>
  <c r="T357" i="1" s="1"/>
  <c r="S421" i="1"/>
  <c r="T421" i="1" s="1"/>
  <c r="S222" i="1"/>
  <c r="T222" i="1" s="1"/>
  <c r="S43" i="1"/>
  <c r="T43" i="1" s="1"/>
  <c r="S366" i="1"/>
  <c r="T366" i="1" s="1"/>
  <c r="S233" i="1"/>
  <c r="T233" i="1" s="1"/>
  <c r="S429" i="1"/>
  <c r="T429" i="1" s="1"/>
  <c r="S117" i="1"/>
  <c r="T117" i="1" s="1"/>
  <c r="S68" i="1"/>
  <c r="T68" i="1" s="1"/>
  <c r="S467" i="1"/>
  <c r="T467" i="1" s="1"/>
  <c r="S170" i="1"/>
  <c r="T170" i="1" s="1"/>
  <c r="S189" i="1"/>
  <c r="T189" i="1" s="1"/>
  <c r="S391" i="1"/>
  <c r="T391" i="1" s="1"/>
  <c r="S217" i="1"/>
  <c r="T217" i="1" s="1"/>
  <c r="S440" i="1"/>
  <c r="T440" i="1" s="1"/>
  <c r="S320" i="1"/>
  <c r="T320" i="1" s="1"/>
  <c r="S95" i="1"/>
  <c r="T95" i="1" s="1"/>
  <c r="S442" i="1"/>
  <c r="T442" i="1" s="1"/>
  <c r="S258" i="1"/>
  <c r="T258" i="1" s="1"/>
  <c r="S458" i="1"/>
  <c r="T458" i="1" s="1"/>
  <c r="S279" i="1"/>
  <c r="T279" i="1" s="1"/>
  <c r="S237" i="1"/>
  <c r="T237" i="1" s="1"/>
  <c r="S332" i="1"/>
  <c r="T332" i="1" s="1"/>
  <c r="S40" i="1"/>
  <c r="T40" i="1" s="1"/>
  <c r="S109" i="1"/>
  <c r="T109" i="1" s="1"/>
  <c r="S470" i="1"/>
  <c r="T470" i="1" s="1"/>
  <c r="S123" i="1"/>
  <c r="T123" i="1" s="1"/>
  <c r="S434" i="1"/>
  <c r="T434" i="1" s="1"/>
  <c r="S224" i="1"/>
  <c r="T224" i="1" s="1"/>
  <c r="S69" i="1"/>
  <c r="T69" i="1" s="1"/>
  <c r="S307" i="1"/>
  <c r="T307" i="1" s="1"/>
  <c r="S137" i="1"/>
  <c r="T137" i="1" s="1"/>
  <c r="S290" i="1"/>
  <c r="T290" i="1" s="1"/>
  <c r="S492" i="1"/>
  <c r="T492" i="1" s="1"/>
  <c r="S182" i="1"/>
  <c r="T182" i="1" s="1"/>
  <c r="S232" i="1"/>
  <c r="T232" i="1" s="1"/>
  <c r="S219" i="1"/>
  <c r="T219" i="1" s="1"/>
  <c r="S181" i="1"/>
  <c r="T181" i="1" s="1"/>
  <c r="S64" i="1"/>
  <c r="T64" i="1" s="1"/>
  <c r="S210" i="1"/>
  <c r="T210" i="1" s="1"/>
  <c r="S425" i="1"/>
  <c r="T425" i="1" s="1"/>
  <c r="S103" i="1"/>
  <c r="T103" i="1" s="1"/>
  <c r="S231" i="1"/>
  <c r="T231" i="1" s="1"/>
  <c r="S13" i="1"/>
  <c r="T13" i="1" s="1"/>
  <c r="S31" i="1"/>
  <c r="T31" i="1" s="1"/>
  <c r="S485" i="1"/>
  <c r="T485" i="1" s="1"/>
  <c r="S30" i="1"/>
  <c r="T30" i="1" s="1"/>
  <c r="S309" i="1"/>
  <c r="T309" i="1" s="1"/>
  <c r="S354" i="1"/>
  <c r="T354" i="1" s="1"/>
  <c r="S158" i="1"/>
  <c r="T158" i="1" s="1"/>
  <c r="S179" i="1"/>
  <c r="T179" i="1" s="1"/>
  <c r="S431" i="1"/>
  <c r="T431" i="1" s="1"/>
  <c r="S271" i="1"/>
  <c r="T271" i="1" s="1"/>
  <c r="S350" i="1"/>
  <c r="T350" i="1" s="1"/>
  <c r="S120" i="1"/>
  <c r="T120" i="1" s="1"/>
  <c r="S173" i="1"/>
  <c r="T173" i="1" s="1"/>
  <c r="S144" i="1"/>
  <c r="T144" i="1" s="1"/>
  <c r="S127" i="1"/>
  <c r="T127" i="1" s="1"/>
  <c r="S148" i="1"/>
  <c r="T148" i="1" s="1"/>
  <c r="S462" i="1"/>
  <c r="T462" i="1" s="1"/>
  <c r="S247" i="1"/>
  <c r="T247" i="1" s="1"/>
  <c r="S406" i="1"/>
  <c r="T406" i="1" s="1"/>
  <c r="S83" i="1"/>
  <c r="T83" i="1" s="1"/>
  <c r="S346" i="1"/>
  <c r="T346" i="1" s="1"/>
  <c r="S215" i="1"/>
  <c r="T215" i="1" s="1"/>
  <c r="S14" i="1"/>
  <c r="T14" i="1" s="1"/>
  <c r="S329" i="1"/>
  <c r="T329" i="1" s="1"/>
  <c r="S338" i="1"/>
  <c r="T338" i="1" s="1"/>
  <c r="S246" i="1"/>
  <c r="T246" i="1" s="1"/>
  <c r="S410" i="1"/>
  <c r="T410" i="1" s="1"/>
  <c r="S113" i="1"/>
  <c r="T113" i="1" s="1"/>
  <c r="S276" i="1"/>
  <c r="T276" i="1" s="1"/>
  <c r="S152" i="1"/>
  <c r="T152" i="1" s="1"/>
  <c r="S208" i="1"/>
  <c r="T208" i="1" s="1"/>
  <c r="S342" i="1"/>
  <c r="T342" i="1" s="1"/>
  <c r="S264" i="1"/>
  <c r="T264" i="1" s="1"/>
  <c r="S351" i="1"/>
  <c r="T351" i="1" s="1"/>
  <c r="S71" i="1"/>
  <c r="T71" i="1" s="1"/>
  <c r="S142" i="1"/>
  <c r="T142" i="1" s="1"/>
  <c r="S243" i="1"/>
  <c r="T243" i="1" s="1"/>
  <c r="S102" i="1"/>
  <c r="T102" i="1" s="1"/>
  <c r="S316" i="1"/>
  <c r="T316" i="1" s="1"/>
  <c r="S128" i="1"/>
  <c r="T128" i="1" s="1"/>
</calcChain>
</file>

<file path=xl/sharedStrings.xml><?xml version="1.0" encoding="utf-8"?>
<sst xmlns="http://schemas.openxmlformats.org/spreadsheetml/2006/main" count="3077" uniqueCount="88">
  <si>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</si>
  <si>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</si>
  <si>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</si>
  <si>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</si>
  <si>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</si>
  <si>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</si>
  <si>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</si>
  <si>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</si>
  <si>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</si>
  <si>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</si>
  <si>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</si>
  <si>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</si>
  <si>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</si>
  <si>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</si>
  <si>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</si>
  <si>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</si>
  <si>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Southern Europe</t>
  </si>
  <si>
    <t>Spain</t>
  </si>
  <si>
    <t>Online Store</t>
  </si>
  <si>
    <t>Business</t>
  </si>
  <si>
    <t>Travel</t>
  </si>
  <si>
    <t>Packing Cube Set</t>
  </si>
  <si>
    <t>Italy</t>
  </si>
  <si>
    <t>Corporate</t>
  </si>
  <si>
    <t>Returning</t>
  </si>
  <si>
    <t>Camping</t>
  </si>
  <si>
    <t>Alpine Tent 4P</t>
  </si>
  <si>
    <t>Retail Partners</t>
  </si>
  <si>
    <t>Hiking</t>
  </si>
  <si>
    <t>Trekking Poles</t>
  </si>
  <si>
    <t>Central Europe</t>
  </si>
  <si>
    <t>Switzerland</t>
  </si>
  <si>
    <t>Portugal</t>
  </si>
  <si>
    <t>Marketplace</t>
  </si>
  <si>
    <t>Travel Organizer</t>
  </si>
  <si>
    <t>Czechia</t>
  </si>
  <si>
    <t>Fitness</t>
  </si>
  <si>
    <t>Recovery Roller</t>
  </si>
  <si>
    <t>New</t>
  </si>
  <si>
    <t>Summit Backpack 45L</t>
  </si>
  <si>
    <t>Trail Boots</t>
  </si>
  <si>
    <t>Northern Europe</t>
  </si>
  <si>
    <t>Denmark</t>
  </si>
  <si>
    <t>Cycling</t>
  </si>
  <si>
    <t>Trail Bike Light</t>
  </si>
  <si>
    <t>Austria</t>
  </si>
  <si>
    <t>Germany</t>
  </si>
  <si>
    <t>Resistance Band Set</t>
  </si>
  <si>
    <t>Western Europe</t>
  </si>
  <si>
    <t>United Kingdom</t>
  </si>
  <si>
    <t>Cycling Pack 12L</t>
  </si>
  <si>
    <t>Sweden</t>
  </si>
  <si>
    <t>Cabin Duffel Bag</t>
  </si>
  <si>
    <t>Ireland</t>
  </si>
  <si>
    <t>Compact Repair Kit</t>
  </si>
  <si>
    <t>Trail Tent 2P</t>
  </si>
  <si>
    <t>Insulated Bottle</t>
  </si>
  <si>
    <t>Commuter Helmet</t>
  </si>
  <si>
    <t>Yoga Mat</t>
  </si>
  <si>
    <t>Finland</t>
  </si>
  <si>
    <t>Portable Camp Stove</t>
  </si>
  <si>
    <t>Netherlands</t>
  </si>
  <si>
    <t>Weighted Vest</t>
  </si>
  <si>
    <t>Belgium</t>
  </si>
  <si>
    <t>Hiking Daypack 20L</t>
  </si>
  <si>
    <t>Road Cycling Gloves</t>
  </si>
  <si>
    <t>France</t>
  </si>
  <si>
    <t>YEAR</t>
  </si>
  <si>
    <t>MONTH</t>
  </si>
  <si>
    <t>QUARTER</t>
  </si>
  <si>
    <t>MONTH #</t>
  </si>
  <si>
    <t>Row Labels</t>
  </si>
  <si>
    <t>Grand Total</t>
  </si>
  <si>
    <t>Sum of Revenue</t>
  </si>
  <si>
    <t>Sum of Gross Profit</t>
  </si>
  <si>
    <t>GROSS PROFIT MARGIN</t>
  </si>
  <si>
    <t>Jan</t>
  </si>
  <si>
    <t>Feb</t>
  </si>
  <si>
    <t>Mar</t>
  </si>
  <si>
    <t>Apr</t>
  </si>
  <si>
    <t>May</t>
  </si>
  <si>
    <t>Jun</t>
  </si>
  <si>
    <t>Sum of Units Sold</t>
  </si>
  <si>
    <t>Count of ID</t>
  </si>
  <si>
    <t>Sum of COGS</t>
  </si>
  <si>
    <t>TOTAL REVENUE</t>
  </si>
  <si>
    <t>TOTAL GROSS PROFIT</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</si>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</sst>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numFmt numFmtId="165" formatCode="0.0%"/>
    <numFmt numFmtId="166" formatCode="&quot;$&quot;#,##0"/>
    <numFmt numFmtId="167" formatCode="&quot;$&quot;#,##0,&quot;K&quot;"/>
  </numFmts>
  <fonts count="4" x14ac:knownFonts="1">
    <font>
      <sz val="11"/>
      <color theme="1"/>
      <name val="Calibri"/>
      <family val="2"/>
      <scheme val="minor"/>
    </font>
    <font>
      <sz val="11"/>
      <color theme="1"/>
      <name val="Calibri"/>
      <family val="2"/>
      <scheme val="minor"/>
    </font>
    <font>
      <b/>
      <sz val="11"/>
      <color rgb="FFFFFFFF"/>
      <name val="Calibri"/>
      <family val="2"/>
    </font>
    <font>
      <b/>
      <sz val="11"/>
      <color theme="0"/>
      <name val="Calibri"/>
      <family val="2"/>
      <scheme val="minor"/>
    </font>
  </fonts>
  <fills count="6">
    <fill>
      <patternFill patternType="none"/>
    </fill>
    <fill>
      <patternFill patternType="gray125"/>
    </fill>
    <fill>
      <patternFill patternType="solid">
        <fgColor rgb="FF17365D"/>
      </patternFill>
    </fill>
    <fill>
      <patternFill patternType="solid">
        <fgColor theme="4" tint="0.59999389629810485"/>
        <bgColor indexed="64"/>
      </patternFill>
    </fill>
    <fill>
      <patternFill patternType="solid">
        <fgColor theme="1" tint="4.9989318521683403E-2"/>
        <bgColor indexed="64"/>
      </patternFill>
    </fill>
    <fill>
      <patternFill patternType="solid">
        <fgColor theme="2"/>
        <bgColor indexed="64"/>
      </patternFill>
    </fill>
  </fills>
  <borders count="3">
    <border>
      <left/>
      <right/>
      <top/>
      <bottom/>
      <diagonal/>
    </border>
    <border>
      <left/>
      <right/>
      <top style="thin">
        <color theme="4" tint="0.39997558519241921"/>
      </top>
      <bottom style="thin">
        <color theme="4" tint="0.39997558519241921"/>
      </bottom>
      <diagonal/>
    </border>
    <border>
      <left/>
      <right/>
      <top style="thin">
        <color theme="4" tint="0.39997558519241921"/>
      </top>
      <bottom/>
      <diagonal/>
    </border>
  </borders>
  <cellStyleXfs count="2">
    <xf numFmtId="0" fontId="0" fillId="0" borderId="0"/>
    <xf numFmtId="9" fontId="1" fillId="0" borderId="0" applyFont="0" applyFill="0" applyBorder="0" applyAlignment="0" applyProtection="0"/>
  </cellStyleXfs>
  <cellXfs count="26">
    <xf numFmtId="0" fontId="0" fillId="0" borderId="0" xfId="0"/>
    <xf numFmtId="0" fontId="2" fillId="2" borderId="0" xfId="0" applyFont="1" applyFill="1" applyAlignment="1">
      <alignment horizontal="center" vertical="center"/>
    </xf>
    <xf numFmtId="0" fontId="0" fillId="0" borderId="2" xfId="0" applyBorder="1" applyAlignment="1">
      <alignment horizontal="center" vertical="center"/>
    </xf>
    <xf numFmtId="14" fontId="0" fillId="0" borderId="2" xfId="0" applyNumberFormat="1" applyBorder="1" applyAlignment="1">
      <alignment horizontal="center" vertical="center"/>
    </xf>
    <xf numFmtId="164" fontId="0" fillId="0" borderId="2" xfId="0" applyNumberFormat="1" applyBorder="1" applyAlignment="1">
      <alignment horizontal="center" vertical="center"/>
    </xf>
    <xf numFmtId="9" fontId="0" fillId="0" borderId="2" xfId="0" applyNumberFormat="1" applyBorder="1" applyAlignment="1">
      <alignment horizontal="center" vertical="center"/>
    </xf>
    <xf numFmtId="165" fontId="0" fillId="0" borderId="2" xfId="0" applyNumberFormat="1" applyBorder="1" applyAlignment="1">
      <alignment horizont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164" fontId="0" fillId="0" borderId="1" xfId="0" applyNumberFormat="1" applyBorder="1" applyAlignment="1">
      <alignment horizontal="center" vertical="center"/>
    </xf>
    <xf numFmtId="9" fontId="0" fillId="0" borderId="1" xfId="0" applyNumberFormat="1" applyBorder="1" applyAlignment="1">
      <alignment horizontal="center" vertical="center"/>
    </xf>
    <xf numFmtId="165" fontId="0" fillId="0" borderId="1" xfId="0" applyNumberFormat="1" applyBorder="1" applyAlignment="1">
      <alignment horizontal="center"/>
    </xf>
    <xf numFmtId="0" fontId="0" fillId="0" borderId="0" xfId="0" pivotButton="1"/>
    <xf numFmtId="0" fontId="0" fillId="3" borderId="0" xfId="0" applyFill="1"/>
    <xf numFmtId="166" fontId="0" fillId="0" borderId="0" xfId="0" applyNumberFormat="1" applyAlignment="1">
      <alignment horizontal="left" indent="5"/>
    </xf>
    <xf numFmtId="166" fontId="0" fillId="0" borderId="0" xfId="0" applyNumberFormat="1"/>
    <xf numFmtId="0" fontId="0" fillId="0" borderId="0" xfId="0" applyAlignment="1">
      <alignment horizontal="left"/>
    </xf>
    <xf numFmtId="166" fontId="0" fillId="0" borderId="0" xfId="0" applyNumberFormat="1" applyAlignment="1">
      <alignment horizontal="center"/>
    </xf>
    <xf numFmtId="167" fontId="0" fillId="0" borderId="0" xfId="0" applyNumberFormat="1" applyAlignment="1">
      <alignment horizontal="left" indent="5"/>
    </xf>
    <xf numFmtId="0" fontId="0" fillId="0" borderId="0" xfId="0" applyAlignment="1">
      <alignment horizontal="left" indent="5"/>
    </xf>
    <xf numFmtId="0" fontId="3" fillId="4" borderId="0" xfId="0" applyFont="1" applyFill="1"/>
    <xf numFmtId="9" fontId="0" fillId="5" borderId="0" xfId="1" applyFont="1" applyFill="1"/>
    <xf numFmtId="0" fontId="0" fillId="5" borderId="0" xfId="0" applyFill="1"/>
    <xf numFmtId="0" fontId="0" fillId="4" borderId="0" xfId="0" applyFill="1" applyAlignment="1">
      <alignment horizontal="left"/>
    </xf>
    <xf numFmtId="0" fontId="0" fillId="4" borderId="0" xfId="0" applyFill="1" applyAlignment="1">
      <alignment horizontal="left" indent="5"/>
    </xf>
    <xf numFmtId="0" fontId="0" fillId="4" borderId="0" xfId="0" applyFill="1"/>
  </cellXfs>
  <cellStyles count="2">
    <cellStyle name="Normal" xfId="0" builtinId="0"/>
    <cellStyle name="Percent" xfId="1" builtinId="5"/>
  </cellStyles>
  <dxfs count="165">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patternType="solid">
          <bgColor theme="1" tint="4.9989318521683403E-2"/>
        </patternFill>
      </fill>
    </dxf>
    <dxf>
      <fill>
        <patternFill patternType="solid">
          <bgColor theme="1" tint="4.9989318521683403E-2"/>
        </patternFill>
      </fill>
    </dxf>
    <dxf>
      <fill>
        <patternFill patternType="solid">
          <bgColor theme="1" tint="4.9989318521683403E-2"/>
        </patternFill>
      </fill>
    </dxf>
    <dxf>
      <fill>
        <patternFill patternType="solid">
          <bgColor theme="1" tint="4.9989318521683403E-2"/>
        </patternFill>
      </fill>
    </dxf>
    <dxf>
      <fill>
        <patternFill patternType="solid">
          <bgColor theme="1" tint="4.9989318521683403E-2"/>
        </patternFill>
      </fill>
    </dxf>
    <dxf>
      <fill>
        <patternFill patternType="solid">
          <bgColor theme="1" tint="4.9989318521683403E-2"/>
        </patternFill>
      </fill>
    </dxf>
    <dxf>
      <fill>
        <patternFill patternType="solid">
          <bgColor theme="1" tint="4.9989318521683403E-2"/>
        </patternFill>
      </fill>
    </dxf>
    <dxf>
      <fill>
        <patternFill patternType="solid">
          <bgColor theme="1" tint="4.9989318521683403E-2"/>
        </patternFill>
      </fill>
    </dxf>
    <dxf>
      <fill>
        <patternFill patternType="solid">
          <bgColor theme="1" tint="4.9989318521683403E-2"/>
        </patternFill>
      </fill>
    </dxf>
    <dxf>
      <fill>
        <patternFill patternType="solid">
          <bgColor theme="1" tint="4.9989318521683403E-2"/>
        </patternFill>
      </fill>
    </dxf>
    <dxf>
      <numFmt numFmtId="167" formatCode="&quot;$&quot;#,##0,&quot;K&quot;"/>
    </dxf>
    <dxf>
      <numFmt numFmtId="0" formatCode="General"/>
    </dxf>
    <dxf>
      <numFmt numFmtId="167" formatCode="&quot;$&quot;#,##0,&quot;K&quot;"/>
    </dxf>
    <dxf>
      <numFmt numFmtId="166" formatCode="&quot;$&quot;#,##0"/>
    </dxf>
    <dxf>
      <alignment relativeIndent="1"/>
    </dxf>
    <dxf>
      <alignment relativeIndent="1"/>
    </dxf>
    <dxf>
      <alignment relativeIndent="1"/>
    </dxf>
    <dxf>
      <numFmt numFmtId="1" formatCode="0"/>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numFmt numFmtId="0" formatCode="General"/>
    </dxf>
    <dxf>
      <numFmt numFmtId="0" formatCode="General"/>
    </dxf>
    <dxf>
      <numFmt numFmtId="167" formatCode="&quot;$&quot;#,##0,&quot;K&quot;"/>
    </dxf>
    <dxf>
      <numFmt numFmtId="167" formatCode="&quot;$&quot;#,##0,&quot;K&quot;"/>
    </dxf>
    <dxf>
      <numFmt numFmtId="166" formatCode="&quot;$&quot;#,##0"/>
    </dxf>
    <dxf>
      <alignment relativeIndent="1"/>
    </dxf>
    <dxf>
      <alignment relativeIndent="1"/>
    </dxf>
    <dxf>
      <alignment relativeIndent="1"/>
    </dxf>
    <dxf>
      <numFmt numFmtId="1" formatCode="0"/>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alignment horizontal="center" indent="0"/>
    </dxf>
    <dxf>
      <numFmt numFmtId="166" formatCode="&quot;$&quot;#,##0"/>
    </dxf>
    <dxf>
      <alignment relativeIndent="1"/>
    </dxf>
    <dxf>
      <alignment relativeIndent="1"/>
    </dxf>
    <dxf>
      <alignment relativeIndent="1"/>
    </dxf>
    <dxf>
      <numFmt numFmtId="1" formatCode="0"/>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numFmt numFmtId="166" formatCode="&quot;$&quot;#,##0"/>
    </dxf>
    <dxf>
      <numFmt numFmtId="167" formatCode="&quot;$&quot;#,##0,&quot;K&quot;"/>
    </dxf>
    <dxf>
      <numFmt numFmtId="0" formatCode="General"/>
    </dxf>
    <dxf>
      <numFmt numFmtId="167" formatCode="&quot;$&quot;#,##0,&quot;K&quot;"/>
    </dxf>
    <dxf>
      <numFmt numFmtId="166" formatCode="&quot;$&quot;#,##0"/>
    </dxf>
    <dxf>
      <alignment relativeIndent="1"/>
    </dxf>
    <dxf>
      <alignment relativeIndent="1"/>
    </dxf>
    <dxf>
      <alignment relativeIndent="1"/>
    </dxf>
    <dxf>
      <numFmt numFmtId="1" formatCode="0"/>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numFmt numFmtId="166" formatCode="&quot;$&quot;#,##0"/>
    </dxf>
    <dxf>
      <alignment relativeIndent="1"/>
    </dxf>
    <dxf>
      <alignment relativeIndent="1"/>
    </dxf>
    <dxf>
      <alignment relativeIndent="1"/>
    </dxf>
    <dxf>
      <numFmt numFmtId="1" formatCode="0"/>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numFmt numFmtId="0" formatCode="General"/>
    </dxf>
    <dxf>
      <numFmt numFmtId="167" formatCode="&quot;$&quot;#,##0,&quot;K&quot;"/>
    </dxf>
    <dxf>
      <numFmt numFmtId="166" formatCode="&quot;$&quot;#,##0"/>
    </dxf>
    <dxf>
      <alignment relativeIndent="1"/>
    </dxf>
    <dxf>
      <alignment relativeIndent="1"/>
    </dxf>
    <dxf>
      <alignment relativeIndent="1"/>
    </dxf>
    <dxf>
      <numFmt numFmtId="1" formatCode="0"/>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numFmt numFmtId="167" formatCode="&quot;$&quot;#,##0,&quot;K&quot;"/>
    </dxf>
    <dxf>
      <numFmt numFmtId="0" formatCode="General"/>
    </dxf>
    <dxf>
      <numFmt numFmtId="167" formatCode="&quot;$&quot;#,##0,&quot;K&quot;"/>
    </dxf>
    <dxf>
      <numFmt numFmtId="166" formatCode="&quot;$&quot;#,##0"/>
    </dxf>
    <dxf>
      <alignment relativeIndent="1"/>
    </dxf>
    <dxf>
      <alignment relativeIndent="1"/>
    </dxf>
    <dxf>
      <alignment relativeIndent="1"/>
    </dxf>
    <dxf>
      <numFmt numFmtId="1" formatCode="0"/>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font>
        <b val="0"/>
        <i val="0"/>
        <strike val="0"/>
        <condense val="0"/>
        <extend val="0"/>
        <outline val="0"/>
        <shadow val="0"/>
        <u val="none"/>
        <vertAlign val="baseline"/>
        <sz val="11"/>
        <color theme="1"/>
        <name val="Calibri"/>
        <family val="2"/>
        <scheme val="minor"/>
      </font>
      <numFmt numFmtId="165" formatCode="0.0%"/>
      <fill>
        <patternFill patternType="none">
          <fgColor indexed="64"/>
          <bgColor indexed="65"/>
        </patternFill>
      </fill>
      <alignment horizontal="center"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64" formatCode="\$#,##0.00"/>
      <fill>
        <patternFill patternType="none">
          <fgColor indexed="64"/>
          <bgColor indexed="65"/>
        </patternFill>
      </fill>
      <alignment horizontal="center" vertical="center"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64" formatCode="\$#,##0.00"/>
      <fill>
        <patternFill patternType="none">
          <fgColor indexed="64"/>
          <bgColor indexed="65"/>
        </patternFill>
      </fill>
      <alignment horizontal="center" vertical="center"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64" formatCode="\$#,##0.00"/>
      <fill>
        <patternFill patternType="none">
          <fgColor indexed="64"/>
          <bgColor indexed="65"/>
        </patternFill>
      </fill>
      <alignment horizontal="center" vertical="center"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64" formatCode="\$#,##0.00"/>
      <fill>
        <patternFill patternType="none">
          <fgColor indexed="64"/>
          <bgColor indexed="65"/>
        </patternFill>
      </fill>
      <alignment horizontal="center" vertical="center"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3" formatCode="0%"/>
      <fill>
        <patternFill patternType="none">
          <fgColor indexed="64"/>
          <bgColor indexed="65"/>
        </patternFill>
      </fill>
      <alignment horizontal="center" vertical="center"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64" formatCode="\$#,##0.00"/>
      <fill>
        <patternFill patternType="none">
          <fgColor indexed="64"/>
          <bgColor indexed="65"/>
        </patternFill>
      </fill>
      <alignment horizontal="center" vertical="center"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9" formatCode="m/d/yyyy"/>
      <fill>
        <patternFill patternType="none">
          <fgColor indexed="64"/>
          <bgColor indexed="65"/>
        </patternFill>
      </fill>
      <alignment horizontal="center" vertical="center"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style="thin">
          <color theme="4" tint="0.39997558519241921"/>
        </top>
        <bottom/>
      </border>
    </dxf>
    <dxf>
      <border outline="0">
        <left style="thin">
          <color theme="4" tint="0.39997558519241921"/>
        </left>
        <right style="thin">
          <color theme="4" tint="0.39997558519241921"/>
        </right>
        <top style="thin">
          <color theme="4" tint="0.39997558519241921"/>
        </top>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rgb="FFFFFFFF"/>
        <name val="Calibri"/>
        <family val="2"/>
        <scheme val="none"/>
      </font>
      <fill>
        <patternFill patternType="solid">
          <fgColor indexed="64"/>
          <bgColor rgb="FF17365D"/>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TABLE!MONTHLY_PROFIT_REVENUE</c:name>
    <c:fmtId val="2"/>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7204653992777955"/>
          <c:w val="1"/>
          <c:h val="0.59565922697210916"/>
        </c:manualLayout>
      </c:layout>
      <c:lineChart>
        <c:grouping val="standard"/>
        <c:varyColors val="0"/>
        <c:ser>
          <c:idx val="0"/>
          <c:order val="0"/>
          <c:tx>
            <c:strRef>
              <c:f>'PIVOT TABLE'!$C$8</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TABLE'!$B$9:$B$15</c:f>
              <c:strCache>
                <c:ptCount val="6"/>
                <c:pt idx="0">
                  <c:v>Jan</c:v>
                </c:pt>
                <c:pt idx="1">
                  <c:v>Feb</c:v>
                </c:pt>
                <c:pt idx="2">
                  <c:v>Mar</c:v>
                </c:pt>
                <c:pt idx="3">
                  <c:v>Apr</c:v>
                </c:pt>
                <c:pt idx="4">
                  <c:v>May</c:v>
                </c:pt>
                <c:pt idx="5">
                  <c:v>Jun</c:v>
                </c:pt>
              </c:strCache>
            </c:strRef>
          </c:cat>
          <c:val>
            <c:numRef>
              <c:f>'PIVOT TABLE'!$C$9:$C$15</c:f>
              <c:numCache>
                <c:formatCode>"$"#,##0,"K"</c:formatCode>
                <c:ptCount val="6"/>
                <c:pt idx="0">
                  <c:v>50322.606500000009</c:v>
                </c:pt>
                <c:pt idx="1">
                  <c:v>59324.040499999981</c:v>
                </c:pt>
                <c:pt idx="2">
                  <c:v>54141.095000000001</c:v>
                </c:pt>
                <c:pt idx="3">
                  <c:v>54627.661000000007</c:v>
                </c:pt>
                <c:pt idx="4">
                  <c:v>67890.171499999997</c:v>
                </c:pt>
                <c:pt idx="5">
                  <c:v>46631.710500000001</c:v>
                </c:pt>
              </c:numCache>
            </c:numRef>
          </c:val>
          <c:smooth val="0"/>
          <c:extLst>
            <c:ext xmlns:c16="http://schemas.microsoft.com/office/drawing/2014/chart" uri="{C3380CC4-5D6E-409C-BE32-E72D297353CC}">
              <c16:uniqueId val="{00000000-D851-4877-860C-4DD1FD9B46D3}"/>
            </c:ext>
          </c:extLst>
        </c:ser>
        <c:ser>
          <c:idx val="1"/>
          <c:order val="1"/>
          <c:tx>
            <c:strRef>
              <c:f>'PIVOT TABLE'!$D$8</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TABLE'!$B$9:$B$15</c:f>
              <c:strCache>
                <c:ptCount val="6"/>
                <c:pt idx="0">
                  <c:v>Jan</c:v>
                </c:pt>
                <c:pt idx="1">
                  <c:v>Feb</c:v>
                </c:pt>
                <c:pt idx="2">
                  <c:v>Mar</c:v>
                </c:pt>
                <c:pt idx="3">
                  <c:v>Apr</c:v>
                </c:pt>
                <c:pt idx="4">
                  <c:v>May</c:v>
                </c:pt>
                <c:pt idx="5">
                  <c:v>Jun</c:v>
                </c:pt>
              </c:strCache>
            </c:strRef>
          </c:cat>
          <c:val>
            <c:numRef>
              <c:f>'PIVOT TABLE'!$D$9:$D$15</c:f>
              <c:numCache>
                <c:formatCode>"$"#,##0,"K"</c:formatCode>
                <c:ptCount val="6"/>
                <c:pt idx="0">
                  <c:v>23399.30650000001</c:v>
                </c:pt>
                <c:pt idx="1">
                  <c:v>27230.210499999994</c:v>
                </c:pt>
                <c:pt idx="2">
                  <c:v>24422.024999999994</c:v>
                </c:pt>
                <c:pt idx="3">
                  <c:v>25154.431</c:v>
                </c:pt>
                <c:pt idx="4">
                  <c:v>30731.491500000007</c:v>
                </c:pt>
                <c:pt idx="5">
                  <c:v>22142.080500000007</c:v>
                </c:pt>
              </c:numCache>
            </c:numRef>
          </c:val>
          <c:smooth val="0"/>
          <c:extLst>
            <c:ext xmlns:c16="http://schemas.microsoft.com/office/drawing/2014/chart" uri="{C3380CC4-5D6E-409C-BE32-E72D297353CC}">
              <c16:uniqueId val="{00000001-D851-4877-860C-4DD1FD9B46D3}"/>
            </c:ext>
          </c:extLst>
        </c:ser>
        <c:dLbls>
          <c:showLegendKey val="0"/>
          <c:showVal val="0"/>
          <c:showCatName val="0"/>
          <c:showSerName val="0"/>
          <c:showPercent val="0"/>
          <c:showBubbleSize val="0"/>
        </c:dLbls>
        <c:marker val="1"/>
        <c:smooth val="0"/>
        <c:axId val="296746335"/>
        <c:axId val="296750079"/>
      </c:lineChart>
      <c:catAx>
        <c:axId val="296746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296750079"/>
        <c:crosses val="autoZero"/>
        <c:auto val="1"/>
        <c:lblAlgn val="ctr"/>
        <c:lblOffset val="100"/>
        <c:noMultiLvlLbl val="0"/>
      </c:catAx>
      <c:valAx>
        <c:axId val="296750079"/>
        <c:scaling>
          <c:orientation val="minMax"/>
        </c:scaling>
        <c:delete val="1"/>
        <c:axPos val="l"/>
        <c:numFmt formatCode="&quot;$&quot;#,##0,&quot;K&quot;" sourceLinked="1"/>
        <c:majorTickMark val="none"/>
        <c:minorTickMark val="none"/>
        <c:tickLblPos val="nextTo"/>
        <c:crossAx val="296746335"/>
        <c:crosses val="autoZero"/>
        <c:crossBetween val="between"/>
      </c:valAx>
      <c:spPr>
        <a:noFill/>
        <a:ln>
          <a:noFill/>
        </a:ln>
        <a:effectLst/>
      </c:spPr>
    </c:plotArea>
    <c:legend>
      <c:legendPos val="t"/>
      <c:layout>
        <c:manualLayout>
          <c:xMode val="edge"/>
          <c:yMode val="edge"/>
          <c:x val="0.22246924497893575"/>
          <c:y val="0.12172669400326373"/>
          <c:w val="0.56226792879666565"/>
          <c:h val="0.11047954883361301"/>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TABLE!PivotTable1</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TABLE'!$G$8</c:f>
              <c:strCache>
                <c:ptCount val="1"/>
                <c:pt idx="0">
                  <c:v>Total</c:v>
                </c:pt>
              </c:strCache>
            </c:strRef>
          </c:tx>
          <c:spPr>
            <a:solidFill>
              <a:schemeClr val="accent1"/>
            </a:solidFill>
            <a:ln>
              <a:noFill/>
            </a:ln>
            <a:effectLst/>
          </c:spPr>
          <c:invertIfNegative val="0"/>
          <c:dLbls>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TABLE'!$F$9:$F$14</c:f>
              <c:strCache>
                <c:ptCount val="5"/>
                <c:pt idx="0">
                  <c:v>Ireland</c:v>
                </c:pt>
                <c:pt idx="1">
                  <c:v>Italy</c:v>
                </c:pt>
                <c:pt idx="2">
                  <c:v>Portugal</c:v>
                </c:pt>
                <c:pt idx="3">
                  <c:v>Spain</c:v>
                </c:pt>
                <c:pt idx="4">
                  <c:v>Switzerland</c:v>
                </c:pt>
              </c:strCache>
            </c:strRef>
          </c:cat>
          <c:val>
            <c:numRef>
              <c:f>'PIVOT TABLE'!$G$9:$G$14</c:f>
              <c:numCache>
                <c:formatCode>"$"#,##0,"K"</c:formatCode>
                <c:ptCount val="5"/>
                <c:pt idx="0">
                  <c:v>29078.206999999999</c:v>
                </c:pt>
                <c:pt idx="1">
                  <c:v>26102.889499999997</c:v>
                </c:pt>
                <c:pt idx="2">
                  <c:v>23889.156500000001</c:v>
                </c:pt>
                <c:pt idx="3">
                  <c:v>35517.19049999999</c:v>
                </c:pt>
                <c:pt idx="4">
                  <c:v>28784.846999999994</c:v>
                </c:pt>
              </c:numCache>
            </c:numRef>
          </c:val>
          <c:extLst>
            <c:ext xmlns:c16="http://schemas.microsoft.com/office/drawing/2014/chart" uri="{C3380CC4-5D6E-409C-BE32-E72D297353CC}">
              <c16:uniqueId val="{00000000-744F-425E-B85C-2F7D8079E717}"/>
            </c:ext>
          </c:extLst>
        </c:ser>
        <c:dLbls>
          <c:showLegendKey val="0"/>
          <c:showVal val="0"/>
          <c:showCatName val="0"/>
          <c:showSerName val="0"/>
          <c:showPercent val="0"/>
          <c:showBubbleSize val="0"/>
        </c:dLbls>
        <c:gapWidth val="70"/>
        <c:axId val="703369583"/>
        <c:axId val="703374575"/>
      </c:barChart>
      <c:catAx>
        <c:axId val="7033695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703374575"/>
        <c:crosses val="autoZero"/>
        <c:auto val="1"/>
        <c:lblAlgn val="ctr"/>
        <c:lblOffset val="100"/>
        <c:noMultiLvlLbl val="0"/>
      </c:catAx>
      <c:valAx>
        <c:axId val="703374575"/>
        <c:scaling>
          <c:orientation val="minMax"/>
        </c:scaling>
        <c:delete val="1"/>
        <c:axPos val="b"/>
        <c:numFmt formatCode="&quot;$&quot;#,##0,&quot;K&quot;" sourceLinked="1"/>
        <c:majorTickMark val="none"/>
        <c:minorTickMark val="none"/>
        <c:tickLblPos val="nextTo"/>
        <c:crossAx val="703369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TABLE!SALES_CHANNEL</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a:softEdge rad="0"/>
          </a:effectLst>
        </c:spPr>
      </c:pivotFmt>
      <c:pivotFmt>
        <c:idx val="8"/>
        <c:spPr>
          <a:solidFill>
            <a:schemeClr val="accent6">
              <a:lumMod val="75000"/>
            </a:schemeClr>
          </a:solidFill>
          <a:ln w="19050">
            <a:solidFill>
              <a:schemeClr val="lt1"/>
            </a:solidFill>
          </a:ln>
          <a:effectLst>
            <a:softEdge rad="0"/>
          </a:effectLst>
        </c:spPr>
      </c:pivotFmt>
      <c:pivotFmt>
        <c:idx val="9"/>
        <c:spPr>
          <a:solidFill>
            <a:schemeClr val="accent2">
              <a:lumMod val="75000"/>
            </a:schemeClr>
          </a:solidFill>
          <a:ln w="19050">
            <a:solidFill>
              <a:schemeClr val="lt1"/>
            </a:solidFill>
          </a:ln>
          <a:effectLst>
            <a:softEdge rad="0"/>
          </a:effectLst>
        </c:spPr>
      </c:pivotFmt>
      <c:pivotFmt>
        <c:idx val="10"/>
        <c:spPr>
          <a:solidFill>
            <a:schemeClr val="accent1"/>
          </a:solidFill>
          <a:ln w="19050">
            <a:solidFill>
              <a:schemeClr val="lt1"/>
            </a:solidFill>
          </a:ln>
          <a:effectLst>
            <a:softEdge rad="0"/>
          </a:effectLst>
        </c:spPr>
      </c:pivotFmt>
    </c:pivotFmts>
    <c:plotArea>
      <c:layout/>
      <c:pieChart>
        <c:varyColors val="1"/>
        <c:ser>
          <c:idx val="0"/>
          <c:order val="0"/>
          <c:tx>
            <c:strRef>
              <c:f>'PIVOT TABLE'!$J$8</c:f>
              <c:strCache>
                <c:ptCount val="1"/>
                <c:pt idx="0">
                  <c:v>Total</c:v>
                </c:pt>
              </c:strCache>
            </c:strRef>
          </c:tx>
          <c:spPr>
            <a:effectLst>
              <a:softEdge rad="0"/>
            </a:effectLst>
          </c:spPr>
          <c:dPt>
            <c:idx val="0"/>
            <c:bubble3D val="0"/>
            <c:spPr>
              <a:solidFill>
                <a:schemeClr val="accent1"/>
              </a:solidFill>
              <a:ln w="19050">
                <a:solidFill>
                  <a:schemeClr val="lt1"/>
                </a:solidFill>
              </a:ln>
              <a:effectLst>
                <a:softEdge rad="0"/>
              </a:effectLst>
            </c:spPr>
            <c:extLst>
              <c:ext xmlns:c16="http://schemas.microsoft.com/office/drawing/2014/chart" uri="{C3380CC4-5D6E-409C-BE32-E72D297353CC}">
                <c16:uniqueId val="{00000001-7033-4F88-87C0-FC6D82D95D13}"/>
              </c:ext>
            </c:extLst>
          </c:dPt>
          <c:dPt>
            <c:idx val="1"/>
            <c:bubble3D val="0"/>
            <c:spPr>
              <a:solidFill>
                <a:schemeClr val="accent6">
                  <a:lumMod val="75000"/>
                </a:schemeClr>
              </a:solidFill>
              <a:ln w="19050">
                <a:solidFill>
                  <a:schemeClr val="lt1"/>
                </a:solidFill>
              </a:ln>
              <a:effectLst>
                <a:softEdge rad="0"/>
              </a:effectLst>
            </c:spPr>
            <c:extLst>
              <c:ext xmlns:c16="http://schemas.microsoft.com/office/drawing/2014/chart" uri="{C3380CC4-5D6E-409C-BE32-E72D297353CC}">
                <c16:uniqueId val="{00000003-7033-4F88-87C0-FC6D82D95D13}"/>
              </c:ext>
            </c:extLst>
          </c:dPt>
          <c:dPt>
            <c:idx val="2"/>
            <c:bubble3D val="0"/>
            <c:spPr>
              <a:solidFill>
                <a:schemeClr val="accent2">
                  <a:lumMod val="75000"/>
                </a:schemeClr>
              </a:solidFill>
              <a:ln w="19050">
                <a:solidFill>
                  <a:schemeClr val="lt1"/>
                </a:solidFill>
              </a:ln>
              <a:effectLst>
                <a:softEdge rad="0"/>
              </a:effectLst>
            </c:spPr>
            <c:extLst>
              <c:ext xmlns:c16="http://schemas.microsoft.com/office/drawing/2014/chart" uri="{C3380CC4-5D6E-409C-BE32-E72D297353CC}">
                <c16:uniqueId val="{00000005-7033-4F88-87C0-FC6D82D95D13}"/>
              </c:ext>
            </c:extLst>
          </c:dPt>
          <c:dPt>
            <c:idx val="3"/>
            <c:bubble3D val="0"/>
            <c:spPr>
              <a:solidFill>
                <a:schemeClr val="accent4"/>
              </a:solidFill>
              <a:ln w="19050">
                <a:solidFill>
                  <a:schemeClr val="lt1"/>
                </a:solidFill>
              </a:ln>
              <a:effectLst>
                <a:softEdge rad="0"/>
              </a:effectLst>
            </c:spPr>
            <c:extLst>
              <c:ext xmlns:c16="http://schemas.microsoft.com/office/drawing/2014/chart" uri="{C3380CC4-5D6E-409C-BE32-E72D297353CC}">
                <c16:uniqueId val="{00000007-7033-4F88-87C0-FC6D82D95D13}"/>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TABLE'!$I$9:$I$13</c:f>
              <c:strCache>
                <c:ptCount val="4"/>
                <c:pt idx="0">
                  <c:v>Corporate</c:v>
                </c:pt>
                <c:pt idx="1">
                  <c:v>Marketplace</c:v>
                </c:pt>
                <c:pt idx="2">
                  <c:v>Online Store</c:v>
                </c:pt>
                <c:pt idx="3">
                  <c:v>Retail Partners</c:v>
                </c:pt>
              </c:strCache>
            </c:strRef>
          </c:cat>
          <c:val>
            <c:numRef>
              <c:f>'PIVOT TABLE'!$J$9:$J$13</c:f>
              <c:numCache>
                <c:formatCode>"$"#,##0,"K"</c:formatCode>
                <c:ptCount val="4"/>
                <c:pt idx="0">
                  <c:v>94780.306499999992</c:v>
                </c:pt>
                <c:pt idx="1">
                  <c:v>77158.010500000019</c:v>
                </c:pt>
                <c:pt idx="2">
                  <c:v>78150.087999999945</c:v>
                </c:pt>
                <c:pt idx="3">
                  <c:v>82848.87999999999</c:v>
                </c:pt>
              </c:numCache>
            </c:numRef>
          </c:val>
          <c:extLst>
            <c:ext xmlns:c16="http://schemas.microsoft.com/office/drawing/2014/chart" uri="{C3380CC4-5D6E-409C-BE32-E72D297353CC}">
              <c16:uniqueId val="{00000008-7033-4F88-87C0-FC6D82D95D13}"/>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1233637664452989"/>
          <c:y val="0.33002061650810999"/>
          <c:w val="0.36459547935092795"/>
          <c:h val="0.44200717023936686"/>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TABLE!REGION_WISE_REVENUE</c:name>
    <c:fmtId val="1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6">
              <a:lumMod val="75000"/>
            </a:schemeClr>
          </a:solidFill>
          <a:ln w="19050">
            <a:solidFill>
              <a:schemeClr val="lt1"/>
            </a:solidFill>
          </a:ln>
          <a:effectLst/>
        </c:spPr>
      </c:pivotFmt>
      <c:pivotFmt>
        <c:idx val="9"/>
        <c:spPr>
          <a:solidFill>
            <a:schemeClr val="accent2">
              <a:lumMod val="75000"/>
            </a:schemeClr>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5.3191921911692558E-2"/>
          <c:y val="0.13279704831910574"/>
          <c:w val="0.61163043882583001"/>
          <c:h val="0.76063350845889499"/>
        </c:manualLayout>
      </c:layout>
      <c:doughnutChart>
        <c:varyColors val="1"/>
        <c:ser>
          <c:idx val="0"/>
          <c:order val="0"/>
          <c:tx>
            <c:strRef>
              <c:f>'PIVOT TABLE'!$M$8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FA2-4BF0-99FA-D25B076DD162}"/>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DFA2-4BF0-99FA-D25B076DD162}"/>
              </c:ext>
            </c:extLst>
          </c:dPt>
          <c:dPt>
            <c:idx val="2"/>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5-DFA2-4BF0-99FA-D25B076DD16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FA2-4BF0-99FA-D25B076DD162}"/>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TABLE'!$L$9:$L$13</c:f>
              <c:strCache>
                <c:ptCount val="4"/>
                <c:pt idx="0">
                  <c:v>Central Europe</c:v>
                </c:pt>
                <c:pt idx="1">
                  <c:v>Northern Europe</c:v>
                </c:pt>
                <c:pt idx="2">
                  <c:v>Southern Europe</c:v>
                </c:pt>
                <c:pt idx="3">
                  <c:v>Western Europe</c:v>
                </c:pt>
              </c:strCache>
            </c:strRef>
          </c:cat>
          <c:val>
            <c:numRef>
              <c:f>'PIVOT TABLE'!$M$9:$M$13</c:f>
              <c:numCache>
                <c:formatCode>"$"#,##0</c:formatCode>
                <c:ptCount val="4"/>
                <c:pt idx="0">
                  <c:v>95989.746000000014</c:v>
                </c:pt>
                <c:pt idx="1">
                  <c:v>90867.444000000018</c:v>
                </c:pt>
                <c:pt idx="2">
                  <c:v>85509.236499999985</c:v>
                </c:pt>
                <c:pt idx="3">
                  <c:v>60570.858499999973</c:v>
                </c:pt>
              </c:numCache>
            </c:numRef>
          </c:val>
          <c:extLst>
            <c:ext xmlns:c16="http://schemas.microsoft.com/office/drawing/2014/chart" uri="{C3380CC4-5D6E-409C-BE32-E72D297353CC}">
              <c16:uniqueId val="{00000008-DFA2-4BF0-99FA-D25B076DD162}"/>
            </c:ext>
          </c:extLst>
        </c:ser>
        <c:dLbls>
          <c:showLegendKey val="0"/>
          <c:showVal val="0"/>
          <c:showCatName val="0"/>
          <c:showSerName val="0"/>
          <c:showPercent val="0"/>
          <c:showBubbleSize val="0"/>
          <c:showLeaderLines val="1"/>
        </c:dLbls>
        <c:firstSliceAng val="0"/>
        <c:holeSize val="49"/>
      </c:doughnutChart>
      <c:spPr>
        <a:noFill/>
        <a:ln cmpd="tri">
          <a:noFill/>
        </a:ln>
        <a:effectLst/>
      </c:spPr>
    </c:plotArea>
    <c:legend>
      <c:legendPos val="r"/>
      <c:layout>
        <c:manualLayout>
          <c:xMode val="edge"/>
          <c:yMode val="edge"/>
          <c:x val="0.65998070621981964"/>
          <c:y val="0.30718891340465515"/>
          <c:w val="0.34001929378018036"/>
          <c:h val="0.45267123707693552"/>
        </c:manualLayout>
      </c:layout>
      <c:overlay val="0"/>
      <c:spPr>
        <a:noFill/>
        <a:ln w="12700">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47795DB2-867B-4389-A61A-111D7EA9DFBC}">
          <cx:tx>
            <cx:txData>
              <cx:f>_xlchart.v5.2</cx:f>
              <cx:v>TOTAL REVENUE</cx:v>
            </cx:txData>
          </cx:tx>
          <cx:dataId val="0"/>
          <cx:layoutPr>
            <cx:geography cultureLanguage="en-US" cultureRegion="US" attribution="Powered by Bing">
              <cx:geoCache provider="{E9337A44-BEBE-4D9F-B70C-5C5E7DAFC167}">
                <cx:binary>zHzZctxGtu2vKPx8QSPnzI72iTgAqopFapbltv2CYEs05nnG+/2y+2N3gZTULBBiyecowqancEHg
zty5x7VX1j8/jP/4kN7e1M/GLM2bf3wYf/ohbNvyHz/+2HwIb7Ob5iKLPtRFU/zRXnwosh+LP/6I
Ptz++LG+GaI8+JHahP/4Ibyp29vxh//6J35bcFs8Lz7ctFGRv+lu6+ntbdOlbfPEs81Hzz4UXd4u
rwf4TT/98N9d09bRzQ/PbvM2aqefp/L2px9O/swPz35c/6ZHUp+lWFjbfcS7XF0IrWxlc/XDs7TI
g0+fE35BuG20ZsK++yGfZb68yfDeNyzkbhk3Hz/Wt03z7NN/H7x4suoHn0dN4d5v2i2WFf73z3db
+vFUqf/1z9UH2OTqkwd6X2vk3KO12o/1bXqTf/ysgv+92gW90FIQIym7Vy890b6lLowyXBgl7x/b
K/V/w4K21f/lxZX6v3y+Vv9x99er37vNs5s6+Y7qFxeGSqmJoFvq1xfGEC2NYZ9F3hv9N6xjW+tf
Xlxp/cvna61713+91p3bNIi67LMKvoPR2xeSE64Zs83djz4xen4hYfCUU75t89+wnm3tf3lxpf0v
n6+17/wNbN6dbz+E3zXSmwvFmbE5Iff6hXE/DPjigjFNbEk+hZxVxPmG9Wxr/8uLK+1/+Xytfff3
v97291H+fQO+ZBeUS6Wk0FsRhy4ByTZEfCXef8N6trX/5cWV9r98vtb+/vg30H59k3+4/X6Bh8sL
Sbm2DT0tcugFF5opqdV9PDLms8z7eL8/u46vKP3Te2udf/r4kcrf/vUqP9zW2U0+fd7/dwj25AL2
bDQqmHvlnqqe2BdM2/hL00+6/yz6XvXfsJ5t3X95caX8L5+vte/9DYL9sb1Jv6PuObsQVAhh60+p
FLH8YainF0QsWtfiVOlnl7Gt8k+vrRT+6dO1uo9/g3L+5W0b3tZLgG8+K+A7GDxFhBeSK/7Jok+r
G4EQJA3/j72vYs03rmn7BE5eXp3DybP1abx8/teHntdF3XbBTfr9joKZC6kpMUqcBp2lrcIDhHv2
Kejg+X0nfR91vmUp2yfwnzdX6v/Pg7XuX/8NPOFdeRPln3Xwv/cBjqhu7KWI/KTfUx+wEJcEZ5Ij
Mdz/4PlD/Z9dzrbyP7220vynT9dq3737603+3XD78fY76l3A4BVH8yQ2Yw/AHDS6GkDPXdiH6ldq
P7ucr+j903trxX/6eK35d3+DTPtuiNr5PvZ/1sF3MHt5oW1C70z/rro/ba30BVAeIzna2/ufVdT5
xjV97QwebOjRQTx4tj4N9/Kv94P3edTefnx2DQz1Y/E9kQZ2YTjTDEdy/7OKQxRxyEautj+Bmzbg
t4dx6NvXtX0o6/dX57J+vD6ag/PXH80BzcrHZz8XqEw/6+ZrjvIU7vr1Z19Qae+mvdndwdkPYNmn
n95pHRD76tVPZ7i5zvvjPX786QegIETDMDRhWtiUcY1w+AU0X37liS38v/+7FIrPjs1JvfjVX3R7
07Q//UDJBWAWTbSWFF29zSBiuF2eEHPBCEBf4I8IydxI1OY5KqDwpx+kDbPUWkjECkIIo7DapuiW
RwjwWlGCtGkz2C0X7MuY4XWRTkGRf1HYp/9/lnfZ6yLK2wa/+Idn5f2fulu2bQtN+CJfMdRChKIN
KD/cvIUX4g+T/8PrpCJRH80eLUbjtF03XDatvKriund8Lsf9A319ozi4GzSttETnAWd7KK6VFdfC
hLMXGxLuykJTp2/T1qntzN81MVX37nA/ANiQB90+2p420jBgLQwFx0pe0jBhKpHanrLwr2Eg7Qsx
pd1rOx0nb2qaNHP8YmqPJkyDvaEzuY+UX5XPN+QbIbBdrEApg2N8uN8k6yKiy8z2ZFjKY2VXlpvH
Ij08rdXlkFaHSAHmLaiSzYFVr6XUQUloT3CI5ZB7MW2KfZfL0s3saLpPxF/d0IZCKWwGJiNgMXrx
l4cbqssm1qycZi/hur1sjTXvMlEZR09FekmikLjIfGLXDtbsMX8ozuyUbMmncBqYvZFwkUXhD+1V
F3NeiWH2qrmaezeWKXkrsSTmJB2czQlFVh+quotjx67K+EXGw9lfzrirnNyqwnejHFjnJglP3s9D
EcZu0Pd25GWdFbyeKZ8+Rn6nPthlFp2zRbJ1TEj/FKUZtCeFfbr22Mxhl9U2jD8rzU6GWe1WXRvs
TKyt19loa2e0rRd+7hMvDOPakX0sjjDu/LIprPQV/Ca6pLpLPcv3rePTJrSYyNqEmCEKkC+TyIer
tY2RbvPS92fPImHjDJUqDwEGkG7v927UqNqrIuV7dUXHq6cFbwQgpGZxN35ZRi2olx4eaMGj3J8U
mz2/VN1etdN8rPph8vJ+/Gj3zX0F/1XzfXQE2JvNloZQGM4lW22zyYrBWMnIvTkaxD6ntXmd+TJz
DO0L9+mNPXL9RRQnMFKBRlOunZL4sqlIM3OvKItD7uv5VddX2Zn9oFw8PTYIoUwJW9oKkAJFBnmo
vdkvuaxDn3tj2/rORNpqF/P6oxF15Kqynt15Vt2ZEPDoxBaZGAhzBAJbKbY8f+CCFumauK9j4fWF
P7we8rR60XM/9ExSB57OSXPf7H71zMiyiRPbXAQKhDeDtoZqufL5LOlGXkkIjLJkctIyT9w6CyIP
86XIa6fkt6YPxutOVu27DE51meUN21kiT84E8+2FwHgUw641jvZ050IO2TRqi3titubLLm6qF0Gq
2G5I/cjJSJldWZ3V7oMmLZxZjNWxToZ81/VIqk/b1uNjJ1xifkCAYAgCnz1diCzLMqyyRHhllZWO
jGz/UPB2p3nKHRPZpZO0NDgXeh+FCAmhCpaMQokqoLkroTmrpgSjao9aXesm2nfHtJgcO6eTK9M4
3LGB54fAWtagg52djQjKgps9C+fGlX6cX/ZDZXuhYi9ZVdXXRgbMU0a0ZwxmQzuGaanh3zgmrVYh
pat4Li3Oba/r0rdSpvObgPnZ27SUvxVtVEdOlerwjMxHeQk4BxBWcaccSpdS7qFTcBkFPhpD2yuS
qrruG9tyEGUjr0BU/dkOxw+FBUMxuvL3AS+yM7GGbJwNOAKINLAJJplapWVJi3DKGw3l2o2CmnX1
XmQld8aMc69JWbePUovsIp0Yz6dF5rUxLw6TbRpHSi52Ymzovisz6dUDEnlSlN1OGto6phwy72nj
3VSVkmRxICnZAsw9VNU0FWWU9rPtxYwaJxus+uVctNQjfV96SREdq0C7WZPeolRM7ofjX40lm3oy
MAvkGwHaxcqDVWQiMjQ4prZtupeJX4cuKsH6qmyswAlIkOwDJMKfR1GyM7t+nHlgIA8kr7ynKaeO
tpWEUQ51stMM5VmX9/HOyqebp/W7Zf5IchL5AGUnGptT/VaFyEg1d7Y32kW7q+oS5cSo9C4gJDwI
SqMrn878jAVuHepDoavtmUGaNlcQGmmWHQgv1WXu5x9mm7+WpeKOTqbKG4NeXc9h+WdLCPiewAgJ
7ZUWYA2sfK/rVBMnPvy9KBnzKoSW52j282OS836f25E4Y0RbRynAXgBrR0CwWDnb1AwyraiyPZ7l
ylWJnxz8RP5boWQ9075sZBxsbekOMajHGEeu+hfL4nNRI/17eZa1XpQEvZfnfYXWhWcHM82dW8lC
HUbd595oiXAXm07tcjukZ3RMOKzmNAljJQqtqq0VUejeTq1KcDsr8pDaXq2b2mF9Kdw+UtrN8yTd
qaLUr6yuL9026/huzm3fMVOVu9HUhK9YUth7TtvxqkCnfHza2smigvXCpCR3bBFUdmx1+uHU8Sg2
jHi9CBonDOmx1uUbOs3Uqf15dqIpG44hjYSnhO+7U13VO1MjBOaEDbunF7PlelIJjuIAxbS+W+uD
0oimnQzJ3BNvUKTfo9gOdqUso8t4stSbMDPBKz/PmjNGsuV6iMUSU20bHD2+nNwDobLrQ6V6Qrws
lugoeK8vZTa9sFpTOMJOo10uhtTp6s7akapNDk9vmSwHv9a/QkPGmUJBCMj/VLyOZrQk4BV6QCbk
kaI7fE5sS+75oDPH8tNwJ9J+dPOlRwvUUF+1zB9f4o/NbpqZwStZWe77MpVH2fDSzdG1nYlNW/6q
BMHihERzs1ZQlsh6DIOOeHGeE7dTcbTnbTzuG9GaV09rY0sZWmliFmGIEavYS5WUTZow+CtJxG1v
UttNVdq6VV8M+6nW8ozBPc5nFHEBhZmCUwq9sNQenv2A6D8lUhFvDEPfTVu7dO06H49+nRUOrcgL
I3M3bUjwy9P7fBwNIHepDKBRg6n+sq4HNsd9Kqu5QKMqJhq9DYxduL1m+oxtPbZsSMGAjjMMUlEI
rmIOraxScF8Qr0Pcf61LqVzDusQNU94e/WSSTlWE2WUp/I961PpMmH98lot01Poo7FBTrc+y6+Ns
KGzo1lihQdUqqBcmOnif5igOgiq2zvjx4+BBbUbAP0F3heKervx4IKkwZdhQLytQTFdVaBwx5yWq
7Cz2IpEFu7mJ+OWfP0ggj0szAUBOrjsJ5tM6ixehds6HFwGqNq9J0u5PeyBCA7HRNMI3kDVXZtoJ
Fugm76hn0CLsiCjUbqqm7hinevae3tBjZ19EKarxD0LwOmOyeIh8WmFDYRlPHsnK/jDOdut1xZ8H
M5GYAUEJwuDolKrlQB84QRP0XcjTiXq9Pc/7IU3+HfZ+4EWyBQA29cH/RIkGmAVgWgDXdOUNs/Tn
thc59aq4id2mQgtKTRy4NMG/nlbiRt1BbcxEQDpGo8fY2hbpXCU1Ez31xrxL9oNf9LtQWygpiZ6c
achGb9ZGvU7yovQCE/SOLCfqtqFlZ2e84uxS1iHVKiuTtQX1msHuvF6X2g2QvvestSdXW/notUEg
HaTH6FeNQsErs7FwSV2LM0rZ8k9FACJSIC7Aj1ZG3COVKZ0nxFMjjS91LJ2RvppDbTuC9LPTB/k5
t9mKQEjsBHQRIhDeV1u3AtKWLUAzr+TC3iWxpLuG6dizy/Cdn1jRmWSytUFDsTOMhw24Wit71lMy
kshHUO+mKDoye/R3Wep3btblb0Ri9WgoovDM8W4lMNTQAEO5jXp6Df9FkiQ58KslkUzBziqs8orS
sD8UjNdvMJzoHQwK7IOstD4jeVO5Ui3ZxUapxlYprApZx0UZUy8uqXGLrp522UByrwuLcIfDPOdT
W4EJlyiAARAO4vMa/R3aMeaDBe0yv4l3LOvEPhJ5uCcKtv20+7KNk0TDgIqAQ60UOP1pZGK+TQeR
R/CZxhpflG11bG0rclgdGS+rwtqxSLlPp/xoUmJeTKVtntdUv7d1aaEqsgsHPY5+I4OBOyFSoBMS
abmzKPdsHuPLgab+wU4L6fUsem/7Abu0RUjeU2sOr6OyTfaiDaiT23o4+EUcOE1qMCtoABZZ0zQc
ozhUx4zO9bUY9OxOqtVOwEi3f1oLGwonNsIkmhVcaaHrNq3vc5rMI0wrHLLEkyVt3gDlKHZhFcxn
PIdsKvw/stZpNIkyuwxCiiakYdbzzEydO5NkBmIpq+MYj7Vn5qbdl8zie99nYt83QbqP4yQ9AkWs
nLhi3SFty9rt6z6/rqawwzp7eUYlGzYPlUgMFKEUoexV5+qntE7KEr3SADu90un8c53UyS8thmeI
7/Mc/Xkfw+jTRtLHCJ7zu2nOgwypVGAlw1LAma7332T20F42vhH7usvYnldDcuYcNo8cyKQA7IFd
2svzB/KsINemlRbxmpoEL+IpLV0LoPKub6bxjI/dBd/TvgdzKPA4FkgU7ZdYlWsWjwcrXmCWrM7a
X+bQT2MnnJn1dhT9ELhFEkavk1Gp16a13w7J2HsiSaJL5lvmZZRW5a8lGZ2wordx15AX9Wia1Mka
LrkblmkGM2nDhl2V5Whcyy9CIGNluzOJXXvWaNrBRYs5ds6cjZjS+H45CHeUfk+d1srn3K2qUv1i
tyOd3Sr0xZVvVaNyiZXp2aFzM7weTVRfmTTPZsyZWPeuUkBLHCCm6mWAmpzv8zkNX6UpTW0nDai8
ESkbY2cSjPTeIIq0OhCV52IfKtoFDrJUpx0xBVniCJW0vxk/Tf4gfdFhNtEF5aHikfmXFTL9Lz20
w1sR0+6lyuX0a0azvncQxup9KbqCIqe39F8Zup50bwZRdwiYZcPcyIrb34e4qt7ZkyD7oaJ4rSEp
f1nmqvzNTBF523ao9Zxh9nfAg2Z7l5Nxyt1WsnZ0syBsPgaii1IHeL1vu5xzuGmD5uNQBozbZ2x/
KySgN7LRC4JY/ng0gxpCdVUDqBETmcskl79WaRftWFcRT8skd3pMp8/I3LJ/Dmwe/SASOASc2n9A
4Y2ZgEyWzcMxh+U6rAmnXTMmzRn73xTFgHSAbQaskayqIVFVvqZ9C9CtQyjJS7s5hHlX/DrPOJyn
A/kGxEDRNTBFALqhJ1OrdEZDO++6sre9xiTKY6YV13YW0ssyMM+bQnWv2izL3dLW1d5MAdnVbDIu
B/B3NaFAdIMoHXZVyubjMIv24NPOHJ5e4dZZCxTlC8sAKIhZ4u6DuDPrZqT2NNqeH2SFNyV16gL9
lm7RtrUT+8nwvI/VmXJ0A5GjC20EZD7wCkBwWh320HE6qr4hXs4SjLtnxJ5dyqfaC/O+/JClsSyc
ksXJe6GDLnR4Ngbv+1iPv0xT5r8bqlS0TpR0xWsytiQ/szq6nP8qPFICqBCVHWorTJZPVZLRtq1K
4tteMkdd4Db92CZOQeqxd0I26utuIOTXBN08dzPKwIuwxjR+GTJWpQ5gvujXPCzrP4TMs+dBJMvQ
CRpuv5zHOnHQiTW/hbgy+aacw6h0fBQq/66sRr0fy4h/7NhUyzPb2UicFPNHMPvAIQGKvwr2QiME
5dkIjM1Saq+i6fem7Lg7ajvam0bQP29PlGKUxDnmneAurzA16Jn4UzbjaBub71I1Vq4K7ABDtFC+
ThIVOTSHWz9txBseDfQUA11cYQYiYJbnD4y4nnVf5apFt1FFAfDaonFnkE2ObcerM6I2QFs0UYA5
wIZCCY5B3akspaqinyNsEJSY1AumoNz5GqlDDS1xmEV9TxWNvzPDjE4z09fjYOd7q5ri31VTjGcO
dwNmuuvo0NRxdLvrKiVuBlP7IkWhmJsKMcYKnT4L56syyicntof8utdx5cpwiLxSxO0Z8Y95IRK2
hXvX0ASYEILRU2UMKha0DQHgslqqjxnponczn8V14w/JwWSCvUlaDWg7yer3Wifdu3IuMbJqS6gq
lINTtvnoiEiii2ns6Uzw3bJ8uO8d3QZ0hrUpzqNJ/bgA9mVlFTmUdvyC1+OBWjq8SoN4OpPAtrp9
MOIIXA0tGbm7pfXQCE1WM1tPwFTGxi89zMuok5RzdYjsrHGTkOMEgCM5qmWOBSgkrwj3gEYGZ7Lb
4s+r6AWizkIYA94C9sHqSKgos4BjhOAFi4dHQ0qdaOjp5dMet2F4DB0KsppQSoEGc3rwUqU9adKB
eiKV5E0x0ckrg6lz0r4d90LT3Evsvj7mPAqOXTWkZza5JZ5gYGBQilBN10NjTIrCtJ8a5s09UDl/
HmcvtwvlxX6W7HmfCs+oXrlxWv1chsp6/fTmt8x+QZbQmjFM70ApO919mCbKjjogdZE/SyetUnnd
2b3xJk2yfdvr6XKZCgCOHPVOp2O6FypO3c5HaxkPMtwVZZp4LBJvdTmUZ1SzkdDRQlCkVaDbKKRW
ATgy/cyLgFFvUmXvhTMlr2uUJ0fWYKyUsLR3pnk+hxBsCcUUBQRImD8g4FVQHDsKKpQMYXTTrqvr
5CXr8nkfKRZdpt2srqf23FBv+Y1rM0eZi5iH/gxf8rCSGHMT9mMJiWZgBsy9PN5Teyy8Iaur56EK
2TJe7BzKwuwwT1bv9LEZf05MfZOaeHAsUdZnFL8RbpggYG3gb1QPa3JAmuWyK6qSemyM6neWkt3B
6sv3TVnLA83S+ky82ch5aIcN0h36YkDGKyJNEgDwYmnOvIiIbBeXAj1Sh1pSmk6fC/PL71orG3xd
wDK434vv2Vi2/iC/CvhbGpiUeRgft9eRKDEzCdvYHUYSe1Mfzk4xNMKNawtodTa3xzKU+ZlovmVi
qMjA24SCQb1Y5fgoEE2T21jDbPIKfl+kjj2r97ltaqcmseWWcfHvp/18UySYSgsvBQ61xr1iEhXj
yEcEuTlsX+ZkSFHG1GCWBLrwQGqZQqcdzLn2ZDO6ILIsRFGiMblemXZR86hOiA9DSph/rNKk3CVj
J68rf5oPuoqIk/SF3uGGUho6fhvr/QwinRO0ee3JKTc7O+ZyNzBVuZbCAT2tlC0zR7ZH4EPmBwmd
n9pCm86aN1nIPD4RsEFMml2q0h+dCQj/jsejOefpyy9cGx9Ia0obuvC91/wkmELD54TenYI+kgS4
gIxJsvd1UR58Vt5GMhmvkiALXpVJ0Rz9DAGh7HX+Ih/F4Bg/cFAdDsen1bDlfhgxKII523LzemWO
ohy6HE0x6JggLc4+BX2sSSevVSw/o/AtK0R9h+/4UODFgA9+qvDANFEUgavnVVagniueJsB4Z3Vo
+Zh5VSvs64BF5zg/W0LB5MGsZuFm4RsXToXGoChHAW+5Z/F82E1jcJjbOtkbQihoFMXPoCj9/OcV
Ct6bQihX4IKvQamR9Gmc1zFHHaFSd6g45t1NFThJE81nQucG52y55oRpHjEYiWDqfbq7iIWBIPXA
gGvZ7HcZ9NGlsM11Fweda8oOgS0z0S5Ey3moVUrdEeDx8zyf7L0WXXvN43QGR9sqjyUK210+kxSk
X2DTUxGeCb1bhQ4KSjDwDe4jIp2frjQOmiBJmpZ52poUxuLBTd6R+iqs68r1+yS56sTcO6QIyQ7k
OHpG+qKHteuBLGu4QvTnuHd3Kj0veN4FRcBRS079Pm0Rc7vG7t+OXVMegC7aL+ws/lnqcTr+eWMw
6K1gghisYGh4KjgcAHYJP4XgUAAUsXVwrUZr8NA4tP8TUZojteEbXaDnVTzjBQtCv4KlN35eu9ru
MycN6bTTVdbunt7V3ezxkT4NwF3sSC8XV1bb0iluO4zAFQsWNy9J2XUgpzfzzljk36HOqxdjaOKr
aqw+YKJGUcGIyRWzGQ/pTMEr7HZ2YdkH0zSJS3OGOwSIuyStbUeinQc/KB2uA6SLQyAz2ylCf3At
q+JndrEVGgwIerjKg6DE7+CTB8XAVFvpHMQ9X+bu4z6sM9Bnc15dVaqq3S5oepQFNTnnshslCEiq
C0kKCOHCmDtVHbOmLsmbAaqruug6QeRyMh+ckVEVkVdjoOqxlP/SZTI4FEWbXvdFQc54wxJoV6eH
4CQUkjIWoPgqaoSYdvmJgqWU1tCAkJSVr0qtfovGLLq/oP5VrifZ3C2+Rwi1FpocjPlOdwtk14yx
T7lHgh7c2xZD+lKMfyT5oPcyKdqD6sbOtbMJnbe0LHc0hp7xiy2gA609wBQbXzuC0LMyVsHB/rZ9
nDMucyRHEHGYq/xCO70YhktYn3ZDVUV7yRPredECvs8iYcD2M/5VFgXsTPm3vZzF5rTAFxSA0Xeq
kiKbQitK0DOHxVC6rFW43UEKyxloK7wcdYAj+n7eM1RsuwGY6zFlrHZLbYw7IbeeOaGNKggcAxsJ
GTkE61mtJiKzb7W2zb0k1t31TBCg5qmwXgirr3dxQc6Qs7ZMDySUZRSFqwG4wLDafJgKEQQZ0jEm
p46mVnKMQ4OWEhjAGUVvisKYbZm24etm1nV2E6gpH2jNvdr2EUREiNAr+tIZK+uciS2rXjvUckXw
s6hFyQ8iST6kE+ZDcKi4MKFjU23vaDNU3tNR9w7PfyRmQWTuSC+42nwqRmlfNXpAqTblU3sjAQS5
YPwkTgNK4LHpE0RJQvKjHbD8oNk0OsYC1Bx1YFs2bRoedJfE58LZ0oU/WhPsRmGoDiR8TR4Ix7qp
xiXBSUyLQPwFczBkJSADWld7KrP6Q+RP3GnnfH4x4BrOMayb8BAPLd09rZ0tQwaej8sYCDNwr7WX
T7jvVReLW8XlgJlcFb9AR506MgdLpAgTca6cXwL1o52jbRco6Akqy5XAkglfVCMuF5X2a87SwRH5
+HtgDeLQTbHG3CGbU6cSid5FQVy9GOrQ7KOxSX4J6yE841abm8fNHBBG7sYRq4heRoVI56KBAc5d
5BpfzocmrSqvalSxF6Hq0jPnvpE7MQbC4GO5QLB00qemWMatSNuqQhNbh7aTDzJymnJOXKsofgM6
GHtt2FdnZG459B0BmwARhDktzx94mTX1RdkUPfNsFgRX+ObQwcPF0tpVUXUuS9/lpfXh4poTIjS8
FVDoSpbiczBYpAbJECjwzsatI4yEm3GH+FU7PW7uerIARm2S1njFhHo17TLiggJv7WvLrjwA2sGO
JkRdibYsj3leZc81xwVIjfHQPqlyy8NQPnV6TvPLIRSTQ4OBuRNPi0MlstDNR6b3oaWqVymuUu7D
KKfgqqhzINtGYcwx3sDt62VK+qgnm7nO447PDITHLPIooGaPhqE8VACYvDJtATMn4XSsu7k9E822
TBa1OK6iagwhEJ9PTxPXloyuechBLFXNoSuL5nUgrcLpaOyjO7Ht/4GLcIDZNrv7lrHlC1YfWk/S
SxVRXiE+NGpyaTRKhxYB+J2lT5wiYvLy6Xi0pdmH8lYuyUp7FiHo1Lh+1I1O29dsV1vhc5Bx2mPD
h+RlV7MQ07ipfvm04KWXWZvugqXhH4VrSOuONxQxxmQ2CBjgByd/aJHrq3hCRavnaXiPcW3yIoM1
uVGlgv0Qm3Ocrq1JMS5AA7YXZuFEr3nJVl1bWYLOwZvjzji2X0S/+SjDr4rUjMcw14PbNrS9zEbu
7wfe0ssKtyluogm0M5XXz00XEAD9jXKHoU5f9lGSnzmZzRUut2zRKwH0h5pOTSEmMWx+qiggD7AI
ZZ9/ZGOFRkmJ5lAtBPhS6cHxpzgDJ22ke91i9oDL1fbzhsraGSYVvxiqkr20A9nsehTa754+wq0R
DFeoxzCSYFjomudIGqsiClIxXLGi3BnnlO+KjH6MZjbth7qcPZA/9L/SIJF7ZgEGlkqmr2w/rM9k
1S1jwoVPg8m/jWC4joMiaUk7CtwM4wRtewuqoJtZCT/q2Q+uZCfloev5bzMqyH00jZgePq2IrZD/
UPyqsMpCUU+BAYluHBv+3gdKgYstADEd1JbvnxZ1RzZc+w3uBy1EEWXbICSeWkXUx7YRYQFiVhJQ
b6BTtusGGxeuuSiOHW6vvA00bZ7Tcs5R58TTIbDz8FhqZL0x98VbdDMfMxq/M2gnr8DVFJ4go/oV
dSHourklXmIENN1YqQRlPpa+m3HWOHRI2udhN5Pf7DwlO5I3KYpIhWJCJMVhND1YOzTIn/uYju7x
ZQl6X+UZey4wir4SHa32XUq7HSVycJ9Wx914ba2O5QsBcdEfvI9HxFfoguekA1cSyap7E4a47IuL
ewoU4MB38aUA7HlfduqKZlP1Iu7n/8/clzVHqqNt/iJ1sCNuJmIEJORip/fthnDZZQECBBKL4NfP
k+ecr+dUdXXX9N1E1I3LCwloed9nU7+jZb8ct2oM4sr1trMM6zkFvSSZO4RhMvXT9jQsgXPmU99l
blB3mOb1+n0TkNT6c/g7YuVXQwcmEPtSE2En/1kOCCxqsZ2W2slY4KOvbaky6K1FBspD/WZruawX
//KowB3DIw2ZI0zSP44c36tmOs1g0dZWiB04noqRemqveyD5LDRTl6zw61795xf0y/vDCnEJOgqd
8GdjBqIKWtubwNL4YTPt3Nlvn5YlfLchF/tNi/irK0F2cXmn3i96eLsN0UARXEmpZdxDs34ootm5
EaH7u5rgl1cCzw0mFGIzCLd+fJAwuwzw6WJhXsam3zttJ1M4uYrUCRfym/H9y0sF7iV8Bkgt1rYf
L7UNgOsgpMM78yTkd8HQ7EKNEqgq6fCbTuEXwwMeHXCscEPAGhb8tN20qw+UswANojQf9yN3eebb
UsWQqMJ7LUCoruS3VNcv7s8HtwSYB5Mftp2fHmXkaU67PnKSYKFR2nOvgRrLN8xrot9Bu79CA0Hu
gMGDZgVtMP1p5dQIGYmKFUzKHKkuWwOIKitoR1KrtIIrUrkqNfCD7whRy1tddgMr6SWrgJYigVVF
Z6SRAIEjDjkjokIS7Nr+bhsIPYUzt+6kUzuQRrvye++MQCeaosvAG/Gs0v3bf55Tv6oMoIcBNQf6
8xKLd3mqf2sx7N6p/lRawHUk8wqeC9YTzU+qUfwwFz2q46nuWKibejeIdc0CY4mT17QyLvq6Tayl
HhPVLu6VnruAkSiQT//5I17G5U9rTQAcCz0uRF3oPC8b9t8+IZAs+2K0hax8hYTaC4061KVV/PdT
/m9X+ZeJSOeqXiyJ2THJkhzKsqljD/kCuSjJ78wlv6gwMG5AOF+SLDBif2qjmwVo24h+HpIHH/7v
UMyZHqYeGqAwSqvAKW5Rz9Z3Uef2e+hx299Mzl/ME6Ap4J0hfrjoDH4au9a0YlyvCEEwSlW43ao+
bN74QRals//85n55JZTlyIwC34ZMqR/fnD260JBcVDyl5PJeuuGSqakEcO66y59l01/pXTd/joc/
I6Y+ZL+qipd/HWbxzy//17n/3t2P6vv38eq9/+Mwhv/7vR+/xB/66y9f0rZ++OJfgsD+TdTXn+dp
/Jtv/r/lgNkXrcW/z/26em/G9/+JPrvkZv3x83/Ge10CFREbDRsJKjdwq5dEor/ivXBuBkXDB20N
YDOIILH2/hXv5Qb/uKDwl+rgstPAK/zPeC/XR4AgAAbAOlCUYo+g/028Fy7145yFRDSCsxY7AAX1
BFfqTxuAtfCWcEFG5rsVq2iYOoD/J7+IIbS47Xrgv+v76Lo3dvO+lTd0epxkNjo1C9by1prqzK1B
D9SndhSp1vdLARGnzpX1BMtm7gqLVa2d8kHGqm6SYsupfbs5Yxz4L1t/FVR1fLn00j84JhtRv89H
0n9AzB7Bi7zm/DEwt1aTheoBfuwWWqPSdNikBgYgWjoTcpuKRMp8G5osAFdW8Lgp1UHiv0LEeQXV
nrZtohwOHrFmlfp+cUoqXzBL3/RcsNH77smboC1ZNaj7uasT0X9ti8+K6GXtW2a3wzcILc8gPvYE
cJ0nXLbwXPnulbDaXUUUAjReqPgG72dcSQ60B+sq5GdBFSR2ESNMKFWrG1viw+n7k/TvrcLJyvnd
uPIJqtvUFMvOXzfN3EXmbfEUzd3O7vmuleWRD2UaunxnG3tP4K/jw7hb4BqH7CgdSZWIsM8XCQuj
+TJLm80l68PbtXrzhv1cYi+VrxM/lkMFuT2yRoQCc3XdVkPsRjwtijFeio8WdAKQWN/JG+u7vX3Q
7YFE73YwxSMQAbud4nL95kPRNPLqJirKh4mWKJtzX/FUCZFZegU19GJV234lQzz1S0o8wiZ/vCpm
HTc27D1ligwtDWVs1DUx30Q28+lsOjxyb4gdbXbCBQddutk6D3EfTKnq5zQ0/bVrdQxlqw1HjgV9
dnmJnSJObNMBzpf3ruExBP8MiHNsHZe5PFSlzmoEyWgAfPNaHXvLiTd57w7M1J+dR+MBNsguXBJ4
gw31mFJvlgGsJJu4A8TV1Com2BYX7mZGY3z7TdqFkNQCCOnwp1yu9wHKAQmTY9Rl3hKegnY+htxl
XeHFfVdlGz33ox+7YcqrhXVOc+DB0zy/Qo7J2uaq0QVuFJ8BM+FyRe6/2dMUy66O2+5VrDYeE0aq
u6+rj9Asaa9WGKhMMmC20d6N+bDBSarYVgq2Fk7sezBjDfDJVFvelSODWR6fnsNYZJJqNJB9f7Qw
lHTtwpnp1qSBZW0s191gbBYsJkFRCPP5TaBw49Zptu97Yc5tkfxtJfxrtf97gGDo/GqBAVIJQS8U
B9hGf9xaoGdzonKsoBJrvqolQSH7KBa8y6LdBUuyOTccxn9ws0Br6ckb6v0atqk9I/1vMztSLJls
ip0JkAHg2rsZTk7uIZOr3AWRjV8L497+1pk7wNkbTcbvpVPHFX7HHmI76pi3NoklASU1TImIOfNR
lnfbsJMhgay8jKElZMC7WOi+rRBNu4ZR6ykiMgX8FgdzGc8UcxzI6HYKvM+yrljdkWOgjwN0/I0G
P/SOUA8NjdIsMrI8QLeTdFTHSG5E3X7W5V07gl02v9muf2Zb/ly1//ZQf8IephDdHKLR4O9pHq1R
3HiyhqFZsM0I1nZva2/HnfUShHgoGVA8uKl/l9LzR27G34q9Pz7CxWUMewHOYfmXMqybCaGLFhMD
kAyZFKw/ZSxMwvVNUyZ18G0DdwyFeBmmvkotGvvOnRfsO/IyhHs4R4U8Y6mwnCerOmHWk3Vv/COn
WRMlAoC9FeS9NWEx/U07/BOye/nU0M3D8whvCwQfl9zMv5eoNkZMZUfNxFT0bRqbZLKCeAtPK7x4
/3nc/wSx/nUhKKog7gGz+7PlY+JTM1lLOzHMMqdJKMxbPKYmq2jOf0e+/Zmt9cPLALt30a5AOYjQ
hX/p8mHXMxDFlxMbyIl2wV1Y2PtKLznsJvkcIBTGg3YX9J9duy9LD4Wd72a2vxcy9SFiEMtVEwJB
gzGMibV+pNpitmh2HO3E2rTPFicJxz5fkgB7Z5s3nbyveZss7hMMGViDx0+iEGTWL3HUDPtqtmLr
sppPPev59aI/bK/KRn+9gaAfJOGVCdTBnD3rdqBT6jqK8fVWlTaD3jOJgi+0vrGCvIxjYpJQMIqs
w3ntoUSMQB/1b3Pr7qVlTgbBoJ6NpWQxaaia3OFPTUCxxg77HlFzpCQ5b9J6+2rJDRf6oMAyArrF
qIDnBrbw+dqegbNrxluIjG1APtgQKdDoEZFczb6iYLvHPOxupbtiVe93S6WZHWqm8BjC15mr3dI/
E//psg2HSmT++lx6sFQNa1y0Wx6VsGt69z0g/aqCds+6WuDIM+unbZ0EHZJgW1hJHta6iofmc6Xt
wWpT5Ngd1mlmIvqi9meIR+BaKRmqeOneJ1FBDnAO7bu6Pc9jPll7Md7N2DkCGMwH8szFnFjDHztA
K5/HKUoG6seWjeaB9LF2TgukDDWYsFWzFrR+Qye2lGsG5PaSQAoLQ5h6KNpGCqmfSWClwOoJVy4Q
PE+fBnjgVIAU2M2wYXP349Y+0GbMSgiXWIMAHW9ekib0cgMZvoZytZb5ipt3Rc8ibG3bNGFIfSC2
g1mNDT4/lbYbR1UO+ItDAFYXdhauH3UJigoFj4t5IuFQ49j7JhX7/AR5bCK9MvVQm+FyXRkgqcfb
1zPShNSTCLfDEhwcnXVupkufdVLA+/NkFzydpyEPgxtYVbCUh/llS3WXmrWmTnoUMqRTuQUnWNME
cRRc+9VnMRW3RqRF42POjBmG3s4Su9Z5oTYMkj5+beK5a7yM+zSe/YsDJBFrefDraO+3IVtogHC7
i+OzQsxQxzp9tzn+feM+zv585XoTgxzsYENbyR9p2bGBukxD/KER0USbRDgIDCzuBO4E2Z9lYUN2
fDtMH4txUX0t8WzVsEQeZgStzsgWXMLdQvVBRwVqmDpx2q9pCVCPBCmVzl3nqbTpl73dFrHTf0kr
D8a7HgG+NbTGmFuFa7PFg+BVUKhuX6p5wVitkyYiTEpnX0Y3KP8W+n0L2piWqOuiONywRdpPAz1P
IFP8LXdRcbUwDm9thI2aPPjV82QegGTvCcXbWcp7AZ5iQ+iF3Y2xcs5A7VIkUOaT/iAS78t7gWEt
LqMyWZflUBb8/lJSLrVOp6hLWw0LaDnvyv6j08+96HMHteYqzrAQ7cbpFcEDj54RyaatOBg4kg5h
bMxJcaWjlNOnOcROiSy3in85PUpNKL6sKoQiIaZUgjLdrShI1/GixEBv0QYQV4UYqjcN0hwurlZ3
vdtQjtLpOXSuOJZZPT8XdsCgIYbKwYtHD3BH4CDEyABOfZHWQZMUWiK2zhNaalCsSEtG8qPr3NjA
KabE81KnfBpIeeAaa6wUT9Eyp0sBX2Dlp5dWYrKbM/zRaTCsO7fbsqFtQeKPqbvCGQpxW1si57Wp
mGkQsVjoMzDDmAcmryNI64K9q1C3ILg0CDCN1RtX6y5qhz3eFjPL01Q/2t1Xh1qJwH4PJ20Cw8Ee
pFJc1U86tNINVEN935hPH23PIKfctD0ufUdIkCGC9VC2AfMLhAmV6pbou0Fs+8JBzRuWLFBeHFR5
tS0JgisYn0aY0Va2uSal3T22Bm2XrBmbB2s5llDtb81+pseBvNtL98dHGeWY2ORGwM8C9jzmcDsE
Cp8UqCT1NfP8jwVmZmpj2sLs7GK0jpDlmT6FNAWaBrLDQIJiTsUcrkVkqsYCnS1VTcp9H97AZ3+9
b70uobqJNyEPNf20x+2y5IFQOKIhz3hVXnKCGUx13+h2mKN88fxY+Fdw4x2L8VFY+YTErFkB6stn
6xUiZQRqnoZKoQXr9r53Jn5mnFgst4ok1ZxzK+uLgzeeXHO/CjYUeYOqgNqnUPWJM7YxwJ9cI/pS
k+/avBTovVD7RH4Dc4uDteDYC5/VQbYMb1v31F+u0zbXrarfSDFAKja8BTSKi6mL66dB6oSKDcuL
s9PmQYX8VK1oJDBoI8swq0bwArfiyZyFvybLMsVhz+O1D68J+u9xGXYbnAZqlm+0ygUSXogZjuNS
p82289DDipRb5sGWexlcz+J1Dt9sp3m04aj07K/WRRkIFV0Nk2vpsgZBuu22Q/QU2+BO3GAk2d7M
rGKx7YouLtAQlQgSmTbkgKUUFrZJJYXXJqvlsxUSrE5gJeo7Ft1ueGH1VsXgSxMDH7qDoQp9LNvQ
uvYBq5E9YmOTcTBH1bgbChkDnk1K+6CwmPp91o5uPtuPW+TdOtJPDS0xWUQm1LwzNGJ9RJ7hd2WL
nHcr2quyvzf6NEESEUYzawpEljX3GrvySBZGlzKNwhc099cuQk674bEw3wlZr7Xb7om3xHDzISBD
fMFgzIaxR8O2h18AqARezCtxJ4bMlrSrMPEaE49WdxW1iKA2WIjFlPgF2vmHxR3jtvUBL0ypdtGv
YFj3wcyUgY0f909X9EclZ7bXscAaYznwbOrqh0oOWE0um5w4bArTelxYOxdpbUgaWH9Y4uAAACcY
t3g+FozwCoO9brGO4Om6uEO/mLG5d1eO06dBWaYNtphm9hmZsZ/3DZMRkvGsvGzrw2h5MN+tCZIM
UoSmp648zh02Xxk3wkNxssRr5SNk3FwTzGXIjdlYfA3Q02unycuuADuEmIFDD9qaugJeY9yLC+px
y7hHYPBsMfT9rIXMlUofqqnt5KLjJ0X9fbaQLjhTJto+U26fe7rZtRa9Li9ViqvPdWUeIXJIEIdl
ry24yRl6EYweq7/yuExk4aFpl4mYnkzRQgFfp0GBkVqzmbhJUJvrRqDsFC2iUc6tQPkBAbq5dK2m
e3fqAfIIvkdURsHackzEjEJi+tRYMuegOUyzvecB31FvQbuqYjPcbGuV6rbe1cG2j1CIIrmL9jwN
g/bTDcsdkoPiAclzo3rTxuwco5nAe5Qw2BUhdgeId4SD6hPPiPptPJMdFuPROrqICjfEME4QWBe8
tvR+Gr145tj+uheMZq+I7dXKPCQK1iMCIkiQCF4mTfGmbVQmpM29Fa2y3JJFPiln23Uu3rd83LpH
NAVOr3eQiey8BjEl807178gyzrr5qt3IC1cQxXv2cahfOH0BsxiTZc6W9co1smKIqjgDpL5eXL3f
RpgznSUDCOd7zWFG6dR21d0fzdZ/hSkDAsS/H9HjP0Df/wstX/3Pwcz/8aey7/JyxJP++Ycun+af
f+v/E1waYPK/h6X/96T/fgL0H8A0fuEvXDr8B8QbF5k1mBqYCdG//glLR/+4RJYiowDwMpplCDz+
CUt70T8saOogxwIyDW3d5TSIv06dwLmJQHKA7yD/ClI/KJn+K1gajpQfYSN06Mgxg0wIxhjwEtAw
/tio1zh9Gokzpo6taC4OesIm2aypWSBa4GW4g+/qEIEGsdwMEz2vDOKtPfMWVvUUzw7K+MbuyofI
X6eVeaQUj0st0UYN8coNWp6H1bks86UPb5OMo9ZFXVr5KP5FX7HGMbuqetCrC2k40MLZnlMFKXwg
LyvuiGKCz/sJ4iRHvIzalyc3+qbUdFgdyhBWJZiHFILE00h35iKpwoMoz8iU2JtgbhhwsquuQxaa
MHfaQe6l90zQw47RGjck3A9YheLG2lDYiiZ26+rZQVwd6lEQsSFJibpaSMTURpJW1AerWV+NvYys
Rvc5ILNpIHWsupZ5uniZV5I7YiyBf04pjB6J4m84HISVC/qOt3HEtlfRl0CgnRJscl+n7rOHZbwz
zzMwbKRUOG4eYrWHeAAy3gD982Q9Dk2bwSHwiFyGDxQKSBKPxKPcDs5KkyoS0Y6iEmqAH7h1J2Pi
mmMkSB7OHcqDaDd5gh+ge97iqC5zb7lzTXFYys48hQN6H/oQRudwULhPdFUX0aKR5qxq+Ew7oNEZ
osDYVoflLTQqO2g7c+KGkKC0J8u8wUcU3SKtynpC1uzwYJNquoK+62kcHUbU+IbtPtWW9YLINNZY
w6vj9YdRSCbVPfIN4fvAfgxdJWCacuRJAE6aFUrmjXTSMPq2UXIl9HYcG+T09Kg19bYcENFI0fS5
+7kA/gfP4JOadDwsLTJzausCeskbtRZPi1cP37ZhWr7T/rmYUMebFWdY1wkiwW+murlRzhI3w63t
YJstEL7VFEnkGp60LTygbR+qmoXY/RyAnFp5DzjeSz9BufG4NgJbUtu1eSVXkL41Gk2oneAfknZm
gKvDjZOE3Rz73SOUwuliX1Vbc+sE/TEoyBy3m4xHiq6rjq4L22JFyxM9VXlb+7d9VDxJiUe6DmgM
Dx66NwQ/WixCGSpb+P8AkfMrHFpSBHXsYr+wSjT+RCacAFxz2keKwe2Hn8CJYimPImzPMDRCcNMn
1D/6zrRb5/noIIMkivSDU0b3VfOx8SMH/uT0R/zoVeAKyIf+8Ea8be23SN8GXn1w0T4ZmU1Rj/oO
m584glxjZpL4/PZ6XMgIziZklhlM7JW3hYP/d1skaKkiVhrwOceWSjTqtupxWK0btdXPK6fX1ubt
NqdhdhAjHsZm0HrENDw0tGtOEdxxQ9Q/DAG/7cO9a5p9iCylpPXtvNUyiLmhA0Nl0ANi5hNiVUxO
NPkyVVgdfVrf2EJducP0tVTVWwtmNd3W+kVeDIZlaaXD7F5HDmqbiVRDggNg1g97Gzgosp7eLjiu
M4OuYIQVqHPSzrUfSm+eD5uh+txu0bRTQ+cxiEkwtRBkG9eEzqyL1I2j/XvlyjsByA2S2ayG9+9L
bKv/1IQ46oZN3GODUzz4KCw6NPt4YX2l7wSvdr5GZ2rpfC7J1SQuoc7oCUL9ts2onMc2ADLmfIMp
Km+K8ahWcl+MtI7D+tVrl7jm6FMROc13XaOnmNAVFOBEwbwQr4zRnfPhvQAShkDgMJazc+7crwUA
9VIH5mXyjnJD9G8/zc/Uxeknc8DLz6VYDANPT4AhqDVacyPW1CqAtLuh6kCvbNbbMonwZMOkG0PI
KdNKj2MaCivKdHc5W4cCAxDaJ4kezqLWa1Jzz+Kw9nIE3w2ImaIPpa2srI6Ixk6xWR8zQJk4ko0X
6w0STGj402F4dsLhpQ5RXhXFi8KJDiqid0P12UMcx4smjAWoxhWTrAbwui96w7ogIeG5stAAcoZo
odH9QCs7ckwNxI+5w3Ft5L7l81tQt2VSUHSH3D0Ibe0EhmEvMWTdd7BbrORd6laALoBuXLrjYrVi
abyrZkH5Xmwc+GmZWeuLxnrmhOTV2uokHFrk67UewMkNqapNKEO20uXOLmhaL+rkgNno2/qu9IN7
WEh4FSO4rzn2Lb0O++pSjwKjnMwJ3XIyq0vTe185J+0nU1AwDBIHNehGb6nHX9uqSviCtq6iyaRP
nnc/YH0dHCsuLf7m1TpxxMzIKDKOiJYlis4RWAMq91qdNH8pxuGNaEzq4TC7IXqjgaHsZjPYhahF
+xAqVLD8epjhy7p4gEzzWoVmHwyPsP2/0H5dGVbBI7h2BHhxd0XKeYjGAppm1iMqrIzG8DpACF/s
qY6VsxrYNtoL08t8Iou4dXDtvbf16Ls43/LebHEbXnd8ycIyAnBUXjceZXK+pNFEn4hR2nFowShV
lNWIM0TmcAO5aXU0NVAWB3FEPQoN+NxiX87zPuo0Z1WDxNneE6+SyIdi6b55TX80Cgj3AtqtreE+
xAgmW7CTo5zvp87elYJ+OkYEicO9zzGInkc76nF748HDzEfmkbOhMVLBbnVsciyIV7DOx1CJOhpb
Ifrq5tUEBAue2VyAaAANl+bF5qvZm0FjLjoUjBdB49PiZqz5YTD1XkbRGINh3sHNmdahevHd9oHY
xS1ODbB3aGh35VBEbK4Ac/dbU2Uelqpy3HY4k2wnZBSPm3vskaZbmGxya8iUe5zDND2NwbwPgbyg
ux4Ax1VAkS3oQytAiYLaRym781TvIWHE0UyLY2U4Y+gI6TNMMuLQhXOOPBAcObbghMAM1YGc3GqP
TQwwiy52NVoTQI9JYKqzVA6bLPJ9doGTRGGC5LdbMPn3vdveQsx2dgJzR0qZGhz68ep6giGV/V4M
46tlfbWtm03yy17dw6KPNn9HIBw8Q91+saYY3tg8hNRAjAorwqkHF8u7q7K/mulb4Rys+cnGjC46
L67adOkPoAM6YJeDteaizqMNqywQqbWcExI9uauI6fKuWwp+DE2fuK7wi7PhMV4n3h1i8Sz/oW78
uJMmX+wS20X7Vl8KPEAGzrNCd+gUfixdCkQC0XrwBwMUpZw5QXi0twYICGg0Mt3XwKLTSkHPX9Rf
FvCQchJH7i2nSgL8DNV8XZd7qOWPgBKTDqbWa2OGpJq8DzUNcWSQMEWB5Nsj2cHcglW3z/sm6gAl
V8ngQylL5W0gHJRv5lvXD/myAQ9TMwFV7xycKtg3HLCBBTbXD+QjBaI70uHO1leOwjAondup+got
YLfAn6ILdIrDCdytu4F8trqEO5VMjQLr/PQ0cFC+wZgWFWwRriouyfW7voqePKTgVCidroGI9m2s
gZdrgYXT84mFsV8AtJpbmCqCdYgtIwF2CFZTSXcjcLZWH1z/asIBW1h03C/EKD/KC6SHWOcYWG94
F9VukQfrgqaidm7kYGDPbG/9Xn0LKJKjI4N3Ehh5rGpy13TRm1nHdLPJ2VH2GccP7Rf56cshKXy0
Dm3pyUNjLegDTKz9+n7aHjsP+YgKDxS5Ci4OYEGcjMtCSa+sRh9spZ4AL+dVtD775QKWw7lqKvuI
fSJeHNQ10joOCJSvnPLKgfDFIQ7sytt0NHpw4h6UDNZsAwonbHGeFYDREpG2DvCEtK/L4xBYae9N
FduClQ3Kjls5PdQa3BURCVqdB8TlMYIjXjRAhKjeuhNSUxEBPjYwr83jI20Nat3JKtOl3rLa6wFG
cxw7VI/vukIXsEzWB0pX9Qqnm06QH2xd8zbwsHgAKaq0q+N5AoaVECRIJhDw29AihA4YJzIcwwIn
I3BnzZAT5+aX8/v2TY347LG4b4KN3zQGjM2sVf+oNoUVt5TtEp7JasTZbLVhgd3jWIm5a5PIBwiH
o0ZQS2cFOD8kKtMk6KIdvGco/Qc8jLIjz4bK4oY4aPZm12HNhpCltXD32wVhCif/wRByTenlMDtJ
MSJ7aSgMVQuOtLMAzTndlkuKxk/OE+waJXkuKdqBuguLNxJEN7UFuZDjo2K3HXFe63DbQWCv9w3C
uxgyNbAceGHaS3kQUXEXKhdshOyvy0ri0IOuu1FzAX1U91nVftoouB4Cr3fToRIkrtsOqp26vqkQ
ZfBp+5vOaUObGEFu8VKhdIOMb0MgaE0yKok+jaGHCBvdoDKowD1WU3QKRmxkihNGccbcwZ+9B4eA
x8f5SUDz0Gn5XZeExnmfHe3u4Boa8spz4BMblohtGkRDCBPRHvVP1tsKix+slqsF6FZHG/gxves7
wHjBdh4Hsa9Cdaut6Hw5HaWsClDN82e4DeCgtgn0AU/CzfnuduLUbcEZGZmoNTFZnCmMnRbV42jj
9AglKxD3S1eeUcdfQPaVZOOI11ZsXRD3fqtxnIILuZC/tuiJ9FuvnJdF2Xdu7+SrDk9yGNLR7c4G
I/soqq/Bo6/KmvIlCr+6CmReJ74r4J6VLt6RG5E77QeNnvhiP7m2vleN9+CbtjxAWvyBFKJ3X+k3
2erXkEx3lYu7J55zhq6/SdUWvPccU8ECSgpKOG8MTFZOn7jA+Krqs0UTfywDGOxpYSNFZXZBrWjo
R+DFZxKm2E2jkKin7VlZPt9JUqFqh6ylpv01IWRjert1elPmbvPW24ha5dYsQY+OcDkMAQ7XaJok
mPQV8WHzcHCiZdxSuYvQKGzSukNeOGTX4uCYHoby6RsEdgsLO4jzmgrU0QCur4F4xjHjQXL+3HTl
veya68LX170jEEyGYqrfPmdIUVxsvHGp7IINokRmCrZrEP1okBFtgpOnrKbO0JXjmK15N+J4ReAZ
6/tC5nzaNDmFlH9BNOfYvD42w3zTWfMnonrBAHs1mv6QYz52L+Bud9aFqMaxDCjau7RT9EXVLR6Q
RUcGTXkNhgc6PGRk1fZbVY83VVnkPvLD3MtG4gRD2tAaB9J4l2aVJ42zHRovypSG4dsgp9R2j9Yy
gZ+eHn2nJaxsw6wAGTjDrCHsJakqUP+VG/soJcE3rEwEa65Gw0IOhGhyneet5gvEbYA3bI02u2cX
Y0I5BSilwnevgs4PTO1UYScc+/3kAtIwBWlYNAlA91Fz4ihR17mwb5QqwUTDkeaSp0qii0f4OVyz
/v9h7zx2ZFe2I/ovmvOBZNIONKkqlvfte0J09+lD75Mm+fVa9SRAgiAI0Fyza46toskdsSJ26umL
mGPrNurq/uhWKuYoOu2GXHVMramUb5yI+qPfmD8W7zrJpk12WnHSjlkLoA+RfR7UiB0vasjCGOP2
PLqPw4n2z7LAufammztGeUSLrzMCOEMWomYA0tUp/yDUu6zN/VhniFJAqqQHY2y2tPtuHDvwpz8p
pk9WyOc4mQjIid+qtCRPzLE5R6KGQrCtVr1EoTNmCFIFQlPDm9cKeqWrnhdwG63dtKm2qdbp9yYs
D/yx5TLVu6dS8Q3O3CQB20OnxSSmy8ACq6HslpWEr+EHX/DVOFwVy7FqTjHNfFnhVBtdeth97CsB
/Xt85jM4zoixmHREZuPX0K7wi5Fl+tG2jzZiznng1lgajMgiVe917u3aWtF4bHUNZtJo7Z2uurfQ
GMdeTSpwkxL73TBxmab9LHgp0+sMVlmm2XPTUoFWqAGgZiRSoNUZFjFSEKzJ9FOQQ7CNWl7TXq3d
h0pRuhhU2naU7iochrVR6NGaAvWsCZKJy17Cv515yGdvHo2Qi5RZgOf1R69ksYhGzi/SKTatjaXT
51Kde7ubXlQBwct224hiC+TO/twU2jZpoh9hymQDXBEu+syucPYf4eEm2ed1u8Ar2A/5K1EQzOhw
GdUD3kNvP1EJuNTltM1YZLMZxK6brL8iQfvIlMai1+Q2VeVapDOeRsRA5jfzKe5hZOAACq29j9zE
9ETF906H2YhC+6+E/XicUYQzBqF+jNODxva1ipZry+42Rps/e+JHyGGZJ3kgcwFrPyg66sXJ7cc/
5tjwFm2q3dBmh8QtYIDm8J5azakxjY0+IU2pgf86SC79/PG5xHlybwv9VLj+tNajwVpojUje8vCj
S6ejKe9+cW+cchux/rOoZ+OCMOXYETpnvqnTyV5QTWp8zp0CNE3tMgDEoA81P1vddErC71o8JTOE
UDajybUCijho7XcTXQ5Nb5rhJ4b0nEyU5fNa0tiHsdLKMLCajm1Q/fyO6LF3XX1rGEggpC/3bsXr
L6c4YDKapyHUGOAS+4MtGj3mKBSSwwkdoR6vyrsnNSaxdD4VmUhe3D6uuZksDVm4KCvNIbWfqZ1Y
2TzMJO/YHjGhjJJDXlH07qD2JChAnZ5iVqulxmnPLEZkBNPaURuwVZiG5jiohVTe2xQCjdihB49r
FYzS1AhrBOpL+dFplw5VWkX4W2bg8OZRsI8cwBdOlwKczjyPZsI0Kz2axvc4uhXaJ6v9grHs0Eii
v48bzGFLmF42G63V32XOs7gbM+R6dR6jp8n19p1r75wYL9NOlumwGfy3jOtnCvVbX1SfGUEirEFi
WXW+82kB7Uf5VPG4CNUzwcZVNdvLkc8+neRpGKxNoz8e0P6mnH4mI//s4E/m8N1BmOiH9ai835Qp
R0MAzXoI9DleOjhqjtvvs0mu4yIo+yAzn+Lp1yy+cu9d0fwYxn+kVxz8dgiM3lw67B9NXlA19CLZ
1KjQ+oPFi8Zzl9vrrmNsMIyz5WvrbMiR1cruUER/a6irzChOLd1DFfiAR1o5VKqlEJ5KIPJSceMv
KfNekOzx1lr85jr0hinUG4aJvRl/xqbYlTl+9HDNDVTkzOm3bWFtEw3+wHaudvnkia+8F1jprLOo
zDurPDAWLG3TU9u9sNrs0iXZIWRug3mFSAASmUS7KsGYQM36G/Tad2FFfyqA9cXU1dfcIz7SWFeI
wiMFtKumTHbs78GcKOJy3+rmWw354TRvzXAucULC8dUQybqOMLxf+oalreZbOV5GaS/84rVSEx9u
R7RnLq6z1ut7VgPttOkOk5Dx+zkbZ5JBnnl7KxmOelshCkfw0u8JzYhJDYprfuYj/byDex86a5PC
zThTDJZ/iOwPCwyTcEOK7+K+9HYFZzDmx7JLN0mTHyp5Cf2+emZfNZqTtm1Sl/aviUnRX7nhU5KG
B1M41CBoG2GqdWqzeomCE+rzePF7S1lem9hdzlrIi/A+Ws8lhINnmgWBhyCSn725Vwi+cqdRu+22
7EodU4iuPT6P0R6ZpTBWi/rEVqIFdE4Y7zNvRz/bTov2JSfkOA0yDovsbStf8/mSO8Xa1j81XuPp
sa72U+RuU84Q8fRsDWTBkyCn9FcPQ66dvV8LfHbW8NK/kXPJPEZDSyNNNv8JQc39dLrlFeTL9OZZ
ahmZ3WLIuxMaczU+pOf5bNiMkaNY62V0NX0zyA2xScWW4t1z25zsDBeryqYlq0wgKnnLecPKss2d
29gXaub88I1XwAJXO9Cbg10e7Pzk6K+dtq0kctFaJMaiqn+n8lV0GF9BYvIOrN17U/BDjeoUJkgi
wAM5my+0OYsXhfZKLWUgE8yOAYqhsczAmzeqFttHgZEH6Fu159bkuo02jT9+iPQ2d3TUgCC6iOZp
TePcxkt6ogc7KXiwJA8ufm3588qajG9j9p5it4wWbXH1OUJgVmCBeECBvnvQTK1ZRUWBEWgVJ5r1
/EXsu2+sMBFBNffbjBGMIxSo87wjCLnALVj903nnS9Tjc001DfeG7gbkt7PnIYZLRWZymdc5CMW7
MMyNRaN7xc5SHQNafqwNRNu8P3azrLalVl9kHH6NTvUpNAZc2b/RX928pUNe7tnjw7HQyOqT8tuP
bHqfdWImetf9VHlybIsZ2CND7emXSV8HXrySurcutEsWysVDJPfJD7auxlPYWdQKWo+/svrUSjBK
ML2+qZIXqkyROLaW1WvbqQN4gqBXuLYPyfc5Y75o5s4OijQJCipeivrISq8v9h0X/qsCHUzPwgxJ
WcvFrDVBxfWpRL4OzWMhhqvR/YxC2yVVuzO9L18md5qYKMa4hsAuntsG7qw4yzTrFiU5o7gn3yk2
ooTv5ngo7SdU7nNbCM7fcl6a9oM90BGhukY+zWwiXmpSfPg2sKr/4Q31sXbEyq9x2RpYSrfxeJQU
7B6bT7oSf8ro20I8XvXolL5JFiAO3WTNOowzeoFAi6qnZWYNx0HnD9npybIc7S1LFrJLGbbZhzOH
zjpT5pV7SwYpPkkwwyGjSPjaB3M2t5OLC9T1HxlrOWLIKJGLW1TE8M5O8ht2DetxzJNPG+U+mcpA
ZtG26Sjd8idOKZ5Wr9KUK5mea14G7GCiwXA7uJqPsUzgoW6174qFIuWMj6vpFmCL7x28RA7PNBh/
UZ/dYf1MdwN1aPLbv71sdioNtYXKIontheLvI08uW4knMk0330/1L2lrzrabe2/vMKK4M+sL7S+Y
Sggzi+xJVyCxRINT7OgUOHW9aALDjRzqw6IJTTBubpod3uee6aO34xffBHtFiQQvD0F2oqKLtmlh
iFthrEMfIsVNLuMjx6S0EZgpEV8+UC0yaqQYOSfrQu2oWHhSjduKnAJPLT0J3xgMfS4hfz6kRiQ3
Hmvd90XTG3ZAoDJbu0jvrGdtt7U7vUUT30YzWlNgtW/j6G212P4iFbqmAA8j2zJfI31mBAOoo0mJ
atSLMzQ7HGKWAXMFdhQtmPpR+vrZjaHFUo1OJ3Oa9im7Rurej49T1uqrfH60CnIlXV1HHYwqgl8i
khPtyszO1zqUeE19cp6/mX1tpYGJSrLpOsuMV7qZukQxC2FqPE+i5yQjWk/ON0a8zGJ+31Wq0g2t
wUFXC7nXhO0QmarEobf4OxEHVmi0MmO5aQhdyn4hFs53enm3hVneK0oK2MUaupc6MpuNKFMZEMAw
X9yuPmVjIQJGzYqMxNguiCAXi6HWJxp5kCrmWJdPDapLgKJvXMdcJ900KUduxZzjVfdTMUNNmIm6
NUODR04BnrGuTWZjOm+9BbzwUxbWP73XG9m5DCkTWOZRJT7Gwm3+Dg+Rl40l47IeUZryrGn/zgmN
Yn4097/cgyDvoegvjwW4gcha1JUixQyuteZU8PMgGdTAWDVr/BK4MVBzGBRTgJX5Z6gB4PM4N6+t
474OPhKZVYfbFHhjHfel+MByx5hmy/WlN2ctoLSZp0cJPa/XOkXjc+K/R3QPoUrI8dPzzF+S45bc
ls5oH5tuFF9thOkdwTv81mU6FgvVcLLXDZiTUdv6oSygGomR720n7o8Wt/521K3y6GiITlXI5hJ2
ayfMG/uyaX/lYNQX24+ZHLEjed+yqqfm1YTWow0W57pR38Ua5zK9G/uzkSv7fWBVAVvuus4HQyRu
CC2uDRszb9fIHiOIcUpmIWai2dSxhu4bxk3nLiL8LObgXOW/reVm8GRhfR/KqcNAmatVMs6fkg21
a536sF8/rZJ21SEWYcUONTm5IinTW9dH7kKbOboZGEh8ycTS6DHMOBgU5tJvRvPDoKL/0pCF/JDM
NfS72sXJHGnxN1vbPBfMD5xwak5UlSJ7RGLBAI7LGou34hjif+Zh43BfG9UxTX3kwTH2NnUzJQGN
US3fW4uhEma1syn1U+bBkXMpWt6f2h6KAEcbatiBbrnoVel/561mkBvU3GCoW/sUEpJd65wP9ijU
HKJ4l166QZve3GGimak1nWtnqG7t5EOJWFnbzqElq3L2MuGuhlpCwghGCuFraDpTM1KiHTrDdz5G
drtJNI2ZJWTpayvaUt+3nWcdlRkZd0NGBbvUhVsFoY+dywCmVlWiVR7UhcToE7KDrYusFlFYRdce
ATgAwBuumTPx95OehittuOPa72V8sg3c4EhkCfIUmRXkfrnJRGSTmaz1Ny8M53bdFMm0tYrc+xwy
GQ2EVIu5IWCYaHczA/txXe2PHhYTMoMK/xStRVi0xHSiT5tF8eBUJRJF6J99sGo6CPx+JVPX42tJ
7J3R2dcppNt1hYmZBHTjREgbjsGkWLnGm5WH4orAQ6l459S5cXayrNcI5YQA66j9ywyIJCBflhrc
s2Z1RNtA/07tYeVa9sozK20l6LG7gS6rDSHa9KC3NLpUI8hQ5Dru1qtaeQ/zKbnVzBeN6RbnlIMk
0McY/k3qVlGhxBr5U10lIKi12sRZSTKh1de9KzByQ8BiVZukeoc6eh8z19qno/02VmVzsVincTVN
mPEhNQUUpwHlLsJwi4gkD00WGu+PR+Ha9pmhzLpUL6M+8CVwTdyjB9Gq6EhaDFPCVWS1+s6yKvVM
XRGqy0RY2hNANAn6xE1vzf6GUlVrWO8qgTxm/YEDSJu27iLVLLte5bJ4iXESQm+0yJgW44G1t3JP
MK/hjiC2NXmG98sCbFwa25NrSupikr8c7prG4vIwOOb/SYkAnRDkvqsex7zz6o0/DzjJMkOOyae5
PLuVz/iUdhzvZVZY9CTCwDvsNNq3I3EKH3Km872d61Yo/h6V6JVOVS1z9q0urf6EaWmtjWYCD1Wd
CjSZc4+lbUnNhu/cp7B0TqY39hc12NO2qJrs1atSFCcqQqweTGHqzwKXpFmECZ1HKf/rOskpoXgO
NVaa8V2xFuSi+G5hq21NBNhJ7jaP6ZckTHOzaes/DpYbvlWa0lHcsncDdYGyKJYjzdNUbVv2hfoD
wK4xQOSHnBpffLt/J23nBfX4EEcrAOdXbxSxu4C1dghAORI5aXZlvW0bqGx7ysxTmlo4/xHrzDn+
4CNRvbnxLIzKGYP04toGWFaBCoSTfIAnFueuYSV3m82fCD3oM9U4fbP+j91j+QR7MTrExRzTCKa6
nYHPcdKZGMj+BvVUIHhqOk1NbHIGyyjdJHDHvFxxYJC8NDiIlFlXr4mS7QrUvHwhDcaXOfw0I/pd
eWA7QEM+Mwh7uf3syyj56tiTIveioKx2kbGCbtE301iDecGcyKYIf8vI8I4K2a+BrVk99kmx5piA
rV+5S10f9T0XaLb1zdH9LjIfOBNT8gLEQb63bl36lWMHl8cwtbNuko1rq2wbyr5FgYkmZ6ePAybQ
JCJGZyXDC1cbc3nSNTmsU5jcJWAjR0xvqFjEYCZbyfljwW9L1VjedtsGsk4tvGTga4lY5TCsus6M
HdpeiuliZj3pHg2K7eySPbu2I0uwUzNMQT77fl5abpe+1cwIMF8NlV61EU1/x6JJLuDP7OlyBkay
LIbMDkd/2sO/4ujE/HrAznSDG0fPq5trZqnwu5tcPrrK6fWLyrXmj5LV/DfL82rvz7rKAnYe4hSI
4eHATtEnBIZ90XiSw30b+d4chqQCjrHjm6bKMpjZ8XoYe2TyMZbGdp6G7kNGc8RWXZvTtMjru983
yQkNq2I/qckpOp4+cuYH7sRKQzCUQB7PfTjNf/MsLU5+GNIhkM/EhEyTnZ+d7ZIG0SH/5moiKKyQ
LNhmCB2bx6D/7dzAsRaj116myN9OaVYsa15JO8crjT2btnxQpKk8NV1drqjMUpepAudpE/ce4k+u
J1ekH7GXNc7SZmw99FpfESlxHn2D82cTTvVzJ33wrLTCcnUn+ap3XFSLKdFbBDrpHhwPVykdb8KJ
3lHggRF0mgzyJhUbWZp0Cegh/nSSuf5L6/T1tnLycTMURsO22L67Ce3xYpiGnLeQW/AkpeYZls0r
wZdm5Z3nEuiKe0Y7xsKwvtuIDzMWZsT7M2qw2UtkPA9raBFG83ib05SyhsHRZwAfasKWE52nAUE/
442HyXePq7jDFvYXFtJCMI6aWpfJlJ6IVnGPhFHKvTDa8/jl+Mq/edEpD7E+4oNvX8OC/hgnito/
RSl4O4VHUlUb9OyF60iOAG04r13j8TaftUMDxz9bfYnhcrAHqEMWZrA1CaS2OFhlIley9W3GSZb2
cNN7ImrxgUJ3ywHF/sGTsD54c4SPLgZiEWPl2j9+o4U0e5fxNkfIwD3Hop8W1J5rHOxTZ+XWrK1d
5UR/F7pFRtb04k1htNsoS1515L+eDkcjunpi77LOsA2R1+t2xDyu2nnHjns0mojWTt06ZKwpX/b0
6WjZfAy9/lWr+D+CzorcRMm31e//hwNKmUj1rOrff/2Xn6ovZavuvxEm4H8toWGlpkXu639LCBwq
Ommr//En/XtKwDT+8ehxEiwQpBnI+Gcn9r/HBEydLAD1rAD//yyveTSH/Ud7jSX+QTMNRf/s6CHF
Sk7gP2MCxj/oC3CE/1g3YFGzbfxfYgIMDP+tuMhkhLCorXmk3s3HTrr/VjmVp2Fa8HIFntGb9m6n
9bzX+i7aNW1KpmruwDEAnhCSyZg/XssY4K+uXf+JqvxzgPIye/mV6sSz4ATmoFa1hLwZxKKyHQ1M
yBW3aUDz6X1/wCzuvqJkGteKY1JlkKrzJp/LuBkvUQr/JkpYb947kUNWtOyKm4a+vY0ZQJYjLI6i
33SpRwZZgOnKkJPgU/CCE5px8trEfGrHfeUZ+ymlzoun48uUyF8zrZuFljDVlaYC5yuHcBX2TGqO
QY2NlqAUOnH4bfjjlnfrmV0sx8nN3k3X2FtDAU1tUYMsi35nsLAsGPzsGJoQbb1T303dBOVHTly5
/ZRDbeXnGWQIpi4/cJA7eiR6XZbTnJLEvvXKeipnLB9dOdVS+VVFxVh6STWVB4PoiZFRkVtoQttb
3kRaW23TgRCkZdD27adF4GUd1KZrLE2sLkoBxGIynVcJITS3PtNQ1y9SF0zQBzedhHiKouncUD7k
W9Vd91VA6RaeJcP7DOg1kZqoxc7TI0Q3EaDeHkeor6lBAUM9WhZ0o3IlPOdZyI9s3Be/Y2UTi5xe
leszFGsQ8qZjbPyifTGpULVVqHGaMMuTsiwKA0gma7zBgpDuq2mMfjIEMA7Zm1phy5JBIBLd1B41
yvOOuMfTI6BWFjYSQjbT0oLLW3aE/PC5gxSt3i3cYqn6fJV7GYp/tDURURvbOSW5t06ydFO6DdQ8
p/FVlHUHTu2HsQ4FyVyaRbSWciK+jXfjMb1kpST/RqK1NZy12bm/iRcSiK05Xw4UcVQNDnKfACyk
/c9gGcfUZ+4yOpUiWqEYFNnGonGBSzff6CbrNt053qYNwT5c/S9cgk9/jDbKa2Bn+vI458Wr1mXX
wulJF5Md64bnsLBgMMmno0QajxHIBLLuUmOT1IwYSVpPq9Hyvh8pkcnLrLVTolnpRkkyFfQdUqza
j/iboSHv02DuaMc/ouHtHNZAL+gx0BZZr4tFbYl0zfXzGpYuXH7erLzeuRvUQXPYqI5A8hHkR7PN
JgFvqZeBmrNomRAzXtp0HhSU8MypWQS1FT3VZbaO6ipwFd6DYixmFv5uEgW1Ev+AML1yymr2IqK4
fiDSAqPRdvIQmfGPqzMraZP9bLKe5qd3kie7DXeTaxyFrY4CtyFTDaUTcElKNdASySZ1jAs4+sbN
kEo1G+5B+ccqn7D/0hu8MGa6eKIz9VYb2j0puVoYgc0GFNR3ymczJYgfZsbayynvg95mDPDfwITY
OS9wmMMvDmPEaEVza9mNVYfyJOt6O6cEPvWU/WwaznE6POB/e4vI98eVrA8HIM4jB2moehoNbd+F
j36HyIpozMTi9EoeEhyOl6ADcpuPYIhOYf0gsQPrWqjC9fQq9OgQEpvsioIPuOWaMkvzmX/Jllnv
BgrGf5xRdYw6JPmJgONa7EprmodLkh0bTdtTKbUOhZlfmpQdAE5rr1kb94w/8GKONFk8sNkWCyGr
qO2RuixWpFHszegLRMY6fvFYSuM8SLXMf0soLUAAOA1sOV7RBbgtDpAkvvPqly+x91J4gNtKVGu8
RrXSRnEbEsnDfx5IAw0UPpivWdtupB/SRKJ+KgWJb0Wwjaqx1knnp9tOTmZgkCCT0HD2lJx11rNz
0Zf9UiTOgcaXU8GsVLE7Byi1qVg2OK8oDX2x3fLq2txs/Zxyl5jspFWhpMm7Ezu776HV7TvTxLI0
iy3L0K7Mtm8QGv2Kfe8tZ8MWsQyGziusc6zgput5IFQq6o2ICgaGKr310/BZVBEJnA4PvW29F+aY
m18jzaqwsiEBiq8xTgS7fNtb1ehropqcDW0eua4a3kZKQBYdAdiFXlbMT5r/PdrlQ6eFdtbLK4+C
Bw0+vjmZMT8NU/zaWeW3EzlHlsH9KIuqpiJ/53G+a0N9lw/+DDoNSGv0r3rbb022FhFCb3eoANzN
CR93qsx1XmMM8O4YFyzr1UERUZPZhbx3muRbc+ipd+LBYJAeH5XuJzJ0P/kwlathJCXjt+IVItld
xazEC8K0vkyjxZspb5dG5P8dDe9BvtNTxp5PRmUy1VBWzgDcF32yEvYd1IvGRJCYKqGlqcE4jnz3
hyHqwCh9SdgOt5jx0dY1Ww7py0dzdaPyrTTSZs3Ue02EeqWt/HcwYpw/MC62sd2lop4I2Xgb+u5t
dLOTVclrkTdf1cxLdTbchecNZzalAm4liGLddPBYjAGi4eJJYgPyOu+CYvK30nUC6Biq2BKjpozD
/OPCF/N1vvDgao8ZLReZ0OigCj1qv+v+7o410W+N4UOnxMVX1LLQAf47RcaTpBoUaH84SB8sMCXR
k9fS47LQgzalYEx2NDubFZ116pa30LFjh3dhVdkVCWhfkDNKqszm0u1BrAfo3tmicyYZI+ZZ2KrB
1y6g8j+d6ZFeZtmbKuf0xInmkRx6uPr4npQkwKbPHfbxqIIqbhMChhVYSvFuiAaGywfEoWRvqZGy
RBFpA88YzoTlglr2RzPPX/Kq+6v5WLcU+i1iUkFFNRF59GhXieddQU4FnINAM/GnlYhQE3uzN05J
/eFoJGuAMxKAQZUNO2nrZ7YfbGKJAMtiH/A8Y+bx0K3HQq1z5QKe4r/bSKRLA/UlcbxvZRSSLcq9
R38do7ubbvx6/qhCvifHoBjDAQCoR2pGRfbV4WEcWGJyiFPeEaY/3AXV2wuZFhtRY+OmquNyLsUx
IXqztDRcd2QGihKrYtggzrAGo7C/gHLzlUwoXyrZRT84Nq0/otsUngP2MNDa1szpi43/q5rypxkc
Y9n6yamJJtpgipEWFZlsHVGiWklWFaR29qwl+tG0w3TDg6wPWCvkLaIpaQLMCJqD9JbsYkQ7bGuR
kfHyjoetbR1pFunpK+CpkRp7NRCTo33lbZyafj2rRmzEo2K9MR8pdwmOFts5z8VoNFlcQrcG63T4
e3vLrqzOLJT/MmriWC3vgnWn5Jnn3GEQw5EnueKRmJxcr/xyc76uRMNbo7RGo2CS85ZMqeKKQpgo
YgbU1tGogfsRNCTJHXK4QW57L9JUd6dPPsZZnUzWQXVd+uX2rly0LiHPys4GSlWaDAqOnbXKpzsE
MZmjQJjjGZRuGhiR+1sLUEyei8kqzdRl5I1L59y2fyBjdagvumG8aKZIIZvFjXZ5HjSlfiZXR1mk
kAdvkm7Qa9pTMT64JnkoTLGPWLKxCHvxp3YhN6juewKifOksD5HD+zvOlk88wLbJtK1lFa5jpybs
YBfVmupZbi2sBzp6KazBTqblCXpiqFyqP3QUEV+NH4p0UY96uYj98ahYGISKxxNfsng2cVSIUR3e
R4XA0UBh8shMv1hkeTSMTi6EQepuNsezQ2YUYC21liLu5nURldtMh8HNmv7G1fdgUM0/sqlewrDc
papfpRh/9UALhaXmZ1axhouUNb+kmFiTqcShM9W7BrMLNAqh3E7q2Qzb45SK5yJ0LvSP3LuyP3AN
F3yt4zNJkGaZGvZ35w8nqacYctq0F2m+VfZ4sGJBYwL+wiAf3rxrB4qlECur6q9DTqNMW2i/JkAn
QVcU15rCG7K+l8gGepT5cBjpeVqaMxekIqSm97NNMY4NVZNB/mr+1azZUd5Ff0OSoxvbFdDz4jXV
DPTOrrL3TTG+ZV6UbhDNPnstI47j7zSr9I4gxQVMZwbsFTsgWnDDfHpwtPM6ytJT3dhbjl2BqMnm
uBNPHb3ud3peyK3lucPa0cDJm9p3KHWM7R0JO+rRqqTfql5yGuexulex1AMZ5uMeP2g/29NL2FgH
JToM/cT/GnoOrl0uOeCyANV17X3d03FMqlJbJ72Wc0zRFZu9gc4kNv0SJW0/CXqqPGre6XsmCpjX
gHu6fY2tftErii50yBC8nu5NyOJoVsmr15SHJPQgGaj9DQDUvkTN3WhVrreEA15PrT/ys1qOgeDw
rSjbNQ53vdLSh6vZ5lcWtXdLMGsMlLFJKHJLvw0zng9Wb+8Lm2Q9OUqTqU7bsDK53ehpjxHtMI6y
J+DM5uArMXyYApSxxE3PElGVJEq11mxU1MfvONo3oEuQSu9scYqFceQXQWdvwUaIWL+bhp08osuk
QGP6Z1LWFHN6Vp/OQJlIkbxwu/6wnvISJ4/5oi3oeFPtH79OSF/O8ZNT/gCevDmiLdatKNYWZ2sm
2GYmOJSNVK3mxTrLZuMzNqoSSraOAxwfCo1qjZ04WZ0f2VDxZcQ1ZzgScpigjo7uEj/JGQqrlTEJ
vZy4CeFpbEeNAcIPGiMlavNYVu4clae9p/Gt4CAoaUUjUGUTyyifZ3qBGEMSEhHuAlGc2Ei07JLh
D9lW0sMspuQIQuTCktcHnVuQa6fpzNrGQ3Z3xIVdzc0S6ZciD/dBIHe7ulZ7q2r2jg6FqXn2Ogm7
edXFzsHXqbUxzPa9ZEsjj2lKoqzeIfGqAZDK2bpJ/X0am3Bn1lDQDLkzDXxO2YMJwhtNAyRm2Myv
jUsTj8BK4ukdjupcgamsQ1dczIKcmu9u/LLYTdV4KzOCa9DH5xmTnJjQSadRV3IEY6HxS1e1z0Vt
P/lZ9QqCve1iuk1toyMnYNECq56RESysoe5KQNXgZEJ4vjLHPMjND/ZZGIu+m1lJV/TvaXouuual
LWywkrjLtqaj/rSztW86RlOLE1g4Psb4GGCbLZEL3Y4xwmd6vGyYnrwdEwbjcj88Vlnjb5UkK2J7
IcJkL+m60kII6reRByK2xS0ZVIycmr8fCsc/VTU82GDs9YlyclDnS9wO+c72wv2/UXcmy3ErW5b9
lxoXnqFzNIOaAIiWwb7XBEZSEvq+x9fngl5mmRiMYuStWZrdZ1dPuhQ6h8P9nL3XzjlOncEEpvH/
qzErXIQWXJpsI1Ga5QyqgwnqQjdR4BjRy5y9Vd2NKN9023THNsGDI+GeKFmTyDFl+wVaECn+Lmuv
mhrlmPCLu5F+hpNHgI/FGN5Pmild4GigIiymZF1hL1l24Fc01h+KxHrUGphJ2WJ5mOoaNtm8LClX
qYZlbUY2RXP/ilq+O6vdsKFTs5UN5aps0J76/daom4coLOp1Pr2JWLyZZGnskvF3nNJboZKQ5fJ1
RbTGlZhNkAQSzqQxfNZB18my9ZJXc7Ht2uRn4XMVVj/1V9NEVVjXDVc1QkixlbCcNooRGdoydGPb
V9ZmkuG/DanWxRaeNmTiQ9FJG4U6n4ZzBdIAL4qdR+rvOhwQo7QsdHS19TcqhNTLXlgoLhozRhem
0VVTKAMMagKrw5dmwMHi/p9Xnv97zJn/cUB0AS/m/02euSzyt49PdWVl+YF/15TNfxGsadokOgtD
QTmjUTn+d02ZP4FyT8yzaf2hyip/oWe0f9EepRRN8pCqWX845k2BluH//C/Kzaaqk/GAYpOwNwrS
/6SmjCTtM3mGnq4qEHUJVYO9rgNy/UyeMUOZgiDDkf3SLUtkpPIXt8KbXEBmLmjp7eVEYgwV3uAe
j/V+WOVetok25vU8ree4QV3uXDwF+JLJXdjQo1r17M5fKCHsSUrLvHg9vExbse9X7R6WuDD2MjwL
ZB5XT80KKueWpO/VEjbOUq9ycPhlBt6zJ3naZi4fZidyEGPxyjKY72DV9JwYEO51T1rFCtXL4AQ/
MOe7tx1ncdu5/sr20k24Y6e5gRnuFBfhrTagYj90F4tNxHlCUHyQr9TbdAe1dS8cGpH78mBs1E3p
idcLlFf8JZInPyM02qcr9T1a+6tu+0Sg4z1lCWc5gg9u7hq/l3bw0fCuIvAbd/2rekml2bn13Wal
XGNWEM7T/vbpyXYuL5b/M7n1Id01qx+6iw3ZqQ/1oXCmfUJBwrnInMx5WT88BM776JUHhCSr7K7g
N5OnxYdk5i5F8AsZRZPD44gAythO9xTSbfOYBvnrfkTOA/fKiXdMffze6Jkf1FMdwzUt571+1bzk
rvUKJz9gnbmabHZ4jwp6OGyF1PGos3YBUxDuLO22+pg38q7cLpnUXqI7hYY13hH83EHcRjeBW274
OjmYfWnSB5iKspV6jaS4w+fV7A3rejBv6pd5je3Iiw7BjnHwNK5YuHnGj3Rf5Tix1oRbLys8xKM3
KLPTG4qlMEqS2/IdoBybg+5XeY0/Wv8l1tVtt+k27Bw/WIXViXORRzw23LE/RgCK2K7ZA/OsqeXM
v/pLkDLJRkO7sUE594w/2+kd+RFHa8uNu+xdxATgIXcjNd1wh9kg3N2QHPVaE4f2u0P6T4NBd+I1
tssLead52qF+nX4MYGfgwQDVRm1Vof6GnBZ4cHOUAUeFZx4a9rP98xy4Ir2yb2NH8sqN9Vxehgf1
UruvD3xMHg3zRnq334sZb6BFM8R2ZFfjF/I+uQo96ZoyFSyTy4HVJxIJyIN8HtkaOnww+TUm/4wu
ZbkZDuYuH9lQuQrKeRtt90pVLiGPdfT+DafDzUl7lFIkjdd1+dC9hbEjDi3yAs5+N0x78qEL3JOe
vw9v4l18EKyUf0N/9WbvHZ2Oc3Nz2HP+OMfvKw+zrUchAJVz+EIgYPkA2VPTCKxzm9/GD+Myuwg3
9s631igJpBUYj7XEAKMUEkkr8YEdmDGgbDxUraGbuX6xDm6J+GnxJA+eRAnrhVFH4TR6Vm6SxhWv
6Hkd/17+iNcO/kan33Rb/ZKFbe9BOhYfXJjt5Otw3a1vsP/bjgsPh/YGdwepGK2oK+3af8Rb4i1v
sKw9QihO2Fo6zTvn5YOtd8sXwbxhuv0LaSY3wcX407BW1S/pndIeHEUV/bG2rsat2OTBcxW4Kns9
zVO202W+1t31tJpWgAba3exdl2tx8Y6L6JLXJrqIfyZXxh6JgfGWe9Blf7FDkFZQAa3X9B1rZb1V
X2+CS/tNi9zayeMb9U67iexHLd716us87VpXudUu1VfrUNLepmzJKuVD3inzpXW9wh+1sV4oGFxm
h95lQfiu3uy0u43pKlfhb+3KuuldbTXda/urahdv2WxXWNPvzGRXUsx9okctNjVLGSfcJh7T8urt
jWYIsuqd7NyH2+JmH68093nFotS5mryVuFXD1QfWeY9V+E/1wK8c2dNf8rdXjcmcvTqUjXW76rxh
Hb51HiRKfgeC1WpcpVuqEKvhcKWuFfcKOMJTE3r69bznEpwIDtOuOLD6X1nXxU7mP8HV5yAGdum6
45ngv7E3qeGkV2I/eJwQ/zwfFDd1UowblWNrO+zcyaXxmux0f9/+FsLhl+nvV3B9y1lctQju3eYC
B5tD93OF3b+gFN47wBIPw7pj440vzul/x+q+8SgIKyBn3GlNxbDjX+0q2/HLg73BtEMYm9OgMQZ/
c51m3iIr2mBe7Dx+Bt/yBk+TlEKEcUeGp3ypfwQyFA6x1lbBjdi8SpcK12ATdOkgng03jErP3ACC
9t60t0c2b/t7d/tb2uWdp14YF9b6Eek6O1yUy454A8K6q/lumpfKFerQ6Qako9etMcV62mb5X7uS
0AS60g++sZy+uWGzFzzkb4hWGjhAB06KhSd3cjgQDGs4C4D70q5+THCTfwKaMlvIX3h4rv3Vre2J
gc9Xupmi6z7Y6iXfOfGacspU0dlnEndXSlut39qAElBsFXsDB90/X0D+N7iG/5OIhfK3C0c0X29t
9DlLZ/mJ/2QW2v/Scd+QB67ZVJRp+P/XylHR/qVbqAVtQ0N/ShAci7r/UiMY/xLoIAxTM2VC8HSD
ReV/rRxVFpwaEgJ4D6aMukD9JyvHr8RChWQe2PyaqbJItY6TdNIKEkgeIRousSQbtF09DFS999dC
+kSehnaUYAAYka4Gq2ZugWGYlnGUp5EOKh0UX1/CZpTuzlAb+QmKB5wTAlXqO38sukc17ocLXG0l
g7zNWQj0sg18IgYRQ7l1NuXnkIQuUkTynvoA+RBQ2Aw1lSg+GNlDmMD8v0iEgdrNJoDxCjT18s3M
U+Zy+g2AFDW1t4YFOSa9Zr6i3A9pFD/1CXXHzTSYFVkUWQvQrTBM2dEDtt9+msdIYxVgFXqTWNdW
p9ndmdS8EzfGtgzEKOwpkJaoR8TIycffjJs1puA7A0G0caZY93r+GAjG2//dy5x4BIum5K+wheUJ
fDrQ0RMgfwUSAEYuUGbd81QWV1VqOQa9dzK96YrDB8H80dbpmetbxs9fh+W6bEFcnmULvORskZag
lb/S1YIo6notp/zbTMgZ+oKyXBCnxarzTR/OSbZ0+lrz3zMQKNPgV3HiWpXj3dByVFXHOGZiaURs
cySwqVDeoEjHwTtrnU0Vp49WScryG3GvelMlGfjyZjGfDvhisH+2BINOOsJkRvHF97ddXzZen26A
0DSVV19lH2iSkXl0Kog4BAXlUXJao0D73HehuMTDoo5OpI0V5cNC7vkINzpy/CBYEm6gXVxWAFPg
yPSpjW+h7eSDIpTWp4xTT89RMfh3epV0t8gS7Wlf0rgArp8EBTsaaZKmjY41H6xmbbQUsOdJu2z4
/UsB++jCDH3jZpQWADnca6N1lMoU78tsg7o5UzBBabVOFa0u4umuDHrYT6h2ssalSTyui0I0tmP2
qTyubNHEP1ABkM39/S37oo7iji36K80yhQUCY3m4fw0ZYZjBXExI62nwdawqjOoJrcv0XmLWOzM6
lS/Dk2OZQlgWUd3osOSjY1F/bIwgjoh/MpTULe3WMlyr6doD5sToJqatj1jSkNi3qfKVlEjliqZp
fSviYt7ieSEdShqk7iC0sNhPyPlXhRbH3pjobXxmTB9NFNSDtSVGEXEaw0hVzeXP/7orFuoMpMUo
KbB5DJsMlUwPz4uOEBNmeZfq5VCsvn8Op24OFQWqG5ZKhYzYt8+H7MK6rNqJ9IOKd+xOpKb1y1ez
vCepp4ZHmcVQ1vF6humW2iAW01DPWLJpeaPggdfwbfSSP+2qOUoyhxYRndpBZP1jZKpA38Oob9TN
92d89DFb7pGOjxX8r6FpTDtHRZB5ohfj6zxNXo47kNps3zW86fmZR3Fi0AhFJR6PEFJZR//++b5M
fZEYZCYxu+g6OWsdFkl7Uu8raW5vkNsFTlmOS/Ted9O3cmIe4Z2wmNLQr1HsOXr+IjA1Se3Ygcjy
RD9+9qc53gi7AoIRowt41csJiTAp38jUTH1MCX2cZIyktaHFD9+fy4nbjL6aVCyWIEJBxvj5+vWp
n1lUkMSiBUUP0T4DrhfN0fr7oygnD6Oy9CEyClmmeTRzZiLVCVEuaX/MPcoNg9yfJEFgAdrOBz8Y
Bbr+o4cxTIgD3kMHRgmY8SQLP8qijK4KlGt03i1/JAIzVM9Ewp88t6WwZ/H4KfwefU2noku0UGsZ
aSkwdQG5b8cSJ/jnRyF2XgVqrbA+5GP2+UaXQS0VlV1LDlwgHJg4hRy1VLXn7280K9PjLxRvt8pb
Qy61oR+/5qaFVGAeuc8Kfa21ZDRQmVsl2/oV1vnRwLqr6SAh5sz0d98feXmCR99G1p2yQcgzGZ7M
9Z+vT43owsQtA0mPG4tNZRHi7mG8SbexPtme1I7FpWwY0otJvAqBMWUQ335/BsqJj42haypqXAPN
COfx+RSQ7cudbi0fmwFAUiTlqVcvfpgoMeI7icSMLdv4YIMhuN/pRL9cJCiHtokCZmpOidhWwDVc
ioC9WGs1VNK+P73lTTq+QQwwpn5ZMegQHQ2zTqHzmkcWDjizVq4Tw+huA9q/JWk2c3+wgGTUZ966
U4OB7+AysbGI+vKZGfMx0qD1Bi7zLJqYDHy0PkjFex7YqasoWuNFmqldTujQXr6/1hOzqmEs+xoV
Q63K9PL5SdgBfg5R0HnVuoqlWK0xIMuh92z8g6gWG8NflU3ln5nLThyVAWjxrTBZnNJI/3zUUQ1o
co0d3zgZbaQ8VMHr0GeVsqq1gUqiUKIucsd+zjbfX62+/MVHj9bSFcXg7WYTyA7w84HrEQNsR+oP
SpJZp6En8SZsDQNZZ5AXvlihxy6lFR5Hhf55rPVYnDrp99ROkgR5VZ8x1PewPyPsQME2SzAPUUXL
VIIhBKlnYM2n+T3KNCyBWG0aH/FLj9zYTPUK8XPhzwhwUst6sAJ9qamAZe62Cs3vCcpbNukOjq+G
crVm1MUFnqZGrKciyrbM+PZErc8yHvEAaZ0LudG8ssIURLDiEyztEOiBAaw1O+JzRjuFCGCOCYLR
aezEuOrg85yJbVdOvCRshIH68R7r2OKWP/9rZYRDMUX8NPMK22qL5pPaa6ykyOG1ugg3IIM6WIPg
oKM+HQ6S0IsLexrlK6gA+nZK4DBZU1cSioghtmpl9brXSKY78yKf+F4wfZumRvMIA8LxTD6pImjy
Hqe5KufGz5jpjIjyqj+Ttn1iPiV7nS+FzO0gv/doYaLbaFp4+iy8wpKtBvC4zFMHIyAKskVbAVZ4
OqBq0QzPaq3RxX4kn1lQn7xOm+2eQkIw38Xlz/96Fu2QdAT34EIw0Kq8oDigeAwr4UyY9qmVKVsp
4q1xUjNXiaMLZQOXyeybKSeUwiDsYygcRe5A8BDEs55EB/1tylDQFLqsboRaR2sLp/WN2sz2rowS
JJXZVOdPYcGMHcuz7CIHhGc6xaly5oZ8nU95yXWKHtRpmF7koxsy2XIStQkfV7iRfCOWsJK8lLHt
FUNwNYNs301B/Dy2snHm26osi4PPEwyJ5ksKxXJkWo9HM1su17ZdhI1EkRrNT6oG4jrvbWq1UyDg
+qJmg0Zg/Aa0TOZlEDT7GInTVV1gdRN5WJ1LJf86Mjgdnc0Ld4Pl+Z/T/WtkTAoOUDmrWDRKAmlH
Aacrm9TuzHumnLjfDH0htCUeRGd6/TwAw0YtBxMLmzOGKrljxN94VT3hB1eqHtadks83cDna11kB
CezWMXl6QZlNXhPJhb5OkU4AMpKB8QFKgwo/xuG7as7UpCsIll2mW2de2a/rDx2q2bL1VC0NYcvR
V29IoqxoW8oDw1C863HRLEEPUutGWHPbMzfn67dOp8pHkChSH0NDM/X53gSZXkjKxL2Z/di67oha
wthPuB+BAsZjVGQsK8RkvH//oTs5Dq1lMtBxbS/pLJ+P2mSU3Wr4rGhuw0dT96u17AtmZzWRyS4k
wzRcSRkaFoktFdo+QrMcrbFIsU1G9M/km5T/LKCeXeJSjoHzRJSq9p/urL9GIlFPYzewm3LGAlw9
FEqKUBJydFo10eifWU+dGpA6tR9a8tSBmJSPXkMthL2GGI2gglzS7rphBDikxSMgA6LNQjuB/4Ic
ke6CjB0qiHwMkFmGwwk2uwWyW1ZhxuMdIIvUNOZwfLHToCTN0Ajb+NqucjtatzOCMXdCm6Nsv392
J14mfRkpbHQQ2HEZnx8dGeuKmXScu9krw20fx7SkMIcQ8kSMXFHr6aXqd7EbUItrzozVr58y5grK
HH9K5ty4o0PHylxTlaA30VkaCn2VJdgTSmXyOUGCRNItGpnmUMdgHH7J2jA/jL0S1973l39iB8pJ
6BplWYqXNt+az9c/CbxYZY8Ar8Oe+jBUsaDaglaHQDPiZrFv9zN0z0jW6KDNUg90s8LqmiikgVRD
A1BM2CzO/DKUz6x5TtwdofBANIt5Q2N/8PnEogmgC65bmnqBMr9CCyRapinoIEe91MybobQJO0dD
3e98ewI5X7K5KB+/vzsnJnSe61K51i2DiJqjBewk+Y3dmBHWHl+nP68MuTdOpMt+f5QT8yOsAB4A
MbrIb47nrNyaptYqmD0G00YsKSrEtiwzTUCUhTGe+VifPBjzAxUH0xaGfrSSzFHBtbolJHaiC424
jq23Ns9eBkzuT99f1ombR4GTu6bJMt9o++gBJmYSCSVY3qzcr3ZYPftVIqfRmeLzIj06XgOQd4X0
kbIhtsXj3Y2ZovDTu2Wqsxf/RzkPT2HXY+2JoqL5YRAmDuUuUdEfpGg5sO3HJXSeAERp19GJb9M3
KEfU0xA+/c6iAIMDeK/O5S/D5AR/MVpgN3J6/89vDvUOje0guFAETZ9HN1VFYU1aT9IvIJBV1NoT
0a6lfmZyWx7m0fqIKiH1QlVVDCoAyyP66zOQZhVlj4CjSHlnuA0zKpFvjfKoFaF5YB3bnBnJfyRY
xwekaMZjoAWmA5r7fMAqTKSGxbDksA+APz1W0rOK9N/T5qbbBDVw4yjzxwP9wMQNUkKR2wQkvBMN
GmiHBJQiqF+0MomVbY3GCtaVhWDCZnu8KyTtoNtt3hzitqnPLLZPDVVd8KorjFWbjdbn01YhLGDj
hK5WsFliW1pHW4Ak0+qfP3O6pHxj6BaZmrysXf56GmFbSx0eDY4Cf29fzwIHqVK3Z45y6gUX2DcE
337e7+MP2ozvXx98VlsNFhmvHg08LqWNcSJVMiX6/5hNLNagjC86fMZxa2+chZzVwFScMszCQzRE
9a5oqCUhKLd3//zuLbZ1DWe7zIfh6Bk1WlINecXQmuHlENhRQ+hvM/32+6OcWD9ijodCorO/XJoz
n58R6DAMlkjiscmZeCxss14Xcxu6xESPDVGnhKuceV5fxx69GV4XS6H2zU7vaFSIJqqxvrDPC9jQ
Ook+QhRrpfHMCP86KoSwNUugnPyzaT2abxQlV6hw8CXrOzhpsmRCfcvwxEEADIPN9/fw1BVh/qfb
C5qAL8zRJNDFZD1JNcdikSp7FQQsJ6iIrvj+KCdWnVTwNAaEsQx2VSyX/NfrRKj3BAI7DxDcN9JH
nRqgx5Us2M9GNWy7WAehEqf1nZwE8dWQhdWFwD+zpdwMXjSAeZrEmNKUuvtIhty+H4E4kCM8E7Ms
5wB3vz/ZE7ffUME1sCsEzcAu4fO5pn2hRZnNsGrakII6+DDoIe2ABFQDtvb9sb4OYaoFqmqgx2ZF
jqPk87F0ANBhplAhaWQTQQxugMMkkRCeazVK/kCqg/vIWmC+3x/2xEry83GPrtFu/W4sCgayFFDH
FLX2Fpcl8a9KPHumlYmHlJ4oUSSztDOn1ri2++QNGtGMtlRKinXfIiGcsJG/fX9efOe44M8fJU6M
7EyqZ3Spadt8viEZXiyiyZaQYhk+wG0zzZL0KJOQlO4B3RP1MuckU7qgZZTfVsP76NYR4XkeBOC4
JE4GZJ9b15J8lcNEE+s47IgaoYpr3dPmM3TUfTbxGlEQqE+xqOFxteZY062GCS+xMrah7xO8PMHe
miGSsSwhgdkq/VhyLQt0kRvDW0twM8wYpGhnIewzLeJaHTHPSuy1YwJ3ihKX/ItIS3HX2eyr3HkY
OqCfVrykRtf5R19AoLloO4H0mIYS4Un+qEG/4iwn4VYDw/sAxYcAxGhYGrdtoS55ElU8PWtGnC6O
XsWM3MCH2sh9UssLaofkSKm2JeVeAkX5Y1Qr3mQLoUnND9rigLilNTwNoD1rJpKEb1GpDL9qOUVX
0oxtNR1EJHfNikxacv+ITsD6KHcdyyq5aJbQnES68xUCfQh11yBchksOGzhDHZ5+o6mTN4BVux2U
AMJ8WBWY8JqeNT/WOZOY8ZLNtCO3/ax5Ra5ChiRs72fTlKnqjaLX94HfF2AgRY+xs8wBrimgPEkc
iWqWHo2JKNpv2vmj0rry2cANHoEAckVY+oRUNSNbQZUVKyYnbTFVZBqOe3IDcKSocd2CdENCYDsK
aW13Q0jvh/1SWA6byCIC0JWiMNQ2+GzTu2yIx5cGocbLCHSNpMF4V0dGDU3Oz+pfVaMqH0lfFc++
Lc03IHBxzE1xK35awzhqOOWIXLgq6SiQ7azKZLTrUl80e19j6+hmKiwztkdB+6D0i90yNRvlKSep
ge9+bjJ2zLi0R7cAuahc4meFGm70CJEJScM6XCtRMGyTbJhuDcWX3uQaQyeuFUt6bqPJ+ojLWsew
YgXhvZYvXe9pbAgIheqEEURPBvPHlIMjINahmG9MI9/4mQR5YGiNGYp0FGUvVZVGyLn9mIwMPIlY
gBjpIA96Yfj3cL1VyFJ9oBwGwwCVFo9ySwJGlL6DwxpIdTPb96SeinhnDkq8q1KWgnM+wmWjHtjc
F3EcgmGuoaA41GNRLSbaqFxMxYIdFUaHAL3UijJcG8ooo7K35Zg0aZQghZv7vjSS6dHB4tLbSA4x
lZb+mz7OuN6F3XawamefNg3jD45+VoYb4pwTw7HNWdyLXgpapP5mTTUVtFvg6aNVQ//s4v4npHIU
I1Wj4CQt5a52CyWnDEKhq3xKM6JXvRTQCugYGpXvnUlwHlJfaDEuHFQLq0um6cZmpBOU4Wm2c9Kt
jWjKLiK5KonssxXiC6ReJMt7OGnPSd2Q6pyRinYx+XTWF7FY/ztRzPwBwr2FuUcVS5B822BkpNNr
4jkNB8CRQxb9KmyFVFVTlsDq50FxIMYDP5U9+PYPAJz9i15YUHWhCA9ETNTjYDrU1qDBR2z3hCvb
XXaNBa/QXYky5IOMafqlW8oUXW2QmxvqOYlzU6sSVkQGXfskV4OGTjoUzfWsCFwc/izUV7MP/ZuI
WZs0tybq7igIzLf2FKSAepCJEB1YzdqErVDwxfa1Se/3laVHJY+8RjgcKrl9nTdF+tE2CvlthF0N
K1HGuuEFkQQWrI7EewUq/VoeCpLWSr2X34eqS02G7QBwI5YrOaYQWsIkr6Pkd1cL+XmKweCxFGuC
W9RcEcb4SDSGy1uMyNYoLXz+hHMbuqfSl7kbLI2yogKOiCD2qDH3Yzm3tadXeneZAmo1PKH3FQBI
iSgzT46j9CHQhsrC11rqD8BamPUMoD13slWF72zZKKL7vm69oWVKniNMqfe62o/zVjYxs1MkoLTp
oKhqn2Wy2v9MPxmzOhNFbeLCdoJQBtdnaZL/uxiJumuRSyT3Bp72FyZvG/ssDjtUy2VZfLSGn4SQ
w6UKLeIw4eBtjfTRSqs5W/u8puMNuAUsu9AKNfVa6fO8WUvqgFOskjUCLGMtCCc3HhffJWqS7KC1
2I0rxvJhCEaJ0LCgmsmvUvQo55XpcnknZXG6ANAMc8mF7NQ36sF5hdJmAGZSJ02272K15kuEi8yL
7Ui5askyGuBHao2yVSdjgbNrfnJNv9qvPZREaMJg6uotLkVzCRbJmTo9KCDmJa5hnAZtJY90V6VJ
xRSRqQ2majpI91lV+Xf0QX188kbShOvQaolVMWstfBysuVY3PuodcFUQibnMfTDwrk1STT+TKY0g
js6KSpW2uSQpXsHom8B+z9JVY9hh6AZdbryTNgBqFZJzda2UnD65E2G4FQRoh47FiMFUNyoVoPWw
ngcMuGF1l+SKFa2ZBggY6s0cEwqZKui7MVz7HwET7NPMxv2nLpGgui1s2aDtaAzqTWuoBVwavSMX
mc9SZTg53SWg53aKqK6BvomMZRaztckAAQGiWq5GMvhwOPQtzJtRUejFwuyDnAhNPsS375vyoS5H
mK6lLBXXwaTbkCcIMcHdM9V4pDqlt1961eqiXVzV46XFEMAwEKaFfZUSDO1lakv2Y/ZHMNSIXIcS
UkyCJmaJNi9A/4aNoZQJgcLH21nAZYAqQAJpK39d6VKEnSik6LkKGvICDn5k2j9FbQ6vVDHxIoND
N+8hRMegves4xadfVdkb60ASkbPBJpyLHBEZuLQA+zyNKd/KkHWe5CJVlDE/mCN2WjJ5mWr9zib3
y7Bj9cpoOvtawmd0V/pheGUQ93sdhoo57fOG11WdNHT4ALLHuzqvbQI2+hi7vtWjY3ShS0w/WPBZ
Jcr6RI09Xx74SMhKlMDWArMquyxNmttgwhKbVDLxocE8JcQydYZ5lTbkNdl6N9DNDmWvKyv7d9wY
0lun0tOU5wmPq76E4rgKH00fVkyQr9WIRdJa0yZlK2ICrYgsAA21IWBGXZv0pqs7o5HH2BMt+cd3
vB+EFY1tgH+kEMxEDkBf63WYkjDdl3GcpxfpAvGA1tlN8YVJTho6lVROwUmHaZzsEgF3rMuhjLul
WXXClVhEELCMuqC+FF3l45GqsiRbVSK1Na/qqrzdqNLUWRtTzaNyP1pxolIHjImTkggvAObR1zqi
J6KSAO934yPc5/i+iNSFCE4/ATNFA1F34b/Uj3KhJayBZgGYJlISsCNVawfJahQwI7wOjNoziiid
sDm7kJ9EZgYPohgz0i7NMdwXIKJmTyRlRs6ZjQq8ZajcEPMa1qhOLZJAFW2I91bfDZc5ZTLaVCNS
AgfFRpd7wwywCDqwmXYrQtfNRYJW2ShmyEvd5onFEk2zR8b1JCTzkIyykq3MtMnMA8R3MulZTHWs
V0LJDtwBTtCdkpmDtS5YF/+EpxmY63kkkNMlP1TNYfYIdMx5YYW/exOW3tZmdQKPZJKvhK9CbzcX
IQPIYUv94HM5PvEywR3VkIjfFtpAImNbZjewlkJ/V4KAeJVLO79Gm534K1zF1aYY+gTdgprRn2xK
pR8hP7TQPzso/R79gIac4I54J1HKU3ao504iS0X2yRAsMYRvTaOIG08fWAU48iRUTHTNZDbr2sgS
1SvQpAnesC5hSkoCZcFWTKz+Sz8nsoAqnCEAiqVM+/oQzk9o5asrgXKdvJJ5wsXR2k2S3SZDCI/G
giqOX0rpKzDDCkwUBxmDjlNTm/j5/x3MNQDtDjUPnBEavqwKsYa2vVS5dFwa9UyF80Srj5KGaZmL
owBZi3lUroEXa0+9ioU5mUSJCrn92YUkshD2hlDKUnzugyUoOA/yO87veh/KfUNy1+j/Mki5+edV
HcKtsdfSdFwkoUfVqgllV15ndUBTUw03pZQ0v8wk992IsKHwzP7+ay2ZXbQF3otGiMWFL7vsv8ot
QvNZTmsgT5CTFIRLAb4gvK75nS98e9re6pl9+wnZmjDwUxi0c/9IdI/utFahYSh1yki6QZuYnV6+
JJLMNvC2dPzph9nwYJB+uVbJEH5MJKu8rgBerzqh4hD2Z1iDoW9jq0zJx9gks0lz+/vKwqlCi4GO
nXIuchTlWJSDRFMujKZErhxwlmMfsiG1x7h0CWOXbtoSzUWXF9OZEbg806NqBlUFdFyyzWHpq39+
DmbA15E3iqNqRXchjcpgOUkb215c2PO6MReflKWBTq6KMTlTc/t6bAb/olM1AT9AMT2qwaqB7SdW
zrHrOZ72RUIkR9MTrgmr4I1lsH8zZhQHGhD7Z+rMX2+1uWh9IJ1SwaTXc3TRYwR9qhgECxlp6Pbs
d7K9JvvVaqboGZInkb7QDI/P3OmvIx7pKwocWrMIUxX7qKAl1SSWz/MfDXCMYTRfdgYzi5+CvLoD
f5Buvh9PJ0Y8EwtpRbSjUUpQZfn8aCU56saqRArZSHA8ixauTaD7qTuPrDH5phm+QtarzpfSYv+t
syGp2NMg5QzvbLnK1zMi3b0ydmiT9MiGJ6/qrIq/P8kTN4XPIDMg4hOq/seaviHurTJUx4BFSGk4
APjrtVwQD0jyVKX8/P5Yy1P9PNSRX0ORRTqIjlA+7i4M8ECzMV9iQ/uiOAAzr6VtrEu2Ae7HFKrb
2nrw3M0EZ1A8ku3FgWzl1pn6/FejDeUb/B80MBV09zhtPj8VtHVkuyySEtUnznFfqDMO3zqM9Hsw
y8OdVJE7OPo9yLCczw64Sk1lYYW3wvopSSDYzzyAE3VWS17kTrKFrWMRV34+n0gjW+iPZaGPa3VV
pTOsvGWBUc6JdZuFUCkVQoo2QQF2Na7mySNMrlpXHWAQiHP9a0/9b9WVje99/7S+jozlvGg5IYLC
0XKssa7V0damlpERpxmRdDOSBjMiYzYgDGmbztU5veHXyQhJK30GHCPIW2mmfr4PMPXkioFIrzwH
NT/RnnKitsU93trLliCYWF3HCeVFrLFgYb6/2OUv/zw0uUImIroqTIk02j4f3OjiWCv9CWnrMNWb
uiqJg2WLdmbsnbiljDxeAkwxWCW/KOuIO5yVRWoY6rP+kCChvqkhGa6bfG52VmrAtPz+sr72Kfii
0ADjRUGhTAvn82Ul1CUkSfBJ66o6uBaZbHk5Qdmu3iIy+8eHMumx4fBcPGyydjSl95laK62O8wZh
7ezNBIGuRtQyzgx7/tzE+nUi4QgMFta39KS5sM+XFZh4zfpQ5iM9htmF0eXlM0YeUh1nkVuXYU/o
JRldQ3PIbFCtMFN/q9D+PUSVslu2FIw7k/hvvUZUWXXSvKJE46+NTgd4QYl22KfoXs+c84knYaJ7
MVH8IjSlvfr5lHt7RPsZ/Ad757UrN9Jl6Vdp9D1r6A0w0xdMpjve6DjdEMeJngwygib49POl1NV/
SdVd1f/lDBoFCJCEU5miiYi991rf4m2iWVV+MjGaiKaarV1hruvxr+/En1cUhtHc6whNIa8wJ8lf
Pgt/XFWHpOownDab62GsZJioriczOB9awGr+VL+0wBaHs3JxM6ZIdpFPr72dV+pEfu6JT21QgSUO
Iwv7VuQRiQR//R2/CyJ+euGQScCliajf8Yugvv35OzrKlOTzgJJcGQfqJ3DfGRnq2DeIpqJdvSQk
Lul671ttPu8hxUb6AQGRRCJcBSS8kh4EcposF0YVLPG7XvQdLj9xSvwNwVumMZMf4yqrlT3spqpX
c9y7aWGTxYD3J17GtJ1P0LThcmwKWW1VnZHgBXdqAR2dmswcjGrRV3KxR/tvXpTv29wv/3TMQaeZ
N1fADX5dawjfoVztUk5dHOv2s9EbS1KbYfWV3oPT4ekfm3JLwzCoyPQmP23Hnjp3Ccx2fYmxZ9EX
fdEZU9zNfnAvx6B0vtbMF+4dYiHeg6CkW1hG7tptfMWtjzl9jV/LpiME0JxcOOLlUuSk6ppFfv/X
N/VPiygNS0qKiHeS/4Jfj5N9ltYV503QgiaFXjR40PdIAPobLeSfj1VoBqiPHED0IafIk8/8j5UL
VyqExaUQgo6puCibMVr2stWgHurGJfxpDY31QQ9pS2+7aJvDEJbye/xiR3AUE81N3nqRkWSLwolN
pwMyyxQu5fo3SqY/Xw1MbwhkmVPakef9Ktbx6W1bC2O8DZObZZ9BS4OL0Zt/s6X8Z59COo8LyIkz
Dbqsny8GPRFyyptTEykPMprgCAY201oW4m+e2tNF/fmhRRUCvBI/NEUyV/7nzzH4c1s2PiEWQuSJ
V/gQtOmUkAWn2m5fkitzPg2Wgwh5ceUZ0diVt/vrp+tP5wNsAlxPLNmIn074qZ+/AeDkyelXvoFL
LNVOuiYwI5xmF0xnMygbjiJW0LCivc1c8OavP/pP+zYfDfXKok5CEcsM/uePXhi1j+R1MU8lB3sz
4zy5LPouvWPRsW6XFOrFX3/ef3JTT1VocLJPgTgIf7nYQLlN5LQ0W5SoTJBB7ofGY/83d/S7ku7n
W3oybVMJfQdxcSL/+V8FJ9xStYZKX/iNB5pzwF2eR6fO/sCpId8SQ5XBsDFy3DYMftsJHOK1gkXM
hJfeEgKMzpmuu0KO7+Tq1EAKGSCeB6PbjQcmC/UTahJilowccLvoJF11SfjcHfo1+6oOAhXs7LkI
YPGsnUP+Ld/06yKsyNiOVQUjZOWdAiJlGXOK00k2dNu8oBuvOy1gLNQIIpnxtyBiCzSA6WdYO/1E
oGXlZzugsU60ZQ6b4uJFJQxzyUAUkCi3UStJokHjJiD7MyCLU76oGOmVTwwuvupkEMK+pSaZuy+E
RKT6fLGrFZX5Mql+i+x6oUyRC4GxrThlC1ZTJp9X5FhWkmfCW5IyzzGYFj59+72q1ogTxep01wah
MCqZAKcGieRluc0QWjkxtm3xHmF/SQ+5jRXmRTBqPnqBUEVMGbgOP1aL//UTZkD+2//m9++d0Ihy
cvXLb//t/09Q3kll+x/m5ORVvf7L5/fslqvXhuyW/fjJweZT/5TAwk/8wJ0Y9m8nAS1+el4Fi0Pa
ybf7g5THXyHpxOPAfo1qmEMVP/U78CT6jUMM3UP3VNWiv+U1/R14AkDFJKb4tMvDSbG9f4Z38kvF
yhGBFRceC6ddWoJ4Pn9ZDggZUSSkZAu8oDw69420ejRQHpAWZ+Tno9OQPMJ0DLK9UJeRKU/Lb8Tx
wCuCv1mCfzEx/fgmocXX4ZJgRvguzflD01ClyPxDuwVXBjWUvnLxNfWd4sLR5vRN14LMopBMdCQq
+bVb5RlwN2re/QBO4kVJw6sZEinv1l2le1DTxCAdQWtxZ+ADv/7D7b35sYr9Szs2N13RKvl//vXn
BtP3LxrS0qKWs0NWuOCXFXvypZPODpesn8ZyZ5SGQ1F3FnDoOknHNk2Yir/Z7n85lvz4SBqcHPKR
AJss2z8vp0bfhFNqu3MMAnwkwf4QmF1+b1gIwU1fAyBDjpEY6fiMTzdLOhvTO3sWa0BIuJ4bahGP
WGv2c4XX6PvF+J+3/l9Patj/+q2PP+usGJs/vvSnH/jx0vsnJNGpOrYxJKA4//2Nt6EYYcIiXxxr
E4iSEzXz3194z/qNeRj9ci8KAVvQyf7phY+c4CQDtk+vKV2l76vwP+AvP5bhf/z+v356KaN5cCPv
BIRh48H/9MvTa7rlwtjtNFTxyFFMsSk03fg01u55Og1qZ6/yb6rT02X44/HuxyeytNh0vjm7/3pY
Lbqsm8uQudzY2w+uVb0WuWaYWn6R6XhvR+NtKOCa8Eo9RaP3bjrDHUfMN930Ejy0sxtG7zMnnrRS
sFd6+dw51Bly8rOtK8O/IQxwe375shhbTqpL1l5O1abzq8R21FnqmynCriGbyVdv6iWWKC6ucpqk
AAg9q935bl4eVKjsLwNpQbdVwQw1H2YCaCkNOohkNfPHeIIxTALAIGNnwbdDg1Re1U7+4hWw9REl
aNzEvfM1HKPbwYXJ6CNudMbcPlvD66wI1bavnJ2cFzceFLzzacymh5aU7MQL8OfB2z3gByIWL830
22Krq2VyAyJnCccJDIsoNqs1NjZx6Jk0ljt7EAS+Dyjn1kjCeqcXRtxSGUBaP2VXBt3XhtIwoTEJ
8UbmmB9aNPVJ7pXWbU+n8jZLM38XMZbdRa1wwDiDje/XwN3Uo7mNDHUV0LzZpQ2ZlXSBtPOZVkb1
KTu33I1g4hNlk9/gjaADkfhuwqC4l+igYKm2T7lyoyPN7ufVFfeeJJUrsxRH/bo6qwg9RStlVvug
X1dY7lF0LOf00Tqdys2FhLt+4QKZUYaGJrQN6MaFoMfcIyScjLNo6h8y3Zh36yRm8gIm8o6MySAR
u7bfmJ6X+1Q7e+5fdGBONV5nZk9fY2q9y4J81CYvP+bCaG7qKC0uvNYcraRlhLAvyF2OAWtU+1IU
+0nP+NXQjXhHLyKbOzZw3Z4TbxLEBWGZ9z05O9sulcOmJ0hKEfkaY1LPaQFCw9Om+wAOZl/qKjpG
q/3aRkOTWJ0Fuo9Id5DNbQMg3rkhrXrYjmptk5ZRYVzkQ3flGQLXSdX1204QXDFVnkpokIlLDt40
MML0W+nn2Ue2eK/EONSITFGVcXzM1UH4TXe7pk2ZNJm1bIwT9a4MrS7pkbRsMgtG6oAtY4ca/b0N
1uLVDo3HOa+da0cW1cWaW3JvC8M5z63sNWC88dyjHbiv9Clli2KHjBYvlYkgkulywHCzxdlGAKtX
5vOmDUR7NqTiKsJy+rVfSDQk9JjJTEjQADNwArYKcigNbVVbUAfzZhD+dV5azhcFW56L4zXHBs3i
hgqpvEpTJXYVJ/a3oFjrrdEjYTWRne7cJb/pPBJnAg/rfdlE0YG1L3tA4HOHuhbYqZPVu0HpQ01W
d5HPUSz8YU7oNMokHQTzlCw/DEOzbENCaUEK2dWVNwpvb7dud0W3fn3RSGNeRgxft7Vm2j0POccO
jUxtb5OYEhP/K1s5niOWHOLG0/MlKjV3jNM8JIcuSPeQrGx2amN8qwkQ9S2Cm0Q9bE2Vk0Vh68ti
Dh5c7Xy4hAmQ3zMHe9mF49arzJUISYQnt1OTOhvgTDtnCN296TPgm4G39TEHR1DEBXj6ikHRx7QY
0SYbXP8lTeVjo0kd0Tmc3awQhOqgBPapP9PukYSk19VuxJVVhe4hGPyn0rGx72W+vJVkxMGDt7JL
liCsThMiJUAL7VbSlLxuFbFsQ6ftm3Bdwq/aaMt9wbN6K3ohLkTR1jd2CaQpOCWOpL6nt3ZRVZup
aAmUS8UrOkO578pOfSPGHMmGDmgqu9DvXOo4xlOqe+5F/lWfpobNqO6UNq19Lj33vPEm1IuGea2y
+Ythu0+Lh6CjGhuflGSRXVZ1Dx+UjixM8nKy7qRjLmfIOSxg7ggT0Iwsnxazo3MO8qS2Wyl9PpIy
h4A6rIEYP5WZdSTNnidxGkGGqTzVCW6c+uAEgvdaNtPJQNA7B+zShDJj9beZKmNpwyPUi2vRe6DP
oZuJpOvF+BIo5LS7Oh2RzPZ5PlaITJX5hQCShSs7tN9cMTaHVZFLbVppUF4EmbVXdCbDtKg/bKXt
pOjD7vzEuDoskVsBrQvS4A0HXbdzjCJNpihClEUlWWwb5QxnmTdYm7b2VZJ2mXcZOmjV06GuCMat
UaItrnHMSCx24my039fiFNLnhWP6RQajtSnGfEK0psV8lfZIY0gHam+zcrS2PNZHxhHEGFUS55CJ
oH1nmN1K1BmJfJkP43DbeIGXNPjrtyr3optuSMkdlU2Ncm9OWgTvBD54PlnrXbibcru8rGDEf0Oi
N90MxFlHO6ulz89bszPppk889fMc264mwKyrRnAa9lpHF2Oaf5vJIn/sBhltDfb4VzUF3bk9urOI
IVGN53aOQuRKjCfacF0Sjd5ZjJ7WZmquBZSsN0ND1CUtcD0s7nRv9y0oYR2M5xmQra0gfHsrovEz
b7Kazm3T0denwy5J/RgCeryENakbEoWinfSap4FU5HjxqaLZDeAS66I18bDVImkRNV3WppmBOJ7g
czP0wsMGG/+2MzDoV2iHESeHoUoccRLW8fsX77s23Vw3Yx3toqa/Jv2lgJ1KltVUpRdQ99EgtTj3
xeLRNiDT61gyc6qAxtTzPYG5YmecFN0kra3yKo2qO7xQy4YXIr0wVOQ8OZw7SCpr22sv7IGAjN6h
maoBUrqa4fQrw4SlOwfhRQ8R8Fi5VvptJCGHjCyrOzdkPoBKEQPO7fJbIUPclJ7fnfdWHT0WkoeU
JdtY5jyRI1EjZ2YppuWuMNEubcLMJOfcccMDw0CkAqS71Ju6lUSRr3mZrNJfLt2Tk8D2v9k1YqAY
REW0Y9J7oz2JpKe2ZJAQaHQ55EiwwhrrpvSnaYdwVBPlCMeoFJ7LluR75P94KM6IT3te8bUfSC7o
DhL723m+oEPNkOQ+ZUaBLEKERCKx/Z3j7iJgsY/GBV7GUJ61iwHKuy5S0up8+Wksp6z7ucm6rQ3A
4XJmjLh3vHy4c/35VoHmSto2u4cy2QJDDufNesJvRA4Kd5pHWezNmB8cAssO6Dvb7YhaAxV+V553
luFch/OJvacc94JpnzxrI632qxfcFKnFGGMBc+aG1afnon/0DPSdQU4cUOgUu3E0EPaqOtq0KOK3
KL67BLG13sxT3x6mEpWstdRPFYkfF7mb3q3tEHyZG09uWF5aIkftj7abuzOJHoAwOudRIDm7zab1
FMaOFtAcPoYMpepKZGY6Ifiu6Mizp5W35Fq420JM4+0YjpKNbQ3DK3ZSsKIjm6eElsPq2PfnKoAS
bM7ZRRuV/mfqSHEpl8F+LIosegpVCp6n1NFmzeYQcHzZ+jc5FpSb2dEAsZjAkZvsB1HOlALbRUti
5TnOcklxXD4HQ8rhkSiRxCEEPLaderiyNED3zKhRKaruJrWaL64EzG6TChUvuNj3Dik3KA+L+0r4
l30t6w2QlK0KjPoCueQz6SIog/2IIEaLuMUO1OomQkrpieCela7YNEFB+GzATgZk9ZsYGFJS5X0g
1XxtUvVFd+KWUVRwWVfhu/BRmM5+/qWL8jS2MvsSB+sXwSH7rCny59pdlH/KqwJZhDHAnIGpoxzn
NNnw8M1SZruqn+ZjWaT9xrPQote1Nx6KVMFV17pJutKuNkGPNXBt1vuha8MdjbwSaeTin5JruV7u
DXfyFEI/XIoaWqLAd7vRDTuoO+IrdLv0wyCqMRaSHMaJ46YOkWBiopNbz8xAprKBxSVWniRzMMLm
qF2/+PRkLio/NfYerd7MgiOd4benY9Rc1l7dHMnvlPGKyDN2Tnlq0xTaN2aBFBdNirubmYiT/6QO
IBbmXSlQOxLl5N3Ni/hw4MXG6CkkZVNAtCQT+wXnxWb2gXbXyrxiajTHbbM6pBEFXwNhyMMyFMu1
2xRn5VyrXVaG63krXASIrTHkF7r2knZ2KbjkAI+6ZmCjA+u27lgjO7T6gWu48ModYo2KuoktRYpK
WdbqjFz4MdwZVd090XMyN22xIt9cwo9IdU9r3b6Z/TonTk+BE2MDIqHPNqe3DE8U/WWnvrdVNnZx
Hdo8qIs3HFoxhONRjzgjMCaNia7VhK7edUhb9LLxgHsMha9x0K3o0HHSKB9P6ncY7YISc03Vt6wy
vS0kY5ZjUL2YvZTHnjgZOhmk+dLLb2jrlyPsI1w8olhe5nmKroHBRO8kd6+JGjqiCTghxZGswQhb
2bJbqo4wDM+9YyaDr1U4t0MVvbWDeV+rPCN+iLehWCkjlQ7uixxOF1kc1vPS+sW+pyRfGv9BRSH8
EK/4Ch9UX5mnlS6ISCTMSyb2uEtIggAeQ0hORDWLqrxCs9NYoKcE0mg7aJPI7j7kuDb3VcYkXbYe
kYFZdU0SuZ+ws+CqGLzqODdjCpifb9aP0Rnf6cXXj7XOSGy3umuKdftuCJb97JOPRtSAvvM6zFlh
GciXzq6okkOCOEd8DXtTaQKTylOpiUIYXYiVxcNKvcT3m3Y4QrhMIS+sEEOZ2IU60WH4B2yHrDwj
lBfMUsCBKC+rfbRwBDaXi9kmpU9Sh2+C9C7SVXU5AzdguECKHkqdB/LhDm6muOmpv14AjBS71Twp
FlkXV8RB9zjvjUfO3OPFxBj7SHJa+h589zSF9YimzcM2VMmngWyzgHjjWHT4K7A4YHKjPk8MbxZn
pV8SHuY6wnwgdkrsmYsblyv9jaOaLLkLhs6La2rZT5wz4n11BoIF8fLF/3yT8L+BQP/vTQ/+HwKl
nxRvf9FCxKn9OvwMSj/9xI8eoh3+5mNZJmXdsVBcILT5jy6i/Rt9KXCENO2/Dwf4m9/HBu5vDDBt
KwBXSIPxe+vx97GB9ZuNHoKfYnJMf5Ee8j/RRaRb+HOjDHcsGEa+HGqcE0Ip+GXC585FOqMTmzdz
lpVA4pBye9DkVrxRnUm/BjfGRmDmDBOihP1PRCNduqmcsbGSwpTlkx/Sn99OmB+uBpcUsw1n/LIl
BaaxUpYAtT5b2DqwWQ6dLGKrmmy5CfnjABCSZ5OTahNqdxR12t+tThtFSQQBlQInFFD3cGGEtyOD
ZaCJi43MNaUyZU0lRVlvnCizPjieZq9l4y2PZa7TC5WufCxHi4r1RIjAPAYAfnVcpZ+2xaFjrDKa
LUHV5zviep+mBg514F3bTnOde+rZWNN4mcNLw2MTLBesQyiepwpf1LjxetofKEBgBW9zsRzQDhAn
TEwXWomkKp1pS/FvHvswW0+5iY66WeCkvHn24xB1Hn2u3L4sw4HeU7ERKYGrgX+QpnjtVXCFEClp
w/Ic/8eDSV61DqHA40jZYpub4jEg4YxsM3mKgyA2wVyghsqO15tftn0WDEOch+YM5FrzI+6apLmB
rAKxy+g8Z0G304S9Db3bLrsG6xEMkkSFFEiFq+M6977a/RK91EUx7QpVQr3p5LLABOpcUjuNMHsy
nDl7thAXF3Hu1MbnbGuXM0+hiT8ZGkkUzlICY2HggavCGVbw2zliHRbZBv9tNJnVQzEMw1UZGjiQ
iozDsM7xT6tWBOd1RfCmXZXj2VxNA5Whnxd3ylf5QyHyTKNvmWefMwyIHPB7k9gNFg2aDfmTWZEU
0inuskgwGcFrVZzXPMz71PfltgpUc2v65GGY2jF3szZkbA7LPadnEgADLK3fzCI6hX1PKeDTNsN1
wgB269lu+03nM+Ex2PsOCm/EpvLAaoReS6xk0MkDQah4cFuZv2vVUswYXgcpyG6q64z86W2WivcM
Tw8impTEm0GDM+ndYCfTBl9ZZDU6PAuWjjN4uAAfQU7YE9IXKHZ0QmjS7kMtvnrOZyWe7AHg5GEe
0myNrdmJbp26nC2c3JIbHNFo+hgiZ3hc1qh+MoVC3YaDz7tZph5y1Qrs4muXN2wtuvHeaERaOEz1
oAtau7KF7l3Sz+ir06moMXvvOk1Lum4Cf+W7g0WYZ4zzxYOOmomAxCZA6p7WuXyTGcatTa6zudiW
6WB3OLUzgF21X+aMtQXJqC7q9Hm7LCa9YzeAiWeLZbiQs5uam1rCDNhMJodcDIn2lBPK7jafjDbn
98AZzPzKaopuwBFcWWKTz7Ld9yYmT+6oIcZ9Hrp1f9rw0vAQ9LQ4k1ZXCj+VctPhfJHaeebh4d/I
6vRdWej1QDqRWBFAVJFNFMBBxRffjGVxBNXmy2Ongiq8xLPrbVpvrTg/jgMZfTR+JF41XgA3zgM6
+LFWlSZlxAAacLGWYUH296IwBVrpwI6dKxqhV6tUnZ80g2m42yUr8zRJoZ+pxC5tgfM4w4wb46Gj
9mvrGVFxLp0BP/94WmmaPHLw8C1zll9l5OPiwKLnF8RUC86hdHjszlxLmKh5O7PeMmQqzK1wo5Pc
1Q9HVE1VEA5716FK343wMSdyEUfH3zXgtMQ2d00htgRDp8tTnsv5umAkam1r3aCkY4X1u23kDqZz
CNcCWKI1q6U/X9owerfwtk58F0Hkq6vRhGAna6VK5tpaQRnA3O026Dqi/qKPZKiOYkyVtYmImch3
3RIFz1EXRSthmDC7kmEOU7nDJj5ZR6ihq4nG+hQUbEQtJ14v9Ax0/hp185lhIsC7aHBV1tvUG9uT
Piocb5ZaOle6o82zAdiusi10sqw7+PNsztBAEIPshl6VtHutVNhbmwGOtXd4b2lGFmZtb9c8m63E
w5AkLhalis+19xnv4KQR+hqTU+NfBJNNgNUaivJoTjzGKN8RUSVBJkJ360yR70EGoGUXl0NF+2Ze
vPY1GurpIu3naY3tiIMdHSafqGnTKV2cbPDWdnqSeJzXRU3nQjBSIajT55WUpiqWjRqa3jsakTkC
38e6Am/ABzwWK6Nyvw5t6RKnnk0mobqmHoCItAvms3Lyz8dFEH41G5V/MUuvLhMzzdMxZlN3eQAs
hDLJOi0uvHB7WAkNwvirNh5rq9xE7Dv8SeO0IumXQC07J5ztYDPnQygSd6XxF8vIkV/1GGBcjUQ6
w9ctSjA5YZlWQdISU+2iQ9Qr4Z9+kUfJQmRAE/upT2EadIwhtlm9dh9kf05vo7PgTu3H0T8Vj6l3
UUSj+JR9djKJM23VmJimdExAtSTSgjyPpmKLsJ1ROD5ZxhKeM2rSkermQAvNc5LBqfUF3YX5yXWb
LIxtBb7akmWXyHK23zzRmXhL07kgAHy2ijPCJEhemqSst36btvW+6Zqi2DPTNG613cB6n7Iue/GC
x8yrALI37vhBn1rXV+HkLg9sT46T2FlNEGzoZ9G7m54cRv6q9LXWBhmx+TgDBGFdTuO6DDxobjXa
QYRnrX8fCNd5dzrF6N+ePeqF1pzFO+YFOWxppnbOvkm9uopnMwUaE8A0Oeb9ItdNszTqWZuGCIAq
z34UR8rykfaEzjePaeuHS7WsEuzczld7djyGU1g5yFHT/gT2pspnlj7TcgmIwm7zLZvFjG9WTLbe
RZ5Hwh8dNDg6hESAkwi9vm3iteqCu05iVI4Z98h3MEgjCU7zyO1TvT+puOzQKTLstNmNGF+CJLU1
aTs0EmMV1PWdM2DMxddYp8wB+6jrNzkedp6mgEzsuNeI9Dd2M3ck7bXLaUC8Wu7ZJBzNMK3tMn/T
h9W80yKgbcIGzeRxdrr+Nk8Lg/Sxscy/8s5GH6tcSY31Vv/UaqK7MW/KLJ84hPjzVO6EnS93tem2
t6pwrFfYeBTf0dqyb63rAJpiMcNUb1e2y7OuHjh7LG1uGRuQoctC3lqJcjhoJoY+0pEE3q5MJF0K
7NV+C4uwelP8qnCtB0awqZuBCEeIqIX7Q+j3P8qMfw3+sqzarJ/v+c9V1ekHflRVVvgbxhz68Ciu
TjIMB/nDDzWWZf8GdZ/6iG3npLU4kUn/oc0wEQQSNYEB4d9Lsd+rqvA3D5wgtkq0AthZQE/+E1UV
4Gu+2U9iCWjT+Dc8/keUfB7/W/7+DyooEp1CYAZRuymGLrzv2vKaJlx0wHH0ULaGPOJb5FwCm5i2
B87sYQxeQUqEN0VjEkFvRAxuwzdS4W+LvthmREDgi5QXaJOd2FDu5dp57RXqEPzaJXlzC1MDvw2u
AlzksSe74wqm050c2E9yOa8HeRC55cVrtC29so6j7nLIuktGexhru8vIa4Ammu8E8BxcNXyTRnQZ
SOcMkexdbk+7kazn+jGPPrvlfIoe1WoevBQ2wllbFoC3H6reuZKlqZHP1xuTKW2q9xGnnd7x3iPx
xrejIiPxoCKK2lq3TdHcqAgshl1tw5J6oH9kWH/UFVv2uHPS7FzSxA5w2Jbr/QqMtRhiVZGm6hnv
ZWU+rP56nKP1KowQ6ffAUSLa3tQGtnddDi9ryxGWFpjQfcxUCDTGWUbegnaJDDnBZt/cPNHjY9aI
PdeS5n4cFZeLc2Wrs57ZjAoRqEnv08iML8x8SY5Fnlm7N3BBExzSX4bsFcE+Rz7mQPdph87ALg9W
v+y0ZSO2SMEwr1svt5NwMC9zVxxWM2Mrx9N0GazVHkj0e7pkZ9KB5T1RZOmFzExzvs5ZZRadH6ai
gIBD7+61E5VDT77ZaPptLYk4tg1wStzq1jpEk8G0+BpXl2De26ij7ZrlbcbH5hkIIefMYezGThRR
8Xp6I+Ybmp4lFMyWoYo+BebWeZQf87G7mCrL3pyYNF463GWgkwPrJm29bR44DJ6Gm8yf7oewGuPe
03vptF4sWLxjQzcvC4qgOPD1bdaF5w5nE9DbRByGK9lOeDQW092J2byTHhd5rapnZ9FqYwPjcVfr
m2V+upYKErubLnX5iHh3f+IpyIBtY3oSEOePKJthzdI8LyusGdp+kKSeTCkWRPgtjYYvtR4jNcWe
as8JXCs3k+yufX3p+OO3MliuZIT+ZfCgwnf7FEqKV700YkimcU5kCGBnlLHbnuv8fugJ+rTJtfVe
9Vg/AFM6ZCVb+EhutzndSFAxcRdeSDVuQrKqfQljI//IrXWHpvlJ2eM9MetHODwx5NwEtOtVRDT6
yuiq8G4lIYiWqI+1axxmZ77Unfke1d5Lrq33cnjmYCwNkaQKI3EzHN3uMRiCs6lNwqa9HrzgfnRo
XS9MSRqTx9CfDmGV3qZT8y3PSEftKXU27mxZPOUjqB/valwn9RrYw3s0dGf595uhdm1uDqRbdgwi
XY5neX8W6vIlN9KnKOQlMTznm4zMTwIs0HGHU7QFnAp2vtjma3luG/V2HLKkzJqbCK61uYS32FP7
XeMhe16ponYW3pKgzF4ir1qTrK+CawNPZGys4THvaCbRytWJDo1st+T19UJ3M7Gm4UHzHg0La4NZ
H+jNxm37sopt4XnPVdoeejQOLCL3hXpHZb3GqlkTnwbwIvI3K+yvcho79kxrJh9XYC910JF0gg/Z
TN31mvCE5Y51lLFlQDxAy2tNy+1jNsNt2FHKBva5XQf9Pc3ZiwK525EF3d33+mHEE7JC37mhsfLM
kInSvnPvq8CGi1QUW1dJWBn10MdmKu9pY3BO1/Yt2Wvkq1f71Rw3rb+EZ4CUxp2fifWQDkGzZRbo
70irc86CcS63qDi/VrY878JoO3bpdTjhOTaqi7Bz9Rc8eE8QNm+qsjznFHllEWGIFgkcw5qIqfiE
J3i3zikCpMj/HFK73CxVGSaEHOYHEpvc7VyH5dnggh6iMXYzjZ7x4qgIooyfwyIH3QD/AcZQPNEj
3vk90aaat8k10ot0XoerogcN1KBah51UXwRe2h9SpZGkCN2qK9W7BcIqpHVVNG7DgpLVdIzpaIcw
AkzhPAQia45lCvo/VJF/bwzeCFcPVr1nmJepTtNnNcIU8v2leByUmHeezgWAFF1u4YgWF4hSlvMM
5WOSSZfCrqYMb0PRb+uMEXLDApv0IIHYFVEs9CTQBkO069eBm2fQLh/zfeYYG5a1d8+ciYIuBx2P
hVndZyH28WEcwi3czY7sWkHjqfsQKru3DAp7HHc7bd/JoiM7GzBdgtxuhEjidRBDCl4bCr/2anBc
tXNyNb3B9QBPULuatIMAxB3nEcSRoDyuAmBCJ3pIfy2dddxq/wukDnFcyoD1UYMIW7Jvzmn7y+yv
bmuaSR7aCYmFzVkFamNPg4qLLOKGqTDNi6qi79S6W585SpLr6kUtubljLKCQJuVPEEQACTsXmPTG
o3ua5VQarmVQVu/KbOG0GhBO0gomU9d44aYvF5FoulCx22MhHova2s//l7Lz2nEcWbP1E8WADHrg
XEki5VNS+sobIl3Rewbd08+njb2B0wcY4MxdF6q7usQUI36z1reayg547pQFtvwq0hRKB7u/YLGb
PBBVd7WA0PmkTobskUQPbqvoGSXe/zRDIbdgCngpS/lp6Pm0tWoGSh3Qo6Jxn0cYUpbG0tyorOak
NAoF5xUVmbddotkgqYDVpKjmL5nW5NtGU3J0LcwcGkE8u4K6a9vxo16L5jxPWxhcbbL8jfpE35Ch
ySjJbt+QO/wgIr1lFr6p2C04DWR+vrPKjaTbd9F8hox5W4QTGEa56y31LO/SPDaNACO+Jyf7qBqq
NFFvWx57kuRby3C3zFNWCVHM5mmaWFSBqmOGe0g6a+tlLSFv2SrVx01FavPYxYelQC9YtQSBE43b
zM0ZLsnBm4pLRLBmPl6aztqVpXhA37cNDdsXA6NoEHnrjgEMJkLGKnr9wLOngngSZuod6rx0/qA2
HI7LsABE92K+/3BF9At+TbXuYAyyCHM0YsmLFjvXopnhHj+su2XPNgUtQaMb1GcCztUI5N3vm0Ur
Nsvo5b65dBAyjG6wdpFDeKRI2Lcznte9Q1MbzpEi2f7KBAVkrIXVccDys0amDwOhXuIbgSDcjLGs
8gAMBPm7S6ht7QhFi0SMAn6pt3yjk0QcL1xMzISW4xCb4lGPvXSrxsXaqTjTTwNBjB9zsjSPVdUx
QBQLVVKXLOFTE+LtZpBduCtXSw1zXTbTcLEkesKmtrRdmk/NWwsZB46MQRKeNhDajEqt3NVaPT+T
C6mfW89Sd92D9bfQY6QO/djfPE18WmNZUc01af/g9k6zmqKKeqZoNPGQogMNlAsPX1Mj4ep8dMB1
mnOrFEVKOkTgdXSnRqfVoNMUQwsfXoIoIS5tYzP/WY/6WBzaRHJ7OI0xB5wfhrEzENlOMO0Pg5e8
yw7jW0BAsfWm58gNlkFHTeOo9OrZE0IoZoAsjO0YEWVau+GLPShvb4py4YfKujlqQ8qUuRzXetGJ
Y5mN82pJ77qftAjfC4PxoGGM4z1oYaFUrGfncxkojEWjR/fDCRz36BTqPJUifW+93N1PusWUXo6F
R4WZ18PPksMjn1harkXcf1h2r3EgGmLjCGWeZeU+Jp61taaKHpzhe4tUuGnlRmni0ERDyVRpQgNb
gLs1InEOy+oBiOCrmdG9z+ODnCqwWTHztCPlOwEmQ7nAzxILW5nwwzDHINdtbWVk5Yl5xcmLuQFn
N99rqnp2x+LFyJcg7eFsmeQzmtUz9+qBSA0f01+/mdop90G8/RFK11e20IMpcWq/Qcbmj2l3lSzx
GD2xxLUsIio4L1EChOdcVmeISXuv++Q7WK3zbMSVakevVcZIpAgvXSMkBaDGmLiK40PqZt4qk0PB
XA7cbhGZb8uoSV8NkofvtOtMul/eZLO0sSBN2nOCdGE262cpgSHoE5b+JQc1b6F7IWaezo8Jmgwq
+MkIZNqXJV+8xyzLoF1HBHf3uX0oHA+ynRMFYZhXl6ZlBFZnfPHdiB2X5oS1zwDwEDlmIGvvcdY/
qgQGbM2MjzSLkDASbhTfIerULEueDMjNFeSzlRIT6bCwOzOe3iBVYFVozpuOH20ptiYz4wdPH35U
xxbdpcJGkqy1QQ4Lbq1bmmCN3ictn5APTA8AZ1Rb1LCZALBuNCdTG0Udyj0himPZRwcsVQ+R6NQB
+fW1jpkaJYC4twDD+lXSxVvsehurM0MGd3bMnqHsSGpnO0ej0jrwftLaOaN0or6SUbKzEsN406B4
7VH02CzFso64pIJ45Lwvbb/ocsR1RjJAxcuTTRFG7pFWjpdAZ3kXMMBLAybo5g57UHwQqKVeJiE8
H4ZzfM1Z96/72HDejFzNW1tr220f1gn7rWXy3u7rvas92MNLas/5k2MpudOsoQ8UgqVk7TKXfJNW
n0MYaFAIlsJ7Iqs5hsyD8Bgfj27TzozNXteS4m1kG/MM97L4BDHWfw3UF8gylThohJ50gWr0/sUb
HHVRWZkeROzmH3aUTUjAs2HYmmWLyMTyCo9UaDZGvSXDp4zwkEddJVxEA+55ZtFhUjwrYzY+oFfG
CGNYAZerSTYh7DLWmCrNwrWUpfNstY0M3DKbHjKr1o6LntCCoY/d2E6hP4WyEZsqacUZ0BQqhtZp
Hu7aWFQJds1RT+JOr216ZuknDv3lSIgoXZtrteVbn3FP6tY8s/VpzSeGZPE7a4EW3UY8d2/Kg1QX
mMskXxkgTHukGKbvFuRiEh63X3qR7KcoaWHF9a18nHSBCqekqN1INj88moGL2YXYK90kfs1T0/Qb
4KZXj9XSX2UOHgjayMygI1eL4qtFVPB2sZoBtbLUg0U5dIZsluZj5gGNWHmZe+imgT1wVfpl0xl+
OpanmG9t4k17HeAns8AVuPpuk00MJczefi5Ee+We7Vbsitt1CLMoVeaTVsS0MFm4YSmZ7PRJFGtK
TBTE5aL/sFRDLduGG+whyRrRYvE7qwQYbp7uk7AY/JIGHbCVzvxauH7mZe9VKPOtdOJgBHmVGpzZ
TpbcUovo4tgdKbuyPyX0T1pz+d4WxUPNLJfXXIueXfPOQLDgvw8lMrDCkeO6LpfhmAOGLeK/C7OS
+4YMUPybgh7nqZxFka5WsgMMCH7k4OKl2fS5cZhKdjXJuPDfETtXyRxygtMyVUUoVRcbutF7/3hz
nTs6dxmHnQ1ocTMPN3t5Sa1lBQZxnTFPgmaEvCV+1pKe4YBRVezblr3mVDurRZWmRp2VZ6/XZ1n/
9vKyIDoYLcRRSH4fmHo4az2zrXU8aRVRxUwynKZe2e7G845JExiyyXmHkp7dSvSb4vVJC+e3npL8
pSwEGsWx9Z2G0GGvCM2dLkFBzJJ+KkvrC53Unkf5IwAMsCwJBSjKPsii6ROxz5VDjjOeaCI+7c+M
EUWr30OxzGubcUl6l1GUFZ1A39ybMrhJHAiZtbWh6FEgsKizhXjtUTF2RUNP6tVHBWbvCBVSD5CQ
b7vQ9vzWjVhjZMWwyQqGhBbwUw3dHnxVI0cCl/5ha3SJsvpbxN64SRR3ZiSyGZJHiEijrMwttw7w
wbzMyLsuVBDHDFGauTZ89h3NruEVAiRdAaUENs6R73K0sBnWu+esmk6hcqkqs+q1ZcLv1e4nYUID
EW9lstW17DxkKNmYSpBXwNZ+OestCckFq4/UO0ehZuBr7LMd8tAIlUNn+Z2Bcrjz5i8kSyflhfYD
ZzaEoLI7mgm7Mr2tPL/0EHsw6QVqF5805kC+HZnpZ7Qg1FzZsLJJ6/jLRtIKlnvjieg49SNXPrD0
PQAe2TDM+ES/oJ3MyD6pTmC6xqt7gcfqnafRmC5Z1zrbsao3Mp6PVR36KlGSW8n6q9kll4zjnW2+
ByvHefLaunpFP+74Zs78Fhv7yGMAiwx6o0XFUburHqXHSTBxekJaM6yjZsQH1PUPbbZs7SS6FSUl
vTHI15le228W78GQuKfu2kaNkQyCic4sA7TZfFuil6wy8q3HhuVoy5CCvYz33VIFbsi3tI2nq54D
0i8YL8J4E0FULMvazGNnW7FeC2Q1Y60qHehTSeXeRJx9N2N0lYt54G/yyp14Fh37fcf9ZCHLXGuW
HIUpdyN76f19W0ESElGgdan5lqiuTegxXrSgnLoYTWWYq7VdYmufTfdI6tO6Kaf5g8sKH4KX+AOj
oJPKdIaoUks3I6vJ65Do9YXS4IwB50hkjLEZRoxx7pjeMk84hy6MfvUhzvzBXr5tC96KrcPVn3J2
iCqrbsJoOSTbSQVR3lY3O2syao9K5atKH9ygyxZ5qK3aQv3pRRfk9smu05EfJKNiJjOX1boxjTUX
1zW3ycJLahvxXbYdZ8T40qnrKxcPuXeat9MX17r0kN1WJWcwkIyLbhdPrMA4r4yfoV7+dSvxEwnn
BtkOetyc0gbxRPNikf65A9RGIGMf4JVEzSk3vWpeDfsjAW14iSbNuMQKP0a1ceQNUKCfa5+COdyT
W1njCptdc9AB6azovMynWc7Z1u2X4bkMu2q1uJO6pCWGK73K9m24aGcrVrOfpO4f5TYUhkn72jAS
Y8zOwauwDawMsOSoEmv8VHPMJ53gnmgTEWxs0VcKbs8R0D1Lx8sgremQEsG8aiHiu87AjlwwKG18
za7gssa8EKlteJS4c06hwlBWNfvMC/eaLlDHI902qlVN0qZMXih65Xpo5a6B4epbVu+nCw0xY9c3
fOrdOe7uCFuW5+uugc6QdcO25cwlbhitiolCX9LtGwBYCIWboMtF3TskHrwUTWUdy6pTmzBR5q40
vZiJAWVX1XfdmevSWrmEQPkMtf/GotlMFSk+iauRr1cvaWBLhbA1j4V10DI2EyFIzaDri28ZOces
KU+THRn7TGXv7RxpxwH75IEU7n1RRPUu1QqMSOEykKdZ5yCK7wnkqtN/4ZL221GqEzZ2DIIFb4nR
NYchwZ6mz7M/YPWRQ/vl6SHWQhFOIYqS8YT2mwyIEEr4mLZB4ZrDBtFHdCj07hssefechvYvwJnN
EJmHu+RzjEsRDEBGYfV641qlikuy7DV9M5ER+tW41meGVGydeYPxXLvjM1+DKz6pZFMb0S/Vjzyx
zj0Yo20dJ0scowEyphYxAvZmlp+lAe1rmEJfy8mP1dEnxEqM+6g2SrTbNJBVYZyRtV2lo1/IY3sT
0PERexdba4lSpP8ScQOSJXa82SonBAgzz8Es7HGNY6ekbWdWxqQTakdqcFRZaITTQ9bhzDPSc4zK
tdg52XOZnfu6vdCmkgPoBOGMHs5q7Txw0CeUFeEl7FWB/VdyU9D9MjMM3Lo9m1p8GUwdVSDzzLgF
y9QuuOct73JHiawWQhQCL/8VLJILvvgVge5reMDZGgjJztBQ5fXpk9UX0d5S40XH8d8CqAYYMz+o
jLVRo/2ENsEQiEWsbZMAP035Fy6OisZVZrPjXywiVXMDxp7zobVEFd+FSMItN7NQgZjdJ69JAesn
F8JRfkozMU5uR27EPYgS/aA1XmYRHduZDq52lrc+sjSSQSou7odC5DcPIAKjwnWyIIAx5l3Z4+HE
7Lu1J+8A4drb8Pgh+WA36pr5NrjapebOG7WXBq36ANCLIIVtcad5WXnkF233xI91RaFUEJpDkUQw
xXXO7i8wsOYBfX9UtBjIquWoMKSBfz5FEQMxaHPoJMP4R8YR2ii6XhI4GQDn1T6yvDfofGSesIN0
Wm3jRlf7Pp/XxRsKAdvXZoSkFREwrsHLr9JqQWvEK8UKP8TG6Fh7Zirv8Ntv1cBnmSZvXyqWUdG2
WSABx5PYFpb3BxXQSvGdxpfLzlP9DDH3c6NtWgupGTnHBda0OPAceYZBjaU8hsM7+aRKYyf6gy1w
Whf21xiHHxF3m41zmIwK8JbP2CXsUpzNSR3YB69dTezU4FwS/ECIyhqu4jSlBMQOArrDb5m1PZFV
0RNwJbFSNw3jN5tWGTLZk8di97npJgt71kxmgBHpz0BLUSp2FmEkKwZW1ZFm+WCWLtYBLyyAxNPf
zaaFvYBvcUr/wYTa7Day6RG5EpQTVYIQbN39xShK28TyFr0rpMmcGPlVikkMwiN5GFmB3xL95lCn
7rq8N0E1Qql9gxfYG9QlS9BZ6BqplogwOnofcctAE4s8urVkDRK0cIkF1mysrltsR4B5vP4ICSg+
eKYYgwnVZ1bHl7nN9nrU5ps6nxyf8Z2zihgkkV+DBLLQpmPBDPElrZq/msZIdXboO9OF/4EYvSeH
E3CTVD1DrjI3t8Iw6yPuOHie+aYalsdCSlImiuI2dGZ6i/uYBZon+Ex1QjFF0MIJkVJQZP1laeQq
hnyIr2vbz9992Fw065FA8Z0C8W4VOX1cy0Y4rwIJwB8x2qPb4p/oEctkPwQwBZT1eP0zThaOrn2S
pgFRL1ugc0HCuK2JGrbcOONTgyoDnn2tbUbrlOp3n+sRmeomNp8JDLgYHOdR3DwkknSZng7MwJfI
T838gx+s81WXmeteZfIV+BGR73ZELzOOYeisF8WnA5gSJPYzslacaa9mPgchumkymoOo3afDJp9O
lhPjkPj2aMMVasyGagBLI6saib/wr8QFMOAR8DKMSlnybt81W/03zhvNqN/ztP0MZ3HVxru2wNhE
xM0uEOZr6Oxtf8ozudaST2D965p2M+UYbvogRSzbp1x1DGVy+09RoFGLh2RDQb+mBjwgoN7UDsKz
xkrCZ8zaGJ/JG6aL0521rXJtv7i02quwtrXHNHeipzbqmmtZMBCsF7xDXSsgbpmeXEujTb40fPXb
UvGNFopzaN12o+6zqcdqSZwPokXqePeYuaF51xLwUed4Pte1ukfglOO2H6zar4rSfC0TSfM2dRz1
KbiLjQfGwSeS52KmpY6IizfYqmHJ7PM8+osMNdprGUd0ChXsTekYdKhXY4jzqVs/Tnlor8niueSR
Dls5gRGFocmdD5OTQh+X3TWjHHieKOrXUYkpTe9Y5FnvDU5jp6ie0la8OH1Ioe3lf8K59pGesfXK
OUQrqW6dZrpcVq8szKttNeNYAtiBLow2oUzEGoBdtGI2HR7IXmpIz8m/ZYpZzs1e5WDusbz+Ha2M
FqOOV32bMxakk1f2Y++6By9krltjO/dgnLGTNC5awtvSkaDo12y+6vCdUx6FeqWYCRsbRCaE8bAG
dEIkrY3G2zLGu5otBsw0dOZGf5vHySZspri2Y78DXAUi0bw0lvMB9vvRGMUhNfrTkrfb1BpbZgRY
UoVaxC7K0mte2Q51YfQ0aekB4Nq7ye26mluoGL0ZW7s6FwHzUUJnTJgKk3EtiOJxBVPpyjDAprFv
RPHc69k5DCuNKaH6srK/ra7EGuEj3yi9Q0nCiNfIJsTUyvnbEwjD4+Rqi4wc9UK9cT3+YZ4oTvPB
WsUifsCIdXORehJAE26NKftQXobPNqp/cRx/GVpFeW0nh3aS5dYoSfCKrH41xkD+BdpRE73xEh2I
B2WIZFVstKNjGnqvFIYPhi6IgGmT66R51JvzA8yn1RxaE6mXxSk1uE4rw+Xtg9huO/czmYwMO4w3
4TjPq7JjQlI1fNAszN7rxdm68XDQzem+UMSkVHobrarzbW3RsoT9x1wXF8JJuPvd+EmLbbFuIP4i
kHtUBjFNufwozXlv9urSl2kQMasI4/qvNAWB0NJ7xlmGmLgJeuH4LW6QjamaLQpEY+fM5Rz0xWT4
Syq9dWwCIRlz82GiUuwL4wrxe2+nBeEuXfSpxyxnNFt86Go2GTPqf1MdmyfYp/vWmyEyKt140i+h
Nz1ILbpAZ9vYXf9OTAVZ7W0gnPnR8b48FSQ52Qa1rIkrynwwNwkNDNrW0Vr39D6ZNuzyNPm1WIci
LGzAUaQa9FhJwIfQzzkLarNjxFLIfcpwbdLzx1k9uc5+TuTOLYvbVDzJDK9Db9+lABaZvnjb1zSp
tG1hto+86djMTubHIzz7KSacMy0BAyzoQxs9vKTkA7LnY2oF+Zs1Ep0tE2WKW63vpqBunG2KnHHd
ZHTuXh6vtTRHjlPYP2IpTkg/niyV+GJB4luRpbPSmNb1Hexykc4BflPeQ+60tR7173k9H3LH/Ina
/mB7+iOrNSzE7pkZx4F2dWYfxl6T/nJV2W21jlAjb41m3jhwFWdQFgrdNbugVt+kvZLbUpcM2MVQ
85VjA0kZhsqzGk7K1X7MVIESN16auvgKneI4e8Ovyhu41eFWU2G0gTAcr6Vqv3s3veEEYhal2kcX
MFc82PukHlFaRSd8uqyh8vWkUjZ6f4mFG3zT+e0y96Wd8Ajr833iVciHNm9Ofd9f4hE2foGOvCZg
a+1VnKNqqY7VPZuqIqkFWVH+TpG715r2M1fx+9iFBnsI5ziN+us8NH9LFrnEjReC8bd41ni1dQZQ
22X+XaxOrbKKUzKS7lq59ifj4wY1kqn8JG6u3MUH6c5X140x4ZrbuyrDyfWApf64MYt45iNmy8rl
J2rN8pSWxYWRnbOOMwAe3lifBKQNfkV2TazPfxNI+xz4ZFaM6Gxzjc3snTpLwvCp7eq7Kpp6vwPw
wGojKdaOYoJXzWLvNoOGFZv/U6NPhyQqsEGYTG7RpuhBbXsXwBXaCRdjvOYZFS+dnRMKLb6WvkcQ
FT8r4Wz1ZOBPHNLYNzI3PibxzOOr2YpF0oCx6ejHksXDmsQirFUkI69C3lWuB7Gt0fZsWzTB61Am
f63Ue5pNxXA6lcztiq0XDR+9rTaueSprVjBzy4OO02TjDO1H2U4nkz4hDmoMACuzRpJhW69eD98t
hpgTsan25wHD+lzGn6JNX6zJjI9I5OUmk7n1ZQjtr43VdYz1z3Gkzyrq+o9M0hMY35xtRHRfSH31
nfxTafih2ZymPUkzvAuoiRpOuPfFQyYx5hRRhixO4dQgZEj20IKu/LiOwkOKxkrpSijQpkb1XaNH
XudoHvKwXs3xRXVnL36Y+lfYM+amt+09howDSSK7phkeXZgOe63m1bL08NnqbcQRChEMMUlwA8aD
bUzvVtrYD9oknQ0b3KelnkktKo76NDzAs3luJI/QIIAnBlnDRGw1FrbY9oIqJzL+hNWtFWjdauIa
BBkSbCLZZxXxY8NsmpEcIEfvpqNr7KPpLbLzj2YhTbAf06dOZN8DgsPQ+TUoG5CuH0bLYP+B073f
inFbZ/vZqu8oIYEE6nx/LdIqyONlHaUvir2epx4T5gGjT+jQjFMs0VhyQLFemIgYM1LDmZlRXyTy
UFpKO7hjdoodJGGu5r/E5CBerPuGHTFalN2aGMN70sThIz6dli9Dpx0kEJp7BMmyKyAE/WZOnvl5
PJRPC/LHv0bscsPIPtAzbqJiTOKHpLDGeSMt3WTVOvdvGSKtB1S0xbZ0tRlFgUqPqOnd/bw0RuBi
Sz/NlECnAk3+V1iC74oFfStJYDat06QFRai1O0Gww2pkJ/qO8+Uz9NCyWOmn07BLgjkDvavtWfQI
R/rIAevTEC/tOU/j7MExCm2vd8NrV/IYtZApqG+I8tWpM4vluFTGQc/diIVm9tNG7Zoz148jEaBY
35C7sIlL/YIf6212B0Rs9iuwnnijJ2Vzb6KuTinlRpScb4Sx1c9Naoub8hh8Gp8VhcW6ThxicbRz
WmfXJrPQtoc7wQBixxxJYFtpyVXCiLFLhv7aJM5jG7vJ42jXG9TI6KVkOR0gOcKiJkpqRU7RQ2Xr
70nSHyv5DXFrnQx0IGxmYECMPft4jM0ZrpKJHVWoJe+udib8bzWMJx0mqsPOJbKvlTOAz6ErorBz
9F8xsluMiWFQgqCD5sNIvxbPY4b8ynu7Zh7s3X1NH4JQ9gCvJr/ogAlIvDord14+DSc89sBqV9BE
CNRjwU616BwyJ/KZlDxEab23JEvcOUIwKJO31gv7e/fScKpEmyXtfNyF/KBL5FjiWrl0DBx8MtmY
cl8VxbVxzCEgvMo3ci18z9A3BkZFYY0pZhpJIgQd+xaX26FOjlUy32BB8xtpGfqjcLv93Hl0uBNG
uHZ4ypV3CgfXA7vhlUC2k2lPOnDkY+tDjx3D8C3RzV5DTbivTAbjABQ5dX8dYyMctWAo73sAdGtZ
TfjXYBoOUXWuj+eVmoUIUEwNXK35ZDurPIdCZMVnkALBMOlvOKyOXY82t7S2yRwhVk69H09yRDJe
EX8cfSKLM7aic2oTiuiK5SiqcTvk8zYT9kJfnLmkmU4DdRa5B+UykTXshT/gNlaqR+cqvOHcqPjk
9L8JVO81cym5M60ZGM2Uf3Ll8uqMqN+q6b1cKr8qkbi6XOmsynGkeFW9GhoKs0L/dtLvtgYKwqjv
PDrU/3dCiIVkdIU755bjyFrXWsfENc9TDpLR9ROjjsGHqBVns8cmArxdqCo/8qLnuQe6AtDZ+S1a
WGEa8zZin2py16Zzm2ivbLjjtTLzEcW1Vcx+RrgWfwvWtP97Y/ul/i2f+vb3tz9/1v/nbs/4Buzz
LzzuP2G5/zMd9x//ETDHf3s87qjZf/zC/xd29gZwdn787VTe/8drcP83/39/89/w2ue5Bl77Xamy
v/9pETXpP2CWd0P3/+xdf/ptv/7psWCm+x+ThTT+S9Ns6YDju8Mu5R1X+m+TBfYL1nFgF/k9IqL+
L+Ct/V9gsKXjaPyGBu4SY8R/PBYS5zqAXE/n/8FYzrb/Nx4LFiJ3xOU/4dTSMeBzoqvE76Hp/491
PaG68pyoZfbXpsMhoT7zhxyZnnCi6tOodPUmW/xtM5ISGBfTB3AqShrZtxe3C8N7dL35FTb1svbS
xN3TvMVvMfDHwFKLeerT9D7GhnP7rqdVt8WhXsZHgjtKlAV9fhqxs1NvmtpN5IkF9K8XxLRl7aPo
xuZBT8lVzVhJXXFe9efJVvVrt6Cy54hA/Wvd1QuTQ4vTJ53felK8pH1D5QIDad/rc0HmZ8Lgb9Gm
5uZas/lkUsttDZGlXxXmLkISk3FP/Gq5mzjbb8irliPAGWs39bG8c/0Wv+oI9LTsODtV3XiWlnaN
JLmKk/OY6yAtF4mmQzNon4jiYYs1KR6DEX56Lu42rdJ9zMtUesnMCKmWP+HI4cfux0/YCNa5c2h5
C7dWxvxIv7sK7fgAo4dtwcs4V49gfNsd+vTxquawCApvjDzI9hj17pqVUwkjkL+96n/dsTa3yd3R
py8g9PKiZrs7j/OXfjf8AXpp9mI20dKX458s9Iy74kpsEQewIzEeUmla2wXc3i0kuwBTjFu/jKU2
+46t7B3o4+E5Srpi1dp1hJhBg/IVN6O97rNOvfbG3Y0IDHEicanxLiQwfqsGTCM5CKvC1Tmkw8JY
Cyhrq5LZzjf8tHhbNAxIDKP2EMxFFNUhoqe6Ni+WCMmGrfqrQ6MrBjGu4oZ5xizBGE7mnqnjZjIb
hoqxemjU9BpR7yPtBSeWqS8HE7uFDsRH6nvWQgpTFtoaRdnCFWOmnMfWcuwHulWURAKfMsfsVyyR
X0WKKERGbS8Do1t8ahFnvGgwFCBBqPlLdHqr0MnYLCEzlwbEUa+EQWRHHcXIMXR5Oiv4qKBRiwZz
YUGi04CKI0rbTZqU/tj8yIZ4TgoW9ovAD/ZOcwghYJOmbXR+M1WCjmLEYLHweOMwPCDp8KdyyJBg
EkKcEFbOjUQFiJCTcYtwv/VRmAE2Orb4XQxUYtB1dZ053007QnVL7PrszNtEm8XKmpkxpxS7egtv
lEueohYcslwxfTRXChzBrpFJc5CD94tmZC8ml9zjtIf/B7phIh+Te9yZUGJNtd9aUTBAkPCHMT0i
d8MUqyxeOCMekLpkR6NOdChEDUGxDEvYyXaMIEoYaLWBuamqH7rBNW+TAGGfOc13J9oXZ2AvpLvW
jZhueg3cKjAj2Ut2urn4jiM+p7rNTh3LJKplum5wqtBz8EpLc2Lrkds5nkp7hudgVty/tdl+Lr1p
HynxTIo0zWFOh46dqeKlx89Mgxz/kXmhce3r46uyDTNQVaOeCHw+967gWcWscYFyYlaHvmb8TYtk
35pxcrZBA75SoUvG+Je+8xoEEwnOM5dKFcXodzmHoMYazXi1pqLZqNZNjl4jAoPujLGdYFeTaEGJ
vGGjtfFzuKAJ65NqW86MkHXeJnBLiXNKkqR+hXNZrtOq/c4hiVm0FFfgcavYM88C6Fwy968VCZRA
IHDpOn39FMbJT4lU1VENeZB5/eCAt1/ZOaangvl+nCfpwaqJX4/Y0e5ZWQyvjSiKM+RxqkwHqYdc
0EGEcGa/cWa3J/pqjXj5fPnbEq2+KY189CskuMcscbqtymC5IwtiJ5yWacg80RSHvtaRM6eYPtOY
7qW8RzuZEt1tO7uoW8bUwrbicRp6DO5mBLpbEF3jOmMh7WuF8bWMJrTgMZTrGsbGNoJMfJzhYBzx
acWPs+PIj6QyEeE4ca8/DHbRXrowOQBCuiGrq0ufhMkkiMwFsthMxJtb0uHpdvxj4+re6YOXvkdW
MrNs69pfLyus34kf24HogJs+pKywiHb5ssi1/Zxr5h6tFR75IIuzySNJ/xztmeOPZB1Y+h5xUf4E
5+yn/2/uzmQ5biTbtj/0kAa4Aw5gymjZ9xSpCYykJPSNA3B0X38XVPXelagsyfKOrj2rSVkqUxGB
xv34OXuv3Tv+1q01vPHeqZ5qtAd3jSiLp24uUQ1yFk1aG/5rLKpbkojIKJmzEIVMtqhna/LgtYXl
rm+mz7NfPUalW69B3JbcsAxcDTp/HxO8jR2ApY22fFzrSUFs1+xr8dokaddsjCW6pzRI6HxXToRt
MZWxxPdWMMYUldZ31aLob3ZjYQWYACz3NLAmfCxDU11QfuQBVTaiRZdaHH8zR7cX37LEMSTe6aa3
zHAagp+/EDVRxkyXSAkVaUk1LOOhvZBZF6Oihl3x2DCgR7IiWAbS0uBRx6sQoD8FCuLkunkiks17
cJ26bxAWJIz9sPCr8NjXkfWqERHdDUK094jFqjvBtOqeUgQf+lgpzAnU3V2J/TtyJHE7NotWHXrT
NfGey+WgEcMmedEcvGjJH2vXeap1yiNmyvocXaY8S5d2euV60A1akEB9nZc1Dn5OzDfgIqCjC9gn
j/68IpSzWLBCDjFmSqeVN3l1qEkM2WDbHu6E8XY6oO0J/wdObBTeEwh3gqL5SrfRncUx7JSx7MbQ
bNibsHhE1Rp9S9tR7WdpHbtuPhTeFzL2tpYNsAXpQp4ub7bYDxFSmCRJXdIrwmi+TsHvXuAT7DdD
Np66zvAaDNZUnpQsFAwEgN6t5eK5rE14UyKpQ32/QAsKEtI9OA68alze2zmGIM7je+lpcwixd2Vj
yv6Fye+AQ8B7RJM4bikj5KVdsByDyon3FfO7QMhl59h+dztkjnpseZ0w/veTvs98yYk/c8ObBMnZ
a9oSYJwatpmoEHpnFmSK2F1wqXE65RGk+otRJex7FLVfld+9zYW/PEIlg6iBPe/Q2Mb94pFdsKP2
6thB2xIeN0Vapx2yTpbi3stzfw/Ur922E4AQNKcHP3He/Mx+Quxsti2h2Fc1syoshlhxiNyeXgoo
4PasEXemXzyruoiDGumVzyoZkqOwCNd+SrnHzCVnEZ+zCVVfh2ymSlk4fy2iiQ92lI4o2oss/qK7
/BU9QnstSmeX0fqDfZhXd0AOiRBwRXLjwKd/0e0wnFfWUD/SbpLXo+k7nFZzBXeTo2YzTnjhij57
H6ow2g00M3FwSvk4xgVDIlnp4BtMdfr1wtPgTxvK2Rrlt+ciBMQ5mKvheo6R3gASqZCNcFBk11PH
ks7GLrOS4iauW2RCtWiPU9cHmOqz+NomhrncQY5qdr6g2eDEEZBkdtjTSqS3Zpn9Twi2w6tx0bRQ
PfJ3sTQ69aOP0Ij2fNlhRfIS2lks4ynzAxezR2YD6MQXa2WfibwG3gJI2onuw+IiDWgvncQTs7EY
2fLBZMGAi1oG0WkGnORb7nbdEeTJuZ/K/qyNU3leNLFGkZLOxzyZISpxqD1lgC9QhTvlZqAQpsMk
6hDuJLAZmpxoK0/AqaQ742PoI6o9ZJJbeNEFKBMGUIudxSH85MjBrTf1dDoWl7GPP/g5b6lrUZyJ
mSnH9+c8Bd37uSUWddd4/QH9Tf089mAmoeqmY7nlwUd5bzPjoopykIFYibMVXRWdl7xotAHy1rU5
eSRy107MnXZiHMPyRPuh9RC2FlZay/dxkjFkY54KXYOZoO7HlTcJSrJZzKexRReiQZOC+1PtTD53
auyHKs7pcAmodCMTCMCyjG9s8MvkCD6hAGS4kgCpIkjYf5hVTCLbmt59hzII3UEQ+fuYfsPWnl26
vKQegn4knnozALfYoCpf9Sp1Pj8Uo99tFD6Xa9b/eJ/FFHJd39q7pSjT68jS6V7GXvsqsokX2sry
+hvDpuU1r2nh9bFC0FDrB+zBLXPWEEzEUlFouD3VnMB/gRQcC7uVHL1lVvQZ2ZNk3pZXLmbBs6xq
igfBMYCFiUMdG4i7KZns47KM3c9cHXOqE2Ldk6FQGyKMxn3T+N4FY9mXRgL3KwIQLpvQpN7Rc4bl
1JQRS16FgOYaxbc4TokBydXEIf16oEk1Xsozh835TPdqORRWSQeora1z2lUxsgq17E0X2OcRO9+u
jFp5CmZHHzMcersk06QFNL4pnzvGQqdZgw0ROS8IVuXMTPHL+cg/YkO1Ww4tBya3zicFsSZHBZbd
2Tp8K3l+T8RcQe3CXtSjk9pZvS42SnBOLmPNsWgVXbOsu/N1EuA2T2pyUlVuWeeD2jYdbV95N7bu
WdBl3q5XuMldl3nrFznFpyLrDtivw9O0TKlxHcTi9nhXc+JDUziGZyG+i5MpctNTng8G3hi3nvmi
LxEwfyjG9SdrTPHfYOB6Vbn7FaHN+VDRWFuQ5zrlsofWejnpCVxwBLe985Nv0uONsOxGbVwjODCE
g7djpP9pChr/YnLNU9hZhNMbqHCIwS/bAkg5x/titXlWrEBFcFzmKYgAwSbeJSNXH+UjMsrcmx77
GQ0lIfLM+G2Lh3iC7T1TXU4V0RAWVW+3ZPLChVwEHL0616LYyDbfTyAK7mFSWnsLS8JBO97LAEr+
mYUwP45p/tlVlYw3tdUE/OjUsZ7QQYCtFjWDvi5AKS/wE/ZR/jAOnBBZ2tI1za/nrMCBHmhoU93V
EcwUhCkRXF+8c8UhDu0sww41+JvYRoblRArdME7f3RJO92m2vM8BNOAEuASahIz09qGJ6K0yB8+1
/yTTilRbrMDZqRtm5i0bHJtZSc9UkFdnJ5tpH4cZXUIxWVe+P4R3Auxbummj4BJb9Elg+ksCEopr
j67NudSp2uvZqL3qXUSjLbR7BPzAgzgdyW7GJYygGSwFvkW89DqklR0oip+KELei202WOJeoHLa5
ois5B/oRi/N9a9XtRmgP1ozTvTD0HY8cKnlePW6HDvFL6AH7vHbjgF/IhjTGVxF8kbOBPug1LOXP
gJ0R/MjBP6IOsUC30kA3ZUflnF4Jq41PJ87LfsPfgdfkQFBvcuLMbQPTAAsY7vhDqpxt480UPFgx
KUD4dMbjr2mP68KexefM08EO/gxkC4nhazDRJqSvtOPuIZy3oOgGQ9nTEUVYiUn9FsvAvXY0zkeW
JMubQ5BPHoswdtG9E7sX7LeEmOL6EW+WGLEE2d68B8Gcvk3x2n7vorNiAKWLj7SnXNf4oQ5jy2Zc
5849e0V3bQrTYDGraVMAaI/NSH5MJJZTH/+9UGQheW60H1qGD1W4m3uY/WM4HzHd4Pod1Unr4CUg
7a06Tej3bXTvDbgECu+2VW6KHTYCMoTLaauy7tMYeua6y4E1V2nwHLqsKtgxD3m0jlPz6DKnHj82
UdFu5iXGe1F2j2OZ7WWbXdRl+6UhxGlnk1h1EvO7Dug7FvrE+hkya4v93n/oI4BLXlFTx45hf6jc
YCCppRcoNlH4ubpbgRJtDpZq3kYueowCtwDWO4WNEwryzpTiNmxTYiw8y3nj+PamfFR7YkRf0BTE
z4lu2eZACZBMevj2CG0pc5wo5EtUG/AXSD60t3pSQo2pFt7AEDNYUvyfOrHTc1HG13nDMAZwLEza
kuYfnOxtRlLQZVOU0RYe3+MUySubjNFj0BrUv5oWTzi0HOkVkLbVzfmOkR14cMt49DWWKRrgpLpv
xPTaS4U5vgzbk7wivSKOcUmlDU5JJ6OL0fbtqVZELjQV457Ose6E0mexhrkVgXzeYFo5xuAQDnbO
ZCWDktHOkz6qGvFO7NkvJOypa7cMLldtb4h0Kusd6Op2fj5W1SfTOtnRUna6V167ImFKHhuzG1lR
rgQZEfb6nFRHOfGUJ2UUHuY+uKXwQJZpQiSM0mxKx5+2vOln0wy1Zqg5YBpeUNxP5ltCUfY1mJN3
uQpYhnyG1h4HLWJI5tu1HczXmtAGHfByUk8BLzaVtU3C/g4H5EYtBiZp5PV3ZY+YLC2epcj06SLw
rJRJwNzHubCt5lZV6tBKS30LIurkNDqgI39pAcRTY3LAWEpMBQsNC5ikaXuwlLv67eLPYchwB7TV
RoriohmSd59N8cRIrhtTeufZgemhB6xGCk7+4gzDbT1B1Oi7vUtECAp8z2z6SdIzgAoKzXsb+1X1
QBZEcoDZdt7FXcDGMY/7ZZavKE3OAJFfONFnf+C5klP6tSgBilnrE+gONCv7ZudgYAGW41X9uWeU
v20DmZ8vibqdBm5XiKsk6hJKp7I8QB1ZIL3AWenzLObIiUI2QqFYPqQqPHXyQrAMce5jlgMCZSKr
IzsR4SwfVQJ8DBnWBRQTl/QLT+6tRLUXxtQWeufPth6eLTCu5BaSdNTqL76uhn3TEV9jOAvuGKuB
MhgbsCbuWL2xz2JEQuI2gg89gml8IcwO0WU/VdtWf21dsXPUdEUTGs9b8W666Vlk3neYe3yiygS5
AK5BclaS5cLRwnsAChdfWS7qpNxFvp691mKQYHOI8l3MUTfxO3DsZTdrG8Dz3E1bQ5zWnv43ZQuy
Mn+4cFL7fDRsJlM3b+Yc3sfSqKuyVCjY512YoDwhsgY9ySiWvfCU/ZIyawgm4e0MxqcjDvbNZBGd
tOt4/vV04woEtE57EPm3eXkyYBxRtqfsjUteEN4l86+zt0rcCwpI1Fs3ChnSFkl6d4LqfKCFlXzq
sgJ98DrwC5YLn9X8AczkgnvFKr4kRsCdrKR95sP5u6WdiSHN6usTyC8FLXyrOqMcjS5G3qzUqqC1
RFe9pRgiCp1eItvEONJNj2NEhe4l50kMdcAzlrUNJosoTSd6Fi7cvXUeWy9kCrp5VlyqEM64Rc4E
ISh80TqpHtpwYqVqlHk21jMZg3sxo7Es/JUSglZXlVG2nV2nvXdLmmkjAqfYWU5z3kS4rdm7stJd
lMfndis2xgxfqqi+InU22nM8+hIyhxG1Jum9sBmAxviHY67Yku1KNGQyhKxQQBnPCEDCJrCcqQVC
BWkIco/Y4WCmyDlPJs8AY2ncTzOFElK1ceAJLMdNl3Sg6hZ7QQ1TB8cp6kigsvuCQrvpbsWQWacp
EwOMkkVF91b1bN2B+xXiIkCVduNM0zvZb8zQsae/5LzsHECyzTLez7F3VCkPIQrI4mBSxs0ZQAZ2
XC/mAOu/NLi92Y72vlEGqhZq14VJ0R5i5G5Ahoq6BMkaHRXa4oL6l+fd3Bhf7ucwu28NMvu2isvP
XZ8iSrTofY13psfDRLghu3LbkTbGHZ+pm9sW1ytBLhhRBsYWVdDS7k/9d8Jj1UZRSsx2Z6Eh0h5R
R+xUNMHac7TUu3jEdK5qGggAHVGPaPdc05glsYjIdKAv/qJsdkashwy1K3iDahFgmlHV187a/msu
p6Vtz9HzLfRNRhYVkm3QUsbdJQ3SbzUQ/I0V4ZXFoD37u6Vzuut+sBU6Ess6mV22ScmJ64iFC5v4
vDz4xpLH3sLMaFlOCmjYoe5xnWDcTsmI1AFP4SXESbhTJgt5rysvYWXNomKjncx/9Cf26dGE4aam
nDod/Ezh69AqSbYl8tPLyCHUgXDMId7Zug+I9eLo7OgccQrpwTcZvfc3y9Y11V3QIUzF2oFrZaTH
v9T2q1sbBGMKhHWVAhaQyScM4WJLvLs8DJM2+wHn4KmYwmgTTXzE7Az3PfsyQotU74YKp9yJHwxo
ifPM/mQVnf0lobbBLwV+92utE5IkDB2xwBjoS1zId5zz9gVAZfsVPoo6YNgbn2t/mp5yes+bopb1
vs+b4ixRNPc1smjaoal8EYQcXtIS8g5ZS6FpWAjRbKaP5dJHF1MeVrdJJ9TbYHfoA0LOCVsysWHH
GJk89RmMEwyzw3JV6TK/LPo+3yPG1hsEk+nlPJrm2fiYWEarjPZ0pzqq2oI4nC4Sl9WE97tcqtdY
tzduyvwgsekldZ62ThMAMVc8EGaPqS9tuGF2fU/Zh1UW4dALfkd4VSghxqcpzLIzU7oOfabIvZ4b
Q8BOjhDjLKwX99zLneV+Qpp7oQq8IETU9TNbrYivkWVjfYYyeeiLIEAT1AafRndqvwzoCMEFBPW+
jtS8G1sbdcaCP8rBCIzBcNmWcencuXlQnwrRdM+V8OaLcDV51LBLvrRoOjN6QFUMOyfuWzAapKF+
GX0a2cRfyW2zdI89cZ8sN8CcvhhMQWg3nOhAq1Se10DMu9x69ac+4mSkCGQobXOLez3eBsvETK4C
TwPrKduoLkQwEuF3mVcfM+aq9eXR8BwI1dl0+GoBTt1pEZEzM4xHG5PnuRMbH1m0R3pe6xfvDRcA
ox6jV1oM/YSosAbpS/sSjdFk7/6Py4vcArapN0s2+PCgwuo8WjqPvuYS72QcE35mxVivW7f9V5b2
P0Je/v8px/DhQP5nNQY9q7r6WY6x/gf/L0hAOLYtkGR40vYB7fxfNYZw/vJ9gJchfxx63Mr/DhLw
wr9UsKYFBD7Bnfw3/x1H6vl/eXTc+SMhwjCAlvmP5BgfxBi27QtJBnLoeYLJo/89kPMH4CVdaNG3
KRnXlbHFqqF+xpfWHSxn8S76ZQ7PsIBV56GE/BQ4sN8lUHLOYn5Bjy9ZYJx4dQQepEK1+MMlvPk1
5vdDMPv6xQIWMb7YqmIhsPVnEqcfEVGKlN3ekqWjgZEYIpvwLPBF8zZiKQyKf4mJfsrP/jGZ9dcr
IflQRxEc4HigP1c06A9XwrXHNiX2EjMd6oCN3QbtGQeL/un3P+tDboNN61CQAgsQO/CFH7rc2J8+
xRA9hR8SZJU09sUULZBUIGHbdLukeER1GD/GRoubZkaU9vuPdkCo/ii84bNRBSnX8ySjB37ph18Y
BVIP7C+sAovKP6NjLs4QT0Jkcr2VF1HI6lDSftmHWAZohAUV0wPq00Pp2opY905dM1sPXv7wrdZP
/UEO9P1b0Zcmo4ZQXkKd12/9w3Wn8IpD6KEQ1yd88h635ohtoAOlY8EkRXqb3GUT2HNtunNcpzmO
Mic5KjXYn3IMjlvPCW8turPJtpV+2f7hqXDWG/LL1+OkSuI0Mijx/c9/+HrB4gdL3FbRdopxnfU5
9ks7Y+Y/1WbCf0En1i3XeASVkrvhOFm/CVEIHiLy586bLu7/kEX98bXgHjI6Yc3gXUXA9f0e//B1
1KKmmZI32XkZYnkmJqXBL5QEO7+xrefEC+c/xG3/3VPj+Q6LUOCHQvEs/Hx/hK8xcyTgbHF+Ytib
GJwg2m/t+7ZlmE6KZYK1ahy/aW4BAUNYAOlh57taIAi0SLR4tEeoX79/aH7OAPfXZ4ZHWahAeKwM
8jvG94erMHXUHKJgKBX5yr9t+4izii0GEOQR5p90gEPbluEfLv3HBUI66Kp8QYa04P1hwfxwIUwj
AWGk2a4mbPwQgGIDSAPb6fc/7W8+xV3XPccLCGL3vfUB+OGnVcpqwxRbEaKijguq+oyZNEnwd7//
mF+uoCM8Vlji3oH2oQVc//zHj0lZJqhIFL3YubisRYLYSYGNQNXcA9oxpCRgzlH/qhD+4xqr1qT0
n94mPpb9jp/mOlJK98Ov690q9LSduluO8RaS6cSzvrnOlFR7sjqTPWZGyqJZFgRWjVY70/PAUt5t
Wk4fI3oJq623+FFDnERh29/n1kpfqeXob4KZM8Gm8wS+lNadmzv4U+hNffhEd1nmxRc8SvIaQbBz
qz0J4KTpfSxfeo66i3iRVJqZQbkEPMyOLpMgqqeDYTk4dHYmalrj0oOzM+A77LHh76GLDROwC8Go
Mg47s7JZnf4paSa8BlY5VmuYZr2G0jNlmPyQKI3cTSSttzSnySOMX9wTDg/vOHA0Yo+Kuns4LcSg
Kto9VXxssC4HB+nMaN2wMBafe89bol1I+DYFNKNHPJ6WNTD/SZx0G9m9hFJkjT795IwindKQmSj4
h64Jo3uygmA1uxkgepJ7u+0/f5JYjqTDIuk7LE4/P0lFly00CwUxCwKwYJ0W0QFypNopDYcX9fxw
lRSk1P7+Q3/ZNNbniNEzOUj8XYH8sGlgzY2NjJlfl7JVO7qC4U5XDZwYq1L/dK1h7bNZ+viF/A/Y
7M+/j8i/nNIJeTgtqPScwYG9jwgz3TSyYVpmuzNIVOi1v/99f/N60oaTyhas9SqwP17UOB6iCZXD
liNtf5nP03WUIMch+7OF00Z9otYx6u8/82+uqULnSyFIJeiEaxbWj0tC7crEirG4bwlXcPchNxyb
Q1DtJUTd4+8/6pddDC2xkJQgalUWUwj9/FFd5pbofGtvlS3QUPTC9tSumLdndgiaqCynP3zeWmR/
XHeQfgZqVTJTV3sfnpfCB0xi8sTfkqlHgVMG4bdgGYu3NFnSB5OX4tkNKjMe7Lp1OC62ermzI1gs
NNY9Ug+XBmmHgrlXb3m/bBjDTpNs3aqbT7uK7u0fXqm/uRMBa2NIkai4SmLdI35YnKMubOAX1VjS
GN/QnGV0rxvsR4pW3//go6hHA4j8ZJzZ8sPTPQwDusIqxh3FSftkDKC2ZZYVMGRx/nQT/u4e+OQw
cQryFWv/h4p+TvCWZAOp992ClILc7lUoLW2CY7sUg2tPQKh05fCHW/8315KTPDrz0HYVRrwP15II
m3SCEelvDWYnKDk07FuB0cHEkzj806eaE4T03YBsA0cGwbr5/XDbEprfxdwxTq9k4DIhinogUgT8
uFkBryWHLvj7z1u/+s+bKbw613eBqntsp/aHhzpKJKQxRcuqVtrbd9bcX4TssH94Qn59V/mbpXL5
JFZ39T2J7odfhbfDakKXBkKqcAvTtzMHWSKHBryNmzDXwR8+j7/y19/FyqBY/rhfgmr35+tY5GHI
OYwM1l4NFu3wdKoAQDjuQBx1P4GqAdZGQlMHfxrmn0bdZ0ZEFydR58xAvoMmuwNoEba7LlAAECbF
YKROB6xIMy4+phUF8wHC0igj7HIhRizOhieqdrh7MACKd5Id5gNSpPFbR6TVdWz6Quy1b9i5C5nA
B69H9taTLvDieEcoXXo1LWX7ecpsyhbLd8ubumlDBJJeV7wgFsOW79pIvlE1tWRY1+AY4X8A7Qet
Isa3qKb8ItSn9nuO1Jk+55Bmv+McmKYNtx5DqTH6Meduf8uTLrqK6EHCjBkWekdB2+MLTLVVETWh
wcDwMjlo+zx7qt+82u2js9AvyNwhsHa+8awUcrCLSjcCyJXOKJ/LpL1yLSisJxn2LjLKcrQ5cFtS
/xz8Vp2fhFM8fRW99jnvx6p8VU2P2n4yjXjgsDB8Qvo608kqEPdfmAK1COSHeXqDLY05rCN4CfWj
WnJGOmPVf0oGv2r2/SI5x001utV9nmrCcpxkJmYhnXxmKcMke3nCl2JBmtqifF/mzrpr8Btm21pH
fBHaXVxCA43H3UdFzD+hJPTey5YcciWGkd+Vp7HZt+kY3xUoI5n167G5bpXVPFG69T1ephSDOCQ7
ZFNQ/QTKtHIlro05NBioP0iSNjFySK7L0oF4GZj2wQGUle1fFPi0zKlRQf9YEDtF4hDRSBhcETqc
9aLCeAC1O7wDLaLDg4aacG47BXSu0nEJHGvCsOOyph25iimGNlx2oP02VJ+Q9OelJG5jji2yA7m3
/It+46QM2iNprkxQE2UAQtt/yCCEN0BayCq/HIOyPrU8og1ELcL8kNUygr850grNURYx/6gqvRmk
Hd/CbhMPfBBwsKlr66dxqpY7nusUskXSDF913YbmAE6Qb8vg21mTvYC2KMbrxe73i9evJwEKCNw/
QUD3IHA/LpYAaZ3CccDjaZzIB716HdiCxaVR1ggRjDgjaY/jFtwF49bCPf39p/96qqWYw8UXOHTm
Qo62H0xIlXA03l9GeU3FFHZVIeltWwjgRzPxdWXvNZBlmpgCxaq2TddiNHFr/1pww7eBZ8aLxrH+
ndP6H09Hv25VvM6KYy1VCpWY92GrYjAS0HYHNasDThd0+fMbK9Ahc9qwuP3D7/+bvYOya/3xoeOj
ZP/wWYispXH9HsCfUOPpVKMNmLO6uvBd5Z7PagKsTKI28kTCqJwW9SIHkHozB37E6xwluONnFqoA
HuLvv9ivRYLr0Qxdj7/Eryrx4ZCdFmrsMI36OBbq/sJGEoJ2TzXWHpNQfxLlqoLRM4x/eBh/7fI4
LvsNH8qaJQLajT9vOUvW2KmXjIxioyG+alIWfNqADYCrVZkZKbNfJHsLwn7/xk97/7RAn4CIx067
z1azlM+/vwrSW5+/n/Z2GsZ+QC/Slg494I/nc6edJksOMqaCGMyZiy3A2+eKY+GJlmCNcSdByziQ
M2muCIDlOCIaHh9AKbY8i3mGvwyEPrBYLJV/OuWOzTNd4ITFzuwxFNMt9SXE27xdXbwjax164eks
boIQqbOjAWI0sfSesDjb6InyUbD/asyiJc6ko8iSuIGMVxc1gzqHbRTpUUci+OypT8x4UNHb8wxp
18uFjHiZTHpVEHKOiFY4DHvKgPH4hraZem+qiUWmL/U4nUpVYA33vXZ8DJBO4m5z+xUd447xqcN9
eJaNLPoNoaZ1h7ygDNBqePjE3oEmuMWuJCAnOCsAE7CvpVbggML3gYvULoYYnzgD2XSPahkXTO2L
1NeGdVduIqSOQFqz2V62KenOD51PK2GH6LB0joy5LUK6PfuyrFtV3QysKf3JNPnS2SAOKp60WZWU
kxswk5oqGl5J03XVVhM+CZEq7aGpTgRmAvY2ur+Z6t77ktUBoG72xaL8SkiZ3T+kTLnl4xImHjjG
meTPk3huM3sniVk1Z2zc3SmxIfpq6ho1XGg/C12ygrAfkFcOm/00G3vdHuakz9O9j3bGuRU5iUxW
4srvpiAbKHIatMwPTaObTY3l/DoddEg6K3GfD3Y8ecBoEgYO3M2YWeNsWuLa6rRx9FbYEa6BVtrd
O0ax8ZaNOn73eYhSBBCp90bRi3QyDJG4n9Su1Tx7js9GCTCze+E8aWheZW2UITdNdUTA+AjdV4HP
oVdX5nQKYFFkJ4wSyd0cddI/dJ1al/5pLiCG1UG3G6vSf6j1iK6kawv4LWlaZ5valwZtXhflkASt
ydj7peIxhdyRNxL7J2C4bE4DoMVeRmQGkO8EfzX6nSeqhs5GaxwiJ6zbFEcGOFHf2bdFWj72srbK
HXGJCAY6QCxfxzmswSy5jRlhKTgCc5zK8TiRNQpISZPCe5EtQPlP7BToy0VYrZ/jE1p7rCBpmBPU
7gIohdspPId9iqF1GQdDxkgP53PqIvsRDBIPIHMQ602NGS5rDDod6h9GdvkR8n6Ch2gaGfaFQbxL
YfNgRnMK+bxUs3rBJI7gsTeIwTYiZ5iwnbuWsrCfoHGtp1ZLb+YZjwKPVDV9Hi0aiVs5FdPzYi1C
b+KQJ+1kTQI96HZaK5s4eLZqi8RglO6Y6W30foZitbMfTQcBeZPyUJ3Bw8++en5n3cadPdCkL9Lh
DVkl2R6jX9gvuUadPkDyT9eq0rote4nNIaVNc8+rTqzqqIbiBbabeh5EaB48J8u/jag8CTJpMvKH
iPQkysbtlkcRNvFb0ePLOzG2MSWSw96dyL1ISCvhPcN5QLRCDaYV9h71M9K5GYWHh+QxUBOJtWgZ
QWSP/lSE0FtDkkXxb+VbELl4o6QpnGvCcVeFQaprUBaU/Z/R6+XM33M9nwXDiLXVkFAgTi2L6IOd
6SsyHxCSBu/dxDybTKA+n859OEDDfuFkeQPkZHyeykq5+LEqctZM7J11WqPsIWsKKILGkHTpDBHU
Oif3nXmjizGA1jZ2wgWQjUOXucwsoW5xrEg2Yz2K6jQuJjslo9UnzzofyvSqBP0KjYCsHlp/QRHA
PFQxSTM40KLbpqnrJydJbHRwoZsuEBSH7ou0LNazIM6saxgE+UpyAKe36bmwZqNbrNMn1pTbT2Nv
ETEjeSvbQ7jQ4Nykwk2esLhC6AqXFh9OPTXzoU6JVgTHljO+wvyS59eI8yu1DcJ+mg9oHIjLmVG/
HcfaWJ+408Bqa0FgHpdgpMz2yFodiJZw0hxJhhM+G84IJ42Os3yXBRmtgaLEBb4Lc6Meh6hizyJR
o/iSOgsBCdLy8089gZa3JIEw/kF1W11o0knwIEQLcN/OuKBcexcv5dZ2e6vdjRLTLQbKenqLFRFm
J4K6mbQovby1iRUNx6Su2EV78tQBSYjOoDXXNTMmaHr2SV9byFwi5gyj3yJ8CPq1OjO1cZ7LFvvR
MamQu2xtUQ4RVPF0REgA3ZsOcCnQfHwvEf7RsP0yfW/JWfnW/5Z78NuR/P9G9sHavfvP0/b75jX9
mZWw/vv/Gra7f9GgdYJw7WT5DmNy6rh/oQ8sJ/jLgW5AQ9ZjQMAgj4rr3wGTrmQQT8uTLq/vOPSy
+aN/ww+E/xerHwcUBjGMf+h//KNp+8+HHk8xjXKlZzPYcRm9sK3/XGaOxD3HjNKAqpCSgS8stkaQ
VvSskZE3pQKVnJOPHI4zMEsfcYmheTEsZhvnM9HzrPNoT7OJRjTrF03THUUEVHpTsr3vqF/BotZz
GzXb2vbLZhsSuhX8YW7k8Nt/Kk35EXThHJ+2rSOATBDi+fOPaJCbpXkxfDPMAoZbPhRgWReOxEhM
fdix/ZULFBo1Y35wLLlcrCftAwHF7tcoFEX8ElXEWx9UW6IfroNlzj/Fvl6cLVScMiE3fsk3ziCl
eTUhKdknrXaIMmrlDIYGN1w7bbBi4UHgWIyFs7EQRkMmlfUN/AhHHqYyVcPOTK7XHZYhKih+FvwT
LMWaU2+1lCyXYWH53g712LBNywWadeo0+sYS1ECAJqzZ2do6a9Er2dnEDDxDJrnVUWM9JmrGTBWX
aUS6SOBV36CHJpKKBm3yVeqk+iUQhAKcs/yFhyhpJ+xPIxs6MfFFTf5HlIGCpJ9LuFja+YI1v7bw
IPCXXERtjFy2qMb5brSJsKEGauYXbD02CIJuMNb9Qp2b7zNvIG6E/Mlx3hV5lj6kjmp2uAHT8ZBU
hHOd1LgbGYZbeQXBFTPl9Jn/GsaXaaZhfEjCGpZRiKqC/kjkYfawk9q+y0oMLZcDLux5L/uVDflf
zJ3ZcttItkW/CB0YMjG8kgRIippty5ZeEHbZwjzP+Pq7IHfcNim2GL5P96mrq8IGASRyOGfvtXsg
OUuyjF89g7Bm56P02NLovvf1zyoLfesTxHEDqp6UcNnsjsTtdTyMw7NE7pR6IYcQsgTGIJzv6aRV
iWdXCjs0+RZrNEfIxNai1cIrOfQtosPcsm4D1aiMRwv6KD0tOB7hpgX39Vx0nID3CUbth4GjEp7B
IGyvSkTQgSuWphyaygnVFmFGY3VLCEyJ6G5oxMRS51CsMmSvVvvURBZPUSGbkdpWkbHKMKN+6xp6
sZu+Fz50UBIvYQ5ZPgwJURJ3QU5z3uyVgOSJFeXDrHoeoixG+IgrelVAPdV+FrIe762Wut266982
TnouvmsVeI4rWo4DIrqmzex1i3V/cpumi6kz8E0Rx4jJLfxCq3z4QRuxY/usq9iVmxQx64YO8BIF
5PsdIRq1xl8WjBp/mYiKBkBCPeV891VEjYwsSW6Mp9sTp4wWrWICqcRga15OGfWeKC/445U19Mqn
VLT24sfW+NhazZ77FSAm/tJu0gAuLUfO+1FXEzJXf3+KbVv3bFlxTPBXlBK6z8tY+FLsQnyHcYxu
2CBLFOACZ5afIiHoaVi1TrcIj5UEhSmoThk6ztMYFuYoqB+PXBg9YvlMlkKr36WEZfgc7Jfhym7U
l986reOfMyVhavg96OohzBzEwr3a41YkNe46TAbMlhwWoQLHjf3dAj4rNyKiF7ypCfz6prO+m/tc
DOwkA4Cc61LGzQPPhCUb8J54VjBhXcvUau9MuBYV4SSh+DEqg0Bz4hc/4yTl0IvdADU1sy4uWsjX
TcGnnJctelRb73dBlr8GHdq+OYdO4ZlKltxaqW7Fa8FmKPQgKaC97f0W/wn0ysEFWqB+HXtyMQgL
x3U0x9PzWNrWLbXenLQgO1mWg6B4GVLVOaREgRhLPFoIRj4hzrbL/WxTF0XKJqx09pUcYJ920AxW
kO/je2Nolxy+GCRoQPcdM95khV+Iu/hkhyMksSLEs7LGJtW2D7Y+dN3G4W/ABxRYMfQD2VgTl+gi
DTwgXWVi4hxKXwAH4QU7ARj8SVbVptQggCL9UMgpmHp5T226wDVC1ohlKN3nbnHQIG6UV5NF3o5d
22iny3YgEBJ7yeMEb2vkGeL7mPOuugZcRZKiZPvrpO2XxGrjW85Kr8Qs1V8JJC+kS5sISitCuVzZ
91AlvqKh/NTNGLraqquvuft00yOnfR4dNPxRH/l7dKR0ZtOuALDH0O3b0mg2FmXWq1nwQeMJwRsL
cYTze+mUxhq/PV8uwOgKzngSLnE7afjaoVb9xIyN5Kz0CY8k163BY4MDln9Bkf1uwPKScGCtak8G
TQZCVpgzBjbWBH0dA/O+nh0BOMEOm+4fe4FhwO2LSgWrTO9/L4Dz7pDV6S9dVhdYKRSr+hFFOHFc
31enT9WAOZsDZaWsUkpl8CemtrXXjoh1F/WneTunabJXmwxDqG5019nAcSVvBLRMYVc7Mgjnl6X8
w2ZZ7zISakqO6IEaFz9YGkHkk9QQ7eIibncZjYpNAHcoXZGgLPQrjnfor9h1g2HrO94Y7pGk/6kU
o/hlhv2rr8Lfw0webFp2U18m0BrPtprAGLbHAbZbU/5o8wHjHqdvMmJVHwxNYPXahiqG5FKJYx3I
foidg5r21aMAS7mxNXsklQ7D2S/KIc2rHTfVPTM81mKbb+9WGiZJslpLek3I2bkeNAUwpz9b110u
5nIp2+LQ9HX7odQhkmT1VD3Eihk9MmFmbhMF89dEG+ShtUNtKSP6N6T7zP806qx97dhxeXrTtA8o
Ah28yy2EIHWC62+WQf/cEhDM/AEutrnN9HD+jMndiAFz28t2rKnxFCYoQ5zngk0lp8JUgfAZJ4D3
V1qEghCHWj/dhMiSn5Nk5mPXZ4pos4Ha3lXwR9RrJ+jSV5sUKgE0oWye7BqrBYehxE7XUTSTz6T7
QJjDiKwtSKqk5uqtYDGOBwbRKsdyankDCLnRYzVIvhJ10Juo1AiJEjLvrU2pOum2aRsQqpXVY0IE
W9yqD0tpZYdNWP7K4qC4gjbejJDgjJF6jWam8zakKgnBAhxnhuqEWjGxELwD+0vvaFOzolm+SEzI
7mWaC2Jpf9MrfvR6VGWMgECOptj5nLThaDYEAFDFYRjDUlnWGS0vnU3Bae6XbhF87uE3i/xNkIK0
RdepV4vkvvWG0Q/mNU2JxQExlczdmmItHbsOdTXbEqe7LmXRQcj2a+TfTaWbyuNgRZQdsSlAKbRZ
NxtSfmkzkK0ntJfOALtxj3MNoO0kBAiPiK0Qa4CKKzIf+ip067kvu3uoXyN2OH+EXFz6k95eBbJz
yE1iOk9A6DrNt4hwwAdWZLu/EtHAQZJmbAnoHncF8zAu7Z8dCPMUPQHKkm2CY7nwLPpa5AHQOt4Z
8ZAF27hv1QUhapXrfgbqs6LuZCqrxlDZtQo/NrWHtBIpTGCn7++hMRBqnIRaiTIpcQ5Z2Tm2q7PB
azZdPqi7aTl3MJlE5mHySwlEMhnjHdLK+FHvRtZVUQr5yubo1sxiDSJCo1fWlWY0C3XQnOlgOaVD
0ZQJX8kwOWN4G2gTHLLGxnQOZLhDph40iTgU2cj4VwA/0MhS0M2uQvYZzyQIkyMgZkBqCWuoXPdj
8UDYDtkGaqdizTBKlU3H2OMo3PgKWzE0noCH0DJNfOwpRzeX8wyb9ZltwHf8Me2nNJ5ZluemTm6g
iZu/As1qvEmhjwbxcwS9BZnzNgFA9uJoAS5KADr8eb/qTA1WeYnzLGp7YIjJlHdwXUAH6hTJaWWv
wgahyA6Ib9evhj4yluSRIU+8TJ2rhekBmXfV4UG9ViFkVwt3StGuOPi0yGKMLnpy+riRVNBy+9uQ
EbMdSTEtpNzIfqoMlSruTIeP3ZHplGQEhMaVjhW2JLsMSMaaajI/MzQK/Yl2dU7hEPzWajJazHQk
i1rXZr+c7wK4JV+MNimeRVr226R14heiSdjMU9cef+qtVj3YFagF7jj0xb5TTMACutEMezVVyTSV
Xae++E1AlsTwdggIMVXo11OSPMUBzAwgdlA5vH4eME+19kDxVCgihNVMsZeymea/GnKIDmqkjnvW
f3uP8AGZQYMFGIsQLuQNNj7qjh22UKJFHFybIUi4+WtIStJTp02dwAPYzZ/gEVuNGzoZPA7atz/p
DJBHWo2jfT/YjDDAbEJbq8tkIaHh6OtC9M2OvJ36E9tvwLZ8/oBJieQr/eVACM09XvHgkxu6OQWJ
kpR3SsvC2FCGP4lALVfqDAiUj27Q1oBg+1VSq9R2JO65XRj5iafYZfgA7zvGqJiJ1w5s12PmRPWL
AzXqUzD5NPdZXze6pcBUlvlsx0SY5dY9RIvhFxh+8q5KjizkYgc5dfUQhMImx05YUUydrGci0oyF
7Amzirob5aJBM/n/hV1NhDk50LrDovXshIzolZPCEkvHHuQE+LJ+1+siv4LQO25ZLAno4Expp5ZF
z4aIViLz1PFeZeexjZ36awQA5Ium6OZBrwWTBXrZ3YyEit3bdCeUSv8mywGZN02W8ICyejZcNif1
1pz0/F4nt6teMdqTYHGudnsq740XYm76MpKcu7UCNvCVaniEUPd3TatjzvIbwyFIwPpZLKmOMPBD
gkhmZ84Odh7FmPBnvhEEekm8diLdvoqKUd+z+vwKhyAAjlX1uynUDNdmUs030B3NazWmogZ2FRX1
ugVyra2BfISPzJLpTbYUeQdyHJkiSkYna72Tg/rAk+ANUCK/FZETrLsmiDdGqbG1Rca7JoIP0VTc
1/eo2XI3NIb+ZpjTX7LlT/VTq+xr00gPIKb0Xe+b64gFjQRKTcl+2TGRe0DHqjsnJTKGHV5Bdk1c
Z73chglR6qJomofc95MtzXnlqlaCIHUbx2dn2VmhteIUospVDcovAIw/Gx40EPbXfgNsPraL+Ept
/f4ByMv3OSjHK7YX7S6ZsOGmnYUiFPHQnU4Y6hN16L5yR1o3rM0s9F9p1CFMkT6yAE1v23VtO9Hg
GSkSbJ3xuffLOjJ2Yz44P0iPLh7zRm15+cYSaVOHKYi9IfUVGJWV6ritHvevaV1xcNHY1TBPOgna
2TIidE0xpx/WINK7piTC40qasr9vLIWPKNRnpnsFaP1PdQyXfEpiFdnMtsbXGvYmjshOy7eJZSEB
SXJbW8XsOvh6J/JxVhk4lh3DmNQPqxbBwnuLuk/CzpQ9m3F8l0gBsGSXQTGwIqqIdI08FC513N6r
fP1ZUEQ/5DHOaXoxrSfx7pkeGbAv6ojbWUdbsgaIMh5CXwH6wPljlSBectmjsLbivUcclGj+HhoX
ZwOtzaddTSvvy9haEekciols3Wz5zSPazK+lTXQDzjNnpBzlJPcBLJqXpbmZcjpvis/T6H+uEfjf
LWTgej/UWP48KxFd/LnOF6AgDH+1XXdmPNxHolf8u0mSLNnXvfOUq2ntIk4athPy0tkbgwEUHduB
aVONcfrIfnD2NNRBKJg1Wf9IZF5/75KgpmJW9f+MQ5vUG7Ij3ClS0m2fLTE9YAShFjmDwCZalW6T
9cotC2D1o9OU5J62bAXWoy84giGmvtE5+hdbhWrhHjr7sC84JD1kfe9h7YE+YwVT+mOO2pIEsTrB
Ux5mh8Sg46qhsdlpImOi6OYQWCc1lIHNerfOzc7+VQ/q1KylxaFt01oT1K4eQXu7HVVzfrBoZX+r
CJTdFZ3etPekFE1eQWI1y3H2Kbbz0bWBjdxnU7jvuNttp3R86LaZdL/EYA7yao5bohgDywaEVGWj
8jKj2vpmZ+0tbaPMLajfrkfDir5FhEc91jX5aXJOwGwDT352kqbcKUFHvdBSPhU+DKaY2sO0Y88M
UIHoCnbbnJNJ7hnM7LqHMrbnOEm0SO2bL0pGfH0SGOFNzFtqi96M0af5CDVC2HV7aj20tRp92pP/
pjzihuQesF3xKRiPmtV1uPS7YB2yTHm1oogbn+b2NfhFJcRV3+bYc5tFFDXbGm5AS9IyV2tHe/Y7
dnYDBCSyLwkyODhFTzggrJgXCz35qkqnVy0bBw87RPSkpwbBe0ibNuCs46vRCeubJJjNW1AyX2Za
Heu8z39aha1+lk3DF9RkTX6XIrEQw9g8oR0Mo2sy0dqnRkjCwXO7fbZzIGUcDZICZD/7iPEllySd
rsk3RltHWBrQGc5DJuWuIcITjoIe6ZZHqS+v7oGCUUzFLDaEeEWr5rOVmewAYYNAL52WShDQILXa
hkZP4bIyAnapTluoyipKFfXLVIluU/Vhma6CsBcHJSecF5JdaN5PuL8/s+LWvWfmEXupYigCCfYg
oDyAN54kDq2sq/LQwvwLN0XIpmpFMg85enLUaL6yM3HiTYWMWrqjsDh08U5tik9hlvQXJOTnKuYS
QwUbSvSMNAGOK+ZVIfxBN5xftmnRUsw6Ve6mmVTn9VQE7RrjMWmTul9DikzooP/RHLn/LRn509b2
ruVgmOhZFinlYm2zT+Xrttk32Knm73bR5DeRY3TbYNLIpqPouom0qtsRY9o9Kn4CAw5UvHpBz7PA
pv8QstAtsC1WrEU+vyxcQJ+P7z20ZKiMJpXkWaUf6WZqblFAxCM8/QN+UvafkUIAJQpVOE4rIK7q
jxiGWuPVFtVNvLygC9bs+SvwA+TUJ3u/I97ygGfY17cQ4rAciKSB01DMCEnh+sSGcv3xE9SOtVLc
AvsOcpTpKjmS/xEnDQ8IGRrFbJGudA0B0jasQ+rgSg4/dt33VOfcNlkIPeyh6OmEOeIVAOwkwNH8
Hocn0SQgO+ZaAfOuvXVtlEox0wvOmnM/kg6pKtn1MMb4ncfP2SBqRlp+la7Mso77rQ8TpThkfcDv
YuF+QJcQ/XKSll5NnMw85LcuklM4HOR0LCgmFLKANuxo1eFE+VDOzoWP4ESDL01bMyRxYYjaUbQj
bj+RnFHYDku/SiL0CqnTP/7+6BodgOsWNT2UDuYN2XhmRL1+YxWoO/fB2MzprZOHIwLVamo1Tsdj
wvYhrXKGSwN5qvF85JPTIYsqlEFku7SmfUFn/eZ8+I8Ya/nlOm9d8hXpSMlRZh0/25IE7NQJgTvp
gjb/zkim1H5Jg6rsXVK7Ded7VvG+cSyFIrkJ8HCSmIqml5SEySwW+jiUux1ZJWiPaz2MUo8WWAML
WzZgQJAyMGnGSzeISkAI4aCd9CcpfRP3fp2aiz4+ToRXsW8eN1nGUYO9dGXD4SuIoqn5BF45McWP
yLiptUYVPZP1ONvK9zIc7OFhILj5MxADmF9G25bFha9DP9aHLw9H4GpGxelgZ7XeOclmGhMoFqh+
kWI5hrdKZHO0Qa4FXCdiz1S4OTpk46bBpRe4dRTp02F2zCC5kqCrpoPg0HZH9b+JSHCkRYvQTIpy
xySaxAcVzrLwMlOVyorOrt6Qu97RurGzgD+qj/CL2SHlKoHadt3F9vfSzJY88sKKv1HgV6fPH08F
x5OZpWOgpRqJRpDBgIPt1EwQDsTFisSPkbAN+bKDRvkcjek+U7OS4OaaeoBamOwlRKu7k4KS58JH
9KbL/M9Q5BfwkE3JMASLIhdr0PFQnAGhTHlMSO4cRk3hmYEm2ETONjWF3y0dHrMl9oT1hd8ipYCd
lIb1MrNqgf6PDGWZQyEnP5pUDrLh13pKrdLLjKF7yWMWQU6fvr9XevRmrnQcsZUdsNsN8jwOsLmc
FeQTmU66uhQUKrcfP1399PHSYccFbGsamWGYdQz9+OYIcwtU32x/cjKpbqi05Ola72Bs4UtpnBtO
kaDtI/RlV0Bsw++lSqzHxrLqhEhc2/YNd0B/pYGWIpNpojK66ac4/qSPAJDoKWnyk9NN8cHscuYU
AmNyOC+5nmOoUgftJhptgC2zRtncnow4QRicI9qYmJLczCnrRwFa5t8ijv+q+H3LOvjzdXLHSBVM
3cIE9eb4PL7jVClQ56NoaY2lr2bQ9eAMUTRL7QxVQr62KT31aOTH4ibtgxF6XUHdlT05x5q2MvAj
fvwKTpr7/AjVRmuGz432Pjpk68R7kQmAF2xBl4mU5XxfdKUC09TJCRDtNJ/AZsOcvvRVr9HJbQHg
uoOcbP8aAWC0CAxbEr0GGtUkvwTSIfvLjomWzvCPW0ZiaF5HpuVrHUlalbKsspuuz6v0kzrYI+er
pcHJREPCVNnIz7KjXg/bRqV69/ZvFSIkKdarvQIPIyDdiOguO4EA7sMqWRWILVdq33B8k8BHCTcp
MzaLE2nN5XqgjR2s0cdF0TYrEFKyq8yp1qVsykP+ykFM64xZpP3m4Df1V+lbB1IHHhbscqurdos/
hrQanwi6QZKw4BY2J1ranBhFXSNOK4C5VuZgop3ipdWu6AlB56X2pQG71a1lwdkH7AoAj1WfOTep
WppEseta6rhGm7F9lWmKtrfk6ULO0TraTW8v9q/kQp8LfC7Zh1qh/6oo+n+oE7LYSv53mZAX5en3
/OefoSrLH/itEzK0f0k224jfWbocJnVmot86IV39F85uAyMXaiGERIJdyr9lQpb6L4Jeke4IbPf8
6WWr+2+ZELwOVj5wHCyDhqGj2f4bmdCpD0DV0diw5YT+oQqD+f54UjAM/PYO7CPXpDxC0nxqD1dk
4YVfnMJo9388lDPHg+OjCc4/iBA0JRE9SdT2bNGOr4Uzmj56i/WSs4P4gcCyAYmfmWIzgPZDgaDk
gGRmi5OxzNPkwsbq7MVxekkes7ZYAo8vroqgjYHuhG5F1wKsdVJuawe0veg5EGH/oRZo+9kVutjx
wjr6TvD/dt+4+S3k/oJfwND406uHeZ9dODYySkzRBHVZi9ypnsBoFeVwOw6lhdh/FDkkvyrcThlV
zyCx9L1eJCZs0QFF7cfv4XQl+P0iHLAcqs7j4Jcd/yBFq9VEC2zah7nfX6eigLMdy3bHkJw9f66K
18xB2cA2qKPDFSXMhDJxHmzV1C7s6E6OEm9jgqrSQlbg1EZ+0Mn4m32tzkjOhHY2KfFNnEPOX0OA
cPamGnYpk1uY3SsDLUVPQR357KTd/NoaUWBiyQpo87Dvqq8xxKvOJnYSO7/0qJbt9h+L5vKoLNsR
eB/Zd/LFnWzHR6zJzUTepVtRcnhE1TBCRZwn8oRs6dZ52GzTZqoPRlrnXlMp0QbhVHP79+/LwjSr
MR2gNmSyOH5fNugCBPF27IaiHu+qqBSY3ev0NuoaZU/Fw+K8GqCxnwLSRJKQbStlxbz/bpnpJcfk
+/nCshx2pMI0CCSmT338UzgQdk5OHREdWaz/xCwFrDi22m0b1P7vZeS/bliON/u/h8Yfl5Ind136
oR9UMkpcnWoODStL6a4qxfdfiPma7lFTW97Hz3mZAk7e9fJ0maoRTyLPPNnvIhOLlbRsYheCvLpu
jCo/CEHAy8dXWb72d1ehOIMMlHIJNYvjJ5jLTFfUVmVEDaW/aRMDQtssEe5z3FuhJv9OXdfafHxN
7cxr4+ukMsKZeHEfnTzLWJmUCHNl7JpZmnldlkz3ccNkmKVK+4LsPvRkOYKW5OS17uwZ0w/4VDza
iWrdJ1jXthpsEEQHnSO/zP1I4vjHP/D972MCsJZlkP2g81sH+ofxl3kKMBFya7cpWsJpq9ImrhCV
oUEM0IVLvR9WCxCEic9gIeCUdTLjgO5oh7oQy1uW4FDxeJC+YamfgyrtNzP9rQuQlXO3hnEaK7pD
C8+Sy3//49ayscBeYTox4ZqEzOeVKbd+R4fTRC7h/v1TlEiOuTcWWjYOx5eC388sWtAgImvPcnH1
ojOkSe2Nw2itP77USYVl+TptyFJU2tigYCG0TxY1og+sSKVO4eqJM8o1hdjpquiHUdJf9G00IyV4
RxvP0q1GeeW6S0R5EygtqdaN7wDwIXot6sjcqKJp+JY2Oq0TpR1Nl3K/cfXxb33/xTH2VQ56VFN0
ncnr+LFYg04xixYaEQNa4VG0sVZaF6Qe0xuAJbNVvTYH+fJ/uSgPCFyHutQrji86JxmIyHxKEN8W
eH2NLLEfJB/Vrlbm/BW4VHibGIby4+Ornhtspvq/Vz0lmVW2PkOA64hUwJ1/iNBMp2Fq7pR5tC98
Ru8nSx4q0FpGGfwOwzkZa7YJjgoCYuIaRSxYBB1xE4vZvsBBOjNxHV/m5DEOsoxqza4TN6HeSDQb
EsrACKKdFqiaaxsxYTIVwiDcorg+SukvRutxRKlqYWe6UsOkelBGiFoF1JtrOUzW/ccP/NxsAkiM
NRGkhYSRcPyaeyuypz5EXUj1k+yQDuJZ2dom8jGn+DoMur/7+HpnNkw8EJqghsVXTu7lyWAu1LJF
P6MlKBYr60cLiuLX1FslgRhjK831gDr+W9uH+T1sRptEe9GNe7g9YqI9nMwY63Vf/U6eg0nONGCm
S4Sec88DKwS0p2VqYL9y/DwI8WOohX3mcj4HbDsP0FllUSlPTLbJITen4q+XU5ttrIV7lwcCEuNk
Xw+NwbAGa8yA6xPLBySc9SPSF7eOxT+1sTPW65iImoeP38My7o5XcUpHqBvQ2nGb2ECO7xNplDZM
WZu5CYOOtNXJdysQTR4sv+JOahFZ65y415oRkN8TWNqFYXDmO+fynCXepjVxuonQq6nKmqzIXN1G
eY/3HVhqCaM7NabxwkR27lI6BSAJkQhO2Cm1RRbsi9N2YGkmLXHTFH1ziNsG2mc5tMGFSeXMTK0Z
SzWIcS1s2h/HT5UYdLPoMD26tApGhH+a7SUplKCZkwOByT6grG6Qf3+DdDJYoiUFd1bik4v2RjP7
RP8Gblh34WPjE9EBx3U6ANauvY9HzTL6T0YN/BSepQO5xaSOc3x/iS0DbdAhedDKNPYj9VRCcPVu
I8MQNCOnnE00ttl+DpPXv7+wXC7Ivkd3dPl+uA4+U7myQUE+fku1EDBtqIdbg03QCuYHKnHbTr4s
u99LR6gzMwI7BdzlBjsGIU7r2KkQtcDfS0iMcMK7tApeZxg8GAECtM7w1C7sgc5djqtR1GA2YCt/
8og5ZnNG8TUFkadDeLJGIlQyz+VTFebpo0ZwxYUne/Z6tMHIluWEz1p//EorJEYGzG1lU4Ifv85Z
rFaNYHcZ9DO+C9QCf/siHd6jDdeIOY/3ufycP3aTsSWDPuz60J2xxC+n3/aKcMWUlCO12yphfZ8Q
ipqHsrrwWN+oBMdDlwuDK0VDqmNTObWTRbBCxs5RQxdkAq5EM826u2QszXFrxaPzUBhwPNwx4KuG
iqMgrcLROSWH0jIRxmFRQNwhVUK51THAZwVx/idpcCD2BiN2nqzYcO66YC4Xm70AYD4F7YRsssoR
N42JVO+nYZGLCtgmyiYKDPVFK/3YXlfhRHp26QTiwkx0ZuPhSMekXi4XiiodkOMHXYtOEu9IC79q
8XKlJQGhGNXKTTqO8SaxNR/VEOnXuYoygdq/wb9TgNlAB/B0/MFrJcmmw5JC7yrkwlyYss5UcPht
jHFQvjaA3tPSuR4NcTQ4YeSWc6ijYpv1RyBn6jqh8r+j+U13WjdjaPL490nx6rYTVpl1npjOhbLa
+9XBWfAhFJPg0tH7Pxn+maFNWF5l4JoaZMQAK/K6LeZgn/WluLDmnXsltAmWIzMbTtARJ59246DT
03qNXK+pJ/hMm4z6qjdKC41UJJHg6m38RTYjwuQKe9Y/ihJil8MlZm9Mc7avzKqt1umckcJuSYuE
MGIxLoya9+sXBd6lgY/4ACO/ZRwPmn4m8b1sg9DF5oOqtNKRz5AFgnq8RD4NCntF2/7SXuDsRZen
wm4cuMopn5D4j14VAw3PbuTbpGRWhrtEBey5quc8+Ta88bkz69Kbf38AWIrZ/7nsybJpKuqiSk2Y
5CBd7lPbWChJ+eR9PN+duznssuztNFZMDmrHTxSfYgHngmknKgxzj8CqxqQ09K7t072uofa744h3
++OLasuoPZnsGM6G7lgWJxz8c8dX1edwTrVChK6WpwVBuQFSWcwTGxxL86PT01XHYwrMKxfMBcVI
vgEH5EvDfRks738E5XnDokUAhvb4Rzilz8Fl+RFFlBl3QozBjvS9+tYEpP/Aq+2/WjjWriQzzb7F
TLkvaO9dIyJTrmh36jeS7u2lnvD7ba/DogMInA03HOXT1VUzOWHWuDVcNuLo/sY6PyiONXhLRxNh
QdkSio4CpY0G2+0oy24uvBj9zDPBEbxAyVkEqV0fP5NOI8tU8bl+Y1aN13PA9jLHkddOjXttVvTx
UEzDEpmtpfGPhrbvTT43FtY5H20ncWnGheX43PQnWBT5QZpGTe9kSgLRUvVVDSK5DaJpp/WEgBKr
9WQHZFB9fOtnnzw562+VSeQVJ6OBE15mTMhgXcrxSLpqIZ57Kmnb0pmw05Af6K8hGOH1ItnxFqmg
/vzx9d9vXXnzdJ0WeYrEjX16p0ZUmmHKxiMVVP+myv8F6qv7PNZDt0NKQloFKdbroa6D7x9f+Nw8
syggOFLSrufIc/zKia8brWHmEdPIHLZ57qQHy6cC/vFVlsd3+rHRi0NvsXTp4N0fXwWl/FLoaEK3
K3PVjdQc3PTiInMKK/hs1Hl2obBxbl4DpMiG2GTksJYfX08hwCTqM643I1K5knOt4rDyK3xOJUCT
L+xtUk/NYoRdH9/nuesC/jLBvSIRtE+fJq7GWUW9G7laMUXbXrd+YLBV78whesXqoe0q03j9+Irn
Bg6rhLA5PXKzb5jmP3asoQIfMWDL79aCdGEsIC171MnqNgCazK+aGfU0uVLnvsnqix/Nuc/TXDbM
1EQN0Don6zHygjyxnCRybRzVG3KTjU1R1OEOULW4MBOcG0B/XupkOczzdMQxl0WuYqNbsU30OT0I
p3VLqIjXINS8MGDPvkiOMghj2HFY6slnQZFFiRwNVLqfsg+uZ+B8JcyUdTdWLW4sQEzZlA7bj9/l
uefJpeiNsPVkCJ1Mv6JpSBHRuclZBHQyayVa4+zBdCDkcGGgnvvsmVaZUxeEhn0KqEu6OHHYNtEY
pMTm6QGdyakMYvfjG3rr6Zx+94hMqA3DJqeAd7K/gKdTtfjxY9fKovpq0mvfo3NNA00hWXaHl+e6
V+P6GTdS+WiJQvOcqmxfW1irWx3Ozo5N4LAxelwciaLRn9IRRAsjG1zg7uWFKfjcK6cPSKce7Qx1
7JPRbMFrBOxaxe5sg1JQqlxuyloS1qtGaP1LgkJFZhqfLjyhM3shpAH6ov/SKM6cHnCn0SqIwagj
ArQcctX17quB4O5p8pV5Db7CWWtdle5qDYmxPbf73tSHC03iM/dNqxrRgADka9AIPZkrmzYN2pz+
uY5zxhXqOG/EWEc7x1DEBsVgtFXnYrzwsM8dsSjSoH6j9UsiwTtutLEwE2pOG2Vv19sQMVGx6bHc
4GnIW7pTfeLNmshutLbtbxUNmMZqrqLYi2jVGhc+hjPfHb9FOgB/Deay05NPJ/RszMj4cXNUax5Z
89Od1QcGkVdTf6FdtQz4kw+CHhW6P3IfDFU/retjL9KdN16ThtJYLFmC4bMByERzK3os2zwIk1+x
YTXbELdWth7yut5/POLOvW5KgIvUc+nRnYZAjKAw27ErQpfWkzjkXWHsYeBG+zTQXitFGqsea7b3
8TXPzN5UxbhtDvq6/k6ioY0cjyEb0q2BD7U14qDfK1Fn7y3VTHcIycKnj693ZlF0WP0RwC0rI7K8
4yFtjcIvc5lzPfQLblBEuWeiOF5DUfmnK8V4jW76Elz5zCBireADoixmIrZYnvsfCzHUtzEec1op
LMZwwMQgt6lBIKcxyuTh49t79zg5sKgs+HS4SX7gGHV8qYo+28wpHrKWQsgnJ7QGdzKzZS4UZaP4
anVhMXz/sTJUWZg0Noiop7nk8QXJk9XRRSdkeoqu2VOLkK6vOGm+KtWk+hQl2rRvkbvCruk1L+ny
4nMYL2m3GXnDf33rNLJ1xPG0hWg4nkxWDTi/Xm2pUhXqXILBaHK3Sr2BZlVRZxdG7bs1crlrsjWI
7lhKQfbyxv94o3HFrBVA590QJIGvXDOzyVxPZWmEF+afM++TC6H2WC5E9MLy3/+4UNAmFHrUVtnE
CcavKfCJr82x2vm41aD0YJH9+CG+X5Y54TBUGaRgey3KjccXLFQN2iA9243oaszztQ16Ae/3Dcq4
8FfV0MGN9VgcRnUcn9GNtXcCMuZzppbSC5oeoGqOh74MomBXVXb+XOVWfZ0USvGr7+vuwmB/9y0v
v5UNEe1wOkH66XzlBOD+wKQqGx94+BUm1/DH3Kvds5aQsAvwpK6fiykvXfxfyoXn9O6TXi5tIDhe
ZmsOSSfDXmYVpGs4uRu1bad9H1f650ZxpFc78aX18MxYQ23IjgzJrk1/72QIjLOTmINQlk7qFFx1
KRxXquzR08cv/txV6Ga99fLw8siTDSZh5AWKm5hIUV8v9hwWukNXlpd682euQpOJBszismB0LWvg
H8M51nwDMxQ4kBHV7aEi+GCl97BI/vpexFvVilP7G6r/+CoYhW3ezUAufNDau7xSYsBJeX3h3HFm
CHC04nzscDrndk6eGMjLjhpWu/SsomyPO9LwegnhsS477cIs8O5SlMPRLy5dDmLhOI0f35BZWnb2
P5yd2W7cRreFn4gA5+GWzR4ky5aSeL4hbMfhPM98+vOVfuBATRWakIPENwG8u4pVu/aw9lrUhODY
WeaWQTYj+ZLFa0kZroh+3d478VddRSEw4VHzw42SatAy25iazFrt8kjQ+bSpdt9qJuwBmRUTkDN1
iQ5r/Ihe88diQjTztmHJGi3LFdx8z8iW7QhZ2w8Zo8UABqbMTR7zMoygshhcSJR0dyfOkZhCcwUA
PNtKqXELN2OcP3KjToPxUZ0BzPRjVdMIXJx3DAtmy/H2uiQbSn+Pxh/QPZeJjo2nGG27iSCd9gIX
gYOWaXV3fteGYHggQO2cH0PZ1V+siCn6wcyjPYUZ2UopG6lMGYO0eYUVyULohQstC4O2d78nIUVL
RDJhTAvBp7x9mbZFpRhXhcDb1hevRmpCYboABp11e/A7yPECinTx3ybsO0zqz7F5bxZe+SUK6/Tb
bduyVdoUGwF6GcwNbW0n1gjT72h7AVMkML61jnM0xt4KDA0tmNumXjkwWyXl1z2bzj59eW8TPoYA
T40yD72gmzztblbX8R46jm5nQa9efdFiAnZqUGFgCsneWHGZ45kKwB4BgX55b+doLyC9Xn4AraVf
GJez3/qaYY+gHxQxVP1CGujav1ggCtqq1V1EgaAudJB5PdItVy5eVVs774xsaSDuQcnRJX6NlGM0
V49VZXADlFa9+75Ki0tKsxauJ52YPTCnfkwut7/ZKxkAMGhk76J5Sp0IuvXNqzPAvMlD4TmB01MO
8scFXTIfxQjtWDFi8jdk/JOFNuyyBktjwOcUQmFwr3irBgM3fGKeXRlHGD6ST7d/l+TY8rM8oEsk
BTQ7N652VFqjY/0uD3tcfld54hl2icblvLjz+vRmW2AAxL5TS9axufnCDCcvcxl5dOwqcAeVgUiS
GK6MjUI/3TYlcXjPqD8xJcgnY0ri6o1vYwTRij50g7Ybi1OcwoaHD9eqgyu4amKjHT+7w/pX5xXV
79uWJRuKZV4tId8nfO215QE9j5qJHS+AQUDzIWFrLjWgX9/KxmbvTL0qzlCDg2MPJAD2iAM2q4TW
Go2tyOaKQkX20JiddgfBzHTOJlO7s92mOC3GGJ4bEzAmjIHLKfLM8u3vGIqVeCKyHQq9W4BrCgMr
TU/NDRZY0H3ofcz7vNS0AE4w8+vtrZV9VOAz1OnI85Aq2yw3QqGhXxJkgBgpg1c6WdzDQPf5FJop
XMho75Hb6qVvpln2ZoQyO22BNEO9SlyT7aBMCwcKVWPEVMOi/l2sznSODCzTaFl3yl2y80MsT5UV
oBDQUeH8X0Snjek1SzT0LoEHZO+rTaNxzCoY2ydv58u99oKgAJAmIdYRA8fuJiiYAOYhWpC6QVoA
IIQgogysqTV9N6/sh34Z8x17r1eGPaYPhash4Nmi1ga4Q5e6VZygn7rfbejml3FIHufGnM+3z4nM
EIUVUPZgOBgr2bjainzP6msLSTuQMBc1wqeWIDXgJt17SKSWyL2eL7tKp+H6Y5WLZ8wTNHYAYjQd
6jzLukSwhYi6mPIHi+LNIuV3CBfRUrk2lWp1CnlqawcxhOp39Boy4I1jcYBMZ3jzS0ybTwwfw8BI
dLrtEjGUJeqitR0YYQoJRmfGB6hvOsAMDO+/+VOJcW5QlATDtMPElX9x2muloey85nZgQYMM8f4Q
apdaL6vHYbGmn7dtSc67KLrR0RfLApJ2bWtgELdjRsgO6tH5CnR2fhwjSJxWBa59YnRrxzu/jtJA
h4L1Y12idbmVV82dMmpKDaEXz+lC9AZH75g6efLWghOOn0/1P2QWN2uzKI8UFspOlODgj0Q4ApkK
PlPb3YVpX12AA9LLuL2Lonh3nZtdG9wceUZiOr4j51DL4DrSTMU9UuRoEPJazQ8JzLfHzivrnb0U
N3ZrFAiEIDLnbWU08vrToYIVztB22tAPFvZ72IZRCTKX/OLOcXJCdKs8NOvs3DGFZN4V5TJ9vr1m
2clhUJO6B6EERGwbn0waODRpYtqBMsM1MGlZDmdcX5wKvuoFzK/2VlgVH/WZyYTCAVnws2zdi1sB
yyM3z1i4gGprfUtDCKN8pYGVyC1cWFxvL07iw8TsHUNPz1QD2zIinOdqZnQsbi5zejpTNN9Btrlc
gFGmb217sy7uhEMPTVDFqBvHzHzzVMRrYweTmvRMHxm6CBi6AHrs9m8e8PSJ8eY/eObE+I14eHh3
KJden50+gk0cNUi0rpYuu9Ar6gOU5jr+aLXD2Kfq270n2R9VEhqKlGW2Ua7p4pv1hEXWfVGfRtuB
qtgy4R1Tq/iv25/udeFbbKgYnKIATHVm62NKAz2PNuGg2KYCe9ioDbl5aNHruzeBNCMm3Cif5pbA
SAW2cZm1tocXwzbPCxnGzrJl7o54l58D+A2Vs03cS76aheNosOx6SenYWlNQQRy1Ex3JvI/FnRC4
R9IWbxOzKE0Xg5aAhTt3Ijcgo4JvMzZG3ywX6JlC6Fy6pHR2nt7XcafAONIdplVD8LnFMJiN2wLz
t8nl67k4w40MQn2a7dOa0rPpl3qCbXgc77wYxpnbH1jmeEQmAUUFWDTK79dnF0qBFd48wwosNy4e
s7RsUDdchNoNXeYRNQCqjNmOTdmHJEUV7DMmJYbnEZQXzqcyF6XojAVuXWOJToteKQcn79WdqSyZ
13lpZfNuhSCzkzZZKfGV6gCBSTeiheKtELmMe+AemSnK8wAJCDR0+nvXmzgZjeqiAmBRJjfAgqkh
ZL/0Bo4l7CTH29/rNXSQ/WKimawT/8Zoiji/LzZvnfM8cnvVClo7HpCpmDPd9SMrdL9mRlKmd2kW
6+di0Lz8EJpUg0N7ArkBL/Ec3P4lsq9II4x5e0EUQIhw/UMgkx4qTaOEahmMTIx977yPC3f9ctuK
7F0WISLNU2DShKbXVqB7CSNPjdCF7Wvd9PMRtg3G7FBGn3o4ig5mEw8/Z4g3ykOKCi88cTWx3e3f
IGxsYwPiAjHUz4i9t53R5l3M60wIWOceAoplP68n2xmnFvpnuz53upb8Z0HRUuxcE9nVFAw5z5QG
4JE3G2ykVtVH0HjxjVcVnwthohZ7DZWr0UA7DOaaPSYBmUWgaeCKVd5PICDXm11W+pzYyYDoL7wz
T52qwGqJpAHiobCE9FDw7M3jyM6QgBUzRWbhfJ4P+4vDjOp7OLRJbwekuelhMaPqw+TN4ffb3092
PV3haahkMDLmiF/xwkqTR6azGLyXgBoN1KAj9zjmRXFA5cn7eNuUbAepWHqA1hkZIo69NmVARWmM
E47cjkMmci1FZw5XSX2IkY2gnaFOvW3vNfcD7uClwc1zBTMXOsElh6RvsvGdhohTYAzQ39kDpOtN
03gHE97Hk6p17vumzr67U4ucvQeDjI2U4fntv4b3mUI8SBqqkVtyQLtV0NOySbbWpmy+Q6GYtwel
rZXpkChW8buajDU/woyUMXKVaYXCKU6KB2grYMFfUYGd4RLsuzejW4SmtCVCUBGDauZ2jzpjgJaf
2H5htPE499RC+9Z+WObK2fHOkvN8ZWlzgZrU1KE6w5KmaF/qFr7NeYWi+fYuS44zRghRRDuYBW1e
G20RwpgQtQZha+UXs10IN/NwCroo2Qu5pKbAN8L7xjwE4/3Xxxky0GocBpXvWaa9n9Flua+z5uOK
ns9O2CW5ODh4WiuOSNUpT11bmlIPjRWLioDTmv0pn3TnpAJ7u7hIOSB6k6Y79iQ+HTgOLQ78HK31
LQ/ikMKYbRR4nslh6AYBIyRKtFK9xJBUxYcc/bdPjhqDvL/97aTLZHLMpcTCyMG2dqtNXu/MqB0G
VrW6D8BblifKEySX2Rp+MFvEpW7bkzyftBtp3YuKDpN5mw+YNkuLtM9K6qWlEzWWaj1a7QARDzcC
Ri6Ios9ttKC7nJiQncN+smNfus0v7IsD9sL1puPQ1ysOMUAUYr3omZIduxwa7b4F1G+AJT9YS7o3
RCCJpmnrMlVBdELbYRszuGo0l+acO0FawZIbOw7SmZUKnqDx4guiLvmdoWWQnA+lvnP/ZcslJiKO
x9XwAIj//2K5S1q3uYNbgcczjs+8RIj7wPF3SJaq/bBmkG8NRfNm3BXujfCEghn9Tz72xr0B4Mh4
pLmkqUthkGShCPq8TB9wpHsMJjJ/QIlEYHSoVZDOX6+vWNocdlvqnquN5Og6Wj20r0l2Guki7Gyl
7Ka8NLXxcstoayO0hwR+K1vpNql2ybUQErUaOVqLQOh0+6a8nv4SMAA26/k5pQq68UBOFCsdtTvS
yzBUfjeTbd57WesdnSakGhOucVEf1LZz0CtZxvFdZSjMfWVLEiEsPaEgkZjtlyyyhD5uuv5jTIrz
9fYvlDwuHCsh3CcKNswpXm++i/wkot6aE0RFODwQGf+aoqa5u21E8oV5VnjCn6tQ1OyvjZhqM9TO
NDhBODHfhy5Fep6zGs71xNkbVn5NNUCh9KWtTd0kWSAkH0LYheyldaqD166OFih2ufxCva77nTRz
rz0yNOAg25Il2TfktE1k2KImUw5ZbIMUc2gvOMdiHtC5rBW7ffNLK3iIaAZRp+YB3DoSBx2IIQQV
E9ip0t9PCnp9eZtox3hq3J1s9fXHJbvgRWLkiaoOMf/1visQdKtumlvBqFj6B7jg17vaW/ud5+e1
Z6TKTNQgsn0RqGzCU8XujXhVULUBdmqf3Lmu7ojGqOtk+Yyi21KXH7tpEtqumv1WHBHpExkc4Ret
WVqJm+vV9syp0MmzgrDnJeg0vYabqEHurs+z4K1nGFM0y3D/ZG0kF9d7GTZhLmgMrcDxyvx9Fqfq
ZQ2R2yWD+fwHlsgoxMiSK4xeWxJ47Bn+Fb6ap/SApwdBuNQR1s6asRPpv35a+PuJj4gZiFheDRKo
VQWMPA/NwAnL9BJ1yTf8WY8QT4pUBCOLft5ke9MLr33wlU1z882aRYHTo8PmJJTUVLSNoMBHajmZ
6/iUZFOxs0bZJXixxu3xXGevn+jlYA8+u+OKtOEpig1v51ZLV8UrLSrt5J1bdrq1dVaYYS2g/SMC
a8ifuYxfj7ZfZet8UWw3Ot8+JFJ71GqYbSOuZcLu+pBME8LA0DKZsMYjh4DilHtydXiMmoIKZmR1
e3UD6SWnLUlNhhgTNPa1vaEvkLAeDU5K5hYn1eogoIqX+ZEZc7Q19ME9KHB2n/XWSHceD9lKxfgm
MRcdsFeZid126dQh6R5YWR9dWni5D7bSl5d2Vts7bVG+3d5YSS2M2VVa5jzZeBSSoeuVNu2oN0DM
rUBH8PgOuE11H1r9isojanqQRA9HqKkbNJJi5adrlF+1TN0r/cmWDGhVDMzYgv1s47d5SZdWc2by
79rJjo2VOpGfuIp110FAcbegHblzel8/0KxZAwDm0FEnQdiseai9KaajbQVDx81fXWa+e7tejm1Y
/bi9vdKlYYxqkKAf2qZITZ7YQ1NTy4BYrD6qI1K/owPR12DP+btK06Od0yPpNWCNPB1uelw3fBfX
n9PQ23mqoFHBbwtoVjSqp6KwUVKJUBTVvaS+y5XIPmjLZD5CeNadCy9WD4adeTsPiDB0XfDjh1D/
EgUjFYCW8FMvwngdcGhPt9EionZCUtCIP5DwDMZGAHwaprqhN7aUfses/DyL4q4LYopgdHOY8mzI
s0gf+LZt71FIbjv978ky8rueMskvA9Grf60FnoXcScwn3QmH8zwp415RTnrCQDeI0TgYF7aTuHbS
GTNiPtQd0SpHVjGLv4X58E+Ur9rp9gmTWhLlBaBrLtMMmw/OhCrVgFCI7PWu8XeIisXDYCrd3UqB
Y2dvZaYI6sUNpdxIt/z6kzaqHS2Kiil9MZdLAp2A0CZrT0uS773UUlPC+wISJVDfztVHtWJ2U4JX
SsnCDjGT1V/XLEuD0B6TX7c3UBzE7UEVABRiD4AvUP1eryrPe7ddLc0MmJVqf+hDwvtixnujoBJH
AK0OaFfgoAKjtNm7dtV6baAnH6RT3B7toXW+uXM7Pii2/jd6YcvOoiT7Bx2UQPIykEbFdmNOzye0
ZRXTDPKlZiAss52Aa+j+UKoB5pbbGyi1xRAIgF5MviKEYuB0Mosy4VgwB8LMsu7c95b50/DW7NNt
S5JXmfeY9I0EXSATN5+qL+kfOg6xFDpzhnkaLCP6y9YQTPKhnEUvbCrcBNiip9wz2zvtnH6ZZzGB
Z4uqLJ+RZu71QemsTK+7hZhgUp30NKVm+75LejNQXKX/mKM5eO4dwcQf4Zfuy3SsjwymZ19ub4Fs
s8Wl4BTBm0R/9fpHoLe8uO1MtNwrZo+ys57U96nLkAkohLrb8S2yQyu4Vv9X3aNOem2MxrQ+qWFB
qoOObhCl9Bb8yZr6UzsgdBJYa6Msf3CYXpoUR+DFszEjJ+72S2cFnjn2dx1aRsdei93HUEv26DGl
p4kJP/hrHXLTLS4TrWo1zhvSxbkqIVMl3WrOM3NKRytzHVjXezv7FM5O+1mxJ20n7JLZhsnAFQ0i
8WBvlkmHY6oaHEZQISMFWz5sKZGuoURvt8aR2uZ0HKLiRxLV+c4nlZ0fDg9PE31WqmveZn/Xfh2p
z5pB2Trq2UmQOB5zwzxX87Ie335UGSxnNOx5JNne+KASyahstSlH21X/b+lk1lNh592ZwRdrZ1Gy
c2pqFNcJ1T2hw3G9KIXaNgx4lR0UONdg7EbzaZxbphgXVTDuOD9vL0wWZIGQodHPnDet222BZwY6
nOYCIeM2Yfwjx+3dxU1qvZtDvfzpUaz9uDClFygVA2eJMll/FQut46xKup2uqqT8w/Qt7lCU/MXi
N+4AIVh9sFviS5dswVdaZXmoK+Dra6t9q2vEkCckFN81JiJYZQio01MLlUNmI2RRZzCERTkNUQtF
gts7JBzD5k3FRTKNwBAS4LrtIFpYWdYQTjzfmQLbCiARB1GNyPC7iJhhnBlOg4Jyj4Jb8pBfGd14
qzqH9jCkxitmdcZD5ejdOQR5vvMMyM6aQPEYGvAW8EPiV7xwUEXohck0JXaQ1PrnwUms89qDE7DU
FIVgtfzr9kaK67jdSOoVohKOQco719YWRZ8YkdPsQA0rzUcDXPfbwp4+JNpYXCK1no9ROqm+EVP7
Q906ebptXuYtLIsDAGaIWY8tGNjy0tEBPwMqK4HCMuySzh+QYD1YSVye/8QUMAgg48Qt23xhhemr
Q9uY0nEVzxfI1MsjGX/zmGrmXnAu/YRMlVBx8p7nMq831QqzuoBzlF72lNDQKSP9sRkmLYCoD/qo
utrD6kh38YW9zcGEvrHuJhjqA69W8tPK9MmBFG49eoq717aRLo3OuaBdouO4zX5cd0nmjoJeEEEC
8o46RY6oYVPnCI+WzfjeMpM3U4/CdUAxjUk83BAjM2LxL+6DXVCwi3tK/sx2O4diSHS/Ce3V99Lw
zaPUG1Ni8S9MNZ2XDCwJpMM62Qj/DELmuxx3qsiyK0eBie47VWSqIpsL3nUj4llcqMBQvE7QzAvZ
0FDz7nM9UpGYIwDMay98VyVr/UP3UCTbCYGkP0CAIUWdFybSzWvWheHSQW5vBxCJuJOP1pdxMMbR
+11UpoIcBPfdNkblpCjIqWtuskcMIDuuSHDQDOMphZNn86ZUJrzIBHjCww3lggh4XUy+G7vGP/Oa
pOHOUyFdrZg0Yrdhs9iCIxkdzUsrxJreabPvhNPwuEKtGcQ9pFV2khRQNSrRg1Nr9vvVmvd6NbJA
jE4BpW76VhSENmeKdqBWDhbuXPPQJffVqfw2qKnyj2aF/Umf+LjZWKOsW3TdjsOT5hOC7p/KF8kT
+PPr4zw73aC2M0ghTxvWX6OJyD2F+Oriold/aWBRe3AUVKBFqQNsKiMfVFPqvW6G7NEUIgd8ab65
vR0MMpSOwfiF5jI1rMcGNeDCj8J9OROZX6LlCeerILVgvPR6rXkKV0iqgke31O4/M++0U1zXqT/n
Zn+kUrE3cy9d1fNDAjySXs32CJc52kw96MjObFH1muk82euyV3qRHV0RAVBrY7CbYPB6UUrUedk8
kPg2ejQbB6Vvl/dtDs/laYEMLfG7To/qIxcdvlVSZC0KBidHo/72wyk9R5RloHqCOoS6zGaxkAIj
e6JRaQu1Nfqq8tL44zSV90JLLKii2UFoZKhPqlsh5l7k1cWoh3AHCy/7vi9/w9ZpqmmDCDLozWSh
06ygw/qgdYV+yQYt81UA8Zfbi5Z9YDyUw0gbc0qvppXtYTZtJ6JkbFbVdKmsXr94iBT8c9uKzBNS
aoDLlzEb7Gxu6BRTtRQyrsGE2savsG/MAqnBfEx8b0Q6ecfvy1yRa4paPFM2sBpt9lAbnH4pUbkO
FCNtmTK1PP2+Rj4+PrixgQxTryWMFZR2n6LGBoH0XsVWulriBuhJcQZwGF4fZ7OdxlzpWkoL1uSe
6qJbLiuYJcYZ5mknbxEbtw1rOZZinAheDBBl16ayCTm+ld5NsFpqEfla1nsHR1nKoAfLeUxgZg2y
pdiboZBafe4MI2v3esS9KSEtKkTnNrPz6q6ys48VU2dnFVKGd8oEfWAZcVPffoQowlEIfgaYbNvf
lUky+lwci6t5eN9G6vpJG5MejXno4XdsyS6FCGgpuxsadbjtB9QZc4scGMfyNq1OFbQ67yetinau
nuyYiowNLJQgl92uaMxbc4BQ2AriSjf+s8qunIIW8vnzkpTISKpact/DvQZcKJ92JlNkJxRXC8ie
/7h4m8faHCI9thh8C+YhHu+6ONf9kN24R+N5j35EbooRBiIgOLa2emCe1oDbiygDwyVXHBen/9HN
4XiEGKHfCYAklsgnkY2Cu5+XeOtk2mlGUyoD7+kMiXmAKya8HycXdVbTHozzm08jvOt0v5kEpni4
dTFdpI0zWiB20C8RouCmpkDS6i7v44zs8rYpyYuAKTBOHBH6bNtZXNtkIMpIqZFE1aD8TlF78A1d
j78PbeMAqi32AKqSx5h2l/CfcN4SVolj+yI5cLQpS1Qbl6JVbqk8ToWifqxDaNL8fOrq6T5N6tw9
zW5rMrW4oruIFvPy9faaJRfwWRqJSjjoEDKw69/g5pFBsEzlZzDt9NPoDeuxY0zz920rsgNDYZ/x
TgortBQ27327kr3CgUhwo4Wo5PVT8qsZlMoPCUN2ciGZKeaEqDuQK+PDNpuaV4jQp8lsBmj4thfD
beynMiKysdVddjepKV4El64hXaxtJWtRqS7PDIgFzlivx8gL47tsYJR7cKJkJ1iRfCbRp/CgjOci
gJ66/ky2jYi4MqIrNBrJfEJ/2TknDlWN259JcgEIxnD9dLAE688mjTMHF0iJeG1Ikfujpg/1F3ec
il+e0v109aT/educZP8EJwd+Hy58FrX5VK3r5GFFaRVmk65+RCsJHl5vmI66Nu0FKrL9g3JEtLLQ
zNK2MCQen97SVppLSatrFwRph2MTZebO/smtmEzmesQk5KPXXwll8L6mhWsSCVTlhZBEf3CZnLv8
wbbR9QPiwcgBaeC1lczrUVtr6KdEqKydlGRcye5H9f3opD/ebonBF5w8zzPk+Jv1lGpb9bDOUHnv
TPODWi76ZV7i5JDZdDhvm5L4QhtCP3gJYEYn6dqYKsqSXg6iwUGp5ZpvRLXha6ESX5TY+WooeWz6
6Kmol3ZAQHi0OuLZ2/ZlZxF2QQYs8cWiNX29qcRYDF6VROfMAatnRjg/VWZF6TI21uXzbVOyU4IN
JFgZFKJ6uCmQqmGZFQWUAYHZtJ0gm1+glmg8Pd9ZkmxLX9rRr5eU1frUMAjHbV664ZuDvOXdurgN
E45pfmqctT+PRW0dY6VCW3vq9qQ9pDsqch0QytSdt86kT2t76jt8/jqV+YOOjsU/jrouvhVqH29v
qMwSEpoijGT25BVd3byudE0SnQbckGUXpHC9v+OOLB3SXHtnTyXxOOuBJoRYUkD/xLd98WTPHnrt
eUevD8aJ/F9vMNV7q1ezHxGABtTgveKDNRvjH1x4mhL0b4VgurVtgHXAJPIUOs1gSRGFjnuaImMZ
9hcPpEFweyuFy91kOeJ9EZUViB85opv1GVrdrgaTkk0/k8xk4dCfk6rK38WGE57a3qqfYIxX/vPU
bK+sI3t8eN1oDAGqYvR4Y7rV9XpU4pjeZqYzyljR8CmdNfN5I4xjp5btTmApWyphHrUMMYTGdPH1
UpXE7heb4BzQvm7djTD7+PoctkFpRJ3oLerocZftMYn74Xh7k2UOgOFGuiCCpw3+3WvLI/MIzcrV
C7DXHLx5jgtf9cpmx3vLzBDLilodBbdXbF5NYaZJUYu+e1aYPyr0Fc51ri07kYnsRhAyCE5WuhOs
6HoxbcwgSRTCR7aazVNVZNa57grl7NRKCVrbqg9pqFQ7F0K6Mp4jzilkPa+ktfra6HQzYWV0BfNg
0pk+H1fv39tfSbYwHiP43uB4px63/UqVEnt0kmCV0VVaLtXU+5B0dgfi885P8qL2hyoZdvyLZGXi
8RNoXwbvXxH4QnytVuqiMP5gDcPoO6lav2vnZN5BZcvNCDgxIT+Iws3akjhCOjqnXo82gfK7Xqz8
k1Y7e910qRW6xuC+cSdgFq6PRlwYNCUyJved2lYudqQsqd8Mg7lzAiXvHDzeQq2Pqhpwss1izGKs
1HSgDWc5qfmh1JSfIVy+0NYb9zmIrMe+Hb+rM/oO+uju1WckTw+cjvSSBG09VISbJWo1oIgijAT5
WuS9K7sGRlkzs2e/1WbT2TkcUmPQ8Yq5Lt6gbWe1ga26NRPR5ikW70kNe+eoWwXtYnWoq/l4+/hL
jbGbfD0mdYkArz/e2EXRAsbSCaqm/o1zbP5BexSxgzXZmy6SHROmWVkPAS1AoY0ls1NKqBFC+hlF
057gJJlWf0Gza6+nKWHKA0JLkUkM6uI4tsMW+aRSu2v4WGoLY2W96PHDWJfdMVmc8ZJXzO8F+bQa
QWMnaCzOY6Q/jRD0nxJq89GhnfKGYUgbFu/g9lZLDzBYYgopSL1QUrjeag3Gf2UdmPDReVq/Z208
3JMi14PfzEN4Yj9cD2oauOj8xlCz5GBnRd3sxN+yz02JEZSNqOQy7n79G6q0Ydw9a4FbkAi8Z7R/
eEhbez61k74ba0s8Kzh8eFPAZVIX28baWmKFg0FBg6pt7N5VfaWcF2toDzZH7gtsgfNBj5LuD84z
OboAoRHJv+LaUFO7c5QCUGHW2ctnfUK51tPy4XtBQvMH95R6NBU4F+02oFLXe9kCcs5hj8Yp6LBz
+6EeOv9lel6U56FpVfN0+/TIrg8EvQy0CgEdwAjX1kYkM9Io4vTEgLOzp9ytYas2G2f5gzENEk64
GAAQcUC2HmGA/kUhg2JGbK0fnVZzfzXQ+/x3ezXi124CUFTOmFOCe1DUnzeriXrba8MQH6dSC34H
lb32FDIOeIgTfUA4fE72siTZwTepK4r6A7WaLc8V+s2RB2gQ8gOvtU9GAYwuzfrhNJThHv241BQl
HAJrGqDUB66/FK3pUUNJgwluBdGxrjeySzs247Fy4z00k8yl0KD+f1Ob62y0plO1jQepm8F8Qm/T
p7Dn/luPmiaMzrPnT6u2HmOz7f0ideqdXonsSALWgwsNPCAOd5NMV31q6RbtrsDsTOuvjImTUzEV
/U4UKNtOcjFCJUqXfELhZl7mYjk59JSCrciWqL0s4YLsOhDFB+jEp9PtUyl9OhgqFkN0zynt5tOl
UQVmvolAFTVaaN21OVnsQVfH1vMVSDmhXW0i/PMcUT7+YK8RyilIa1SNby+29g1E/3zWy2b6d+pN
pdr5cbLdZqYdMABzTWRQm2/dMcSUa4ao+5tF/WmpwHgA8v0D0AwCHpTQgDqJ/NC43u0orkM305ic
H1otPDpm96NSG+USaeufuE8xEkngCAKJ8vi1JSLy2Zp0oJHwDyNlYRctBAe5qiFMmlFD2mEEkJ4i
SnWaBrEWWZn4/y9OkT6Wc61lgnbOauLvHmXCS5qr+scszO2d0rTs3RN0J1QOICCAWvXalMpcRdwX
AiXDJOlRJ+MNSneiPq0vkT8503yv2LHy6fbRFX/p1qEKmicUQYTY37YmqS1lbDJIw11s+/hhtmrH
x7XWpd94nRrU3biHipMaJBohcXqGiGw2NERgwS2qGU47xNQhANG8n43DYM/YGfGXuDL2GkTSXX1m
PuZkCLvXuwpBjuItKh22CAHDD7nRW580pRhO42rkcJ40iXroIb3biyalt+6F2Y1HsJhs7dFswsNO
qn5ok7ymEVbvDfXJN5O3CbgLTY1t3b8wbEWPBZFDSaJBxmlp6NdacEwfGG1B4ozcEP7z2ydGdiME
W7b2nLPhUa43NGuzbgTlQ8syNu0P3VIYx2gynfeZ6yY7UadsE8GCMhZAoERvdmMqUhEYmWk/BdaQ
ZLFfqOC4fLgSdvM02SGhroXoEvErw0AbQwvdplIrmG/vxgqVj8ru11OoTU19nPUSofXcc4/e0PRf
b2+l7Bl2wMAS0gCYIkO93soBTE+UkVsFMaMs59Tt+x9rm4LFiBPjnWUo9skGN3GAU75l7tX0dhyO
DPVN1xnfxlwm9ZJXGXiVa9MKAocOYwOtHQM21ZMVI9Xno7KutUG7jtNDb9aoopvDBPByAho/+fXg
mtCEuE2116OWfQdA6LgjEeQhM3e9ITBl83FzEW1VufEAnjs6kTJngderZeqvTqMFsAJVO/sgtQp2
g3/wgIBMr60yZT9OQ09QmRqqqChWxu80m9N3EDiuH6qE8hvjlXvUotLN510RVHeqGGzcfHw6UahK
wakXxCC+TrC0dYeubOMn2F+cQwx2+JsHRu+h5LFDB0K1iRXC5IvbQb91+xTKbpkYP+IkALkytwGC
7sT2iMoOmz7G4ZlcAYo61djLIOVWGL2HQ5hy6nbSSZlzoLsDabw9remdoU/5g51ayo5zEm51+5wJ
QhvOEA1zMB3Xn3JOFcNoRX7gTXlH1cW2z+mczecp1de7fnAqvwqhvrfTWj3f3kUJ55ZokTNERW4C
RG+btjqDBhNtnblYzYYn3VXUQ5gXy2f44KfhqDDtPZyzzNBrf7Tc6QFl0wwON/HBi9l6Mhst3YPd
SjeDjgckZyrUmFsCwipsoHXoHIfYJVx+GrOqJ4C9XBRa9Bpq23tTi+DAaQ3zAUrSPY4h2dNEHkhp
lCo2vf3NVUYpWDOiVWgdhMWQflDqLg/iUlceIzNrxm9qHJl765XdY5FV6CoVHCEXef3xia0Sq5tY
7xSGnvVe7x3nLx29QvUvfW70p2zp22NnNcZOOiNZKQB/HBagWzGgK07+ixAR97ikzJTBnO5o6WOu
c321tSj+7Vrly2qN5Y45yaOBmgHpKPoYmmAGvja3ZFXWUIDinA2G/ZQvLYJCDJZ+t8PSWA7L6Jnv
YKzRPnql0IhflT1+adlyKc08DxpwzLc8nUveRoqem65oxYa1r4zQFvgZBdTvazt4IqRy13937pbI
CDfXmuwbigtBb2a9ulttsUC40vZOMHd1/LlrRv3sTFn0xPSN/W+SDYW/2H1d+Yml/DQWow+g5td3
3KTkNvEbAONA5gu6e9vt7uwUdYV5oeLplOu5tWu4BZhHu4SrU/i2zegd0+hOccraIt3xapKQi/SN
nj5zMyRZWwaMobBsgNKYXopk+bvpa/czk6vunbZ67n87Wy1O66utBjtNR0P0a7YAmcKg5BFDbhKM
Xp1+IAzwfjtor84HL9aRmA1TTa+IBrL2gzNFSu0vaqnqpyTi9/mlmnbVMaGpBKFiV8S4ulav9z6E
/BdyEigd8HBuO8e2MsTFkCXQ8IbOkiN50xcPVI+Ny+2dkJmhXCYQIfyLVsH1PWusqlCrhDOnhXFc
BUtSgZZr8jX/57Yd2X1it0F4gS4gzdxEH9ZQpb1nwEsG3CuLDtqQNh/VTg/9nmQFXpfo79v2pOti
tAUGB2St8ZfX69KMrFxcl6A6cZfyK2gD9V/HHvawLtJVCeATYGPWtGW/7urSVBcHFqdiXacPZpXS
84CCO2gUp/8Luoq9KyLx/XATmNxLyhzAJja+v3Lp+aXp7AT1NCj5QYVzozwZVtxHh3gdiuhcaYDX
j4hBx19u76fUMnVq8llH/LF56OzatRavI3dwlSz9uJhh9JG3goOp1zbvfqFRMayUJbhtVfYK0OcR
1DH0AV8VC8eGIFxJCdrr0TMGgFFr977O9OiRAT6mbrXUUJpTkhjx77hNvPhA63X5g0oMtNTADgQN
L/i2zZ7bq1ZC9E3N3Oy0hmaTWkbf/o+zM9tx2+i28BMR4DzckqLUao9tx46TGyKOE85DcSaf/nzl
HwdoUYQIJwGSCwfZqmLVrj2stbZX5d7im7M4YtXsHSjKWECAQMoyRGFzTTrPGgjiCK/6IsnPzNvM
/chexNsqjr6vJPQH+7v3VVH3otBM6ET3afPKusY06TR1XTiuxts1MtqnalA/WEslLt4CaL0dxBHe
c98kuS5yAOQDW+JKVCh2SYGQ2UHIi4FvmgRs+N5dUGlcvT9rOyvfMCHJOkAg71mVqkBAKthW7uqt
O9ALl7FviUp3yaA8USqJEipW3F/jNfO+20wzCZgLdSjqsvc1X1ndBss2ksKImdGVUJZO/eihAHae
S3X5c6nMRg0IfSbdHwadOoad2u8VfTDPAt3Gk9ZPq40wEyhHO1GNL2xj9znO6uU9QwT6j4/v2J6n
RFtLTjpiHCBv/u3WGMoSdzVNiFMyx+ul9qrofTfMzeWxlb3HHd1ueZldnpptYtQukZpb9IBOTEAA
wVxWZqDmtnoihuvPv24KNgYVRtpr1MXlV3kVqWoqU5q8nkhV80aGSSuZ6WdUwC6IT6UH92dv74Ao
SKQjgqZ3kzNKmyCtyl0gvVmRnxlHpZwL3RkPDu/e3kkC1k/gJggC+SteLWjOcgZiG7LKVi7/AMiL
n/R2/ZNa8BGkZM8Q6SRRlS5HDG+n7DWqNjSFAK2mtDTOotyYArNCzymPifZ/+SMxpAg2Ai070qZt
i6ta86wYJdSxhhT6BkX8PNTBnQdQFduDkHZnVcR4hDdsIZnLVs/A1HMTDjvg+TVNI3Tph/xcU1r/
vqIf/x9MkZGDiaMJQZtg86XiEdWACSIvUY7TXCjsJ6GTomrQZdpRxXevG0P+J3k4EruCEM7tqSAP
SrQ8a5xTkan1RdOFEqSMlwyXMR78ihpzMOeOCDt3XPxoiaHTlZq4JOtc+Yk6LNeusooDRM2Ov6Ph
xRRTKQFO83fznCxuVbR6xfLVIRWn3h5hYNUa8bFup4E1DUeSs7v20AChR2pDjt4GrzzZDEgTwDOS
SVHAj2rWGi7tbHxdjMh4ipJWP4hi946SR43BZJo5LO3tgIyhM5A9HImClKmZ/smyOr5ORALhVHri
ANDzs8OzSVEoIpmyKKzJTHizmflURID2eLIUrR7toO7Z2veK1naocNFbf2FctP1vqnftcFJwp5G/
Elmj9oJmlYAvmM2jv1gkjCfmpUA9njqn+UQsrDlhsral6neWt35sJjCOQbPq45cMFkTlr3EBwx2+
TtL6BbF8EpSmUr3PCqk4oqpDr/txzJiQH7U2q5bPRPvBPicE9TGEWzFS0xOifSnWZvhHn9tC8fvG
RsZsWSpVBGrb10tgJCJ/mdZ6aC5I6RlqmDWdrpzstmw/Z5lu/b2K2v6UlLH3qU2idj11yI0d9RTu
I0vZw2MSF3MV6Htv2VDmgPiIpY3AE1y9+daJhYk5qdVfhGVVF89Bl7PxiG77LNJ4DtXfHnu/+4Mr
rfM6EQJJoZXNEzUw8ihqcnl3uyh+x9yGvvNJR613tjV2ZjAluvvjP1gEWcQQMNSLeYFvvUW+cG40
B9Kyi0N+b4MCCRbbqD9qTtKEXdO7B57wPuCizkqignosK6WocWuv9qxEX0bafD3z3dAwSfqzobt9
UDMbgAxaW84ZvKmDbb2/nhilQ4TCOPReYBq3Rr08i0sDr3eyO7v42q+pTi1ytN5HIIcP3mTpyW9v
J6bQ/6HwSDEZ5OetqTgblGmJyC8TLmNQpkr0Ic5U66Bmv3dOXluRv+LVy58uxpxWNtXzZlWc50JU
w1snN4ogGVUr8w30j/7LZ6MHBZwPog3P5q3ByNUKZcLDk8H2fVjraxEALJ8vRdaC94Tles2YRPnL
sQB7KUGYEvwme0S3RmFvGhaUHvpSfdJ9ss008odoLD9O4pCcsndCkAKDY4EkKdWITTJXi6HvFItr
P5gVaiXmKAK0JG0fdZgjVeO9G8CkZCmMgpIST/XtqsgspPAFAK+4Z2ZyNVpeQFMu+oJEe/POXifL
t93yiNq+d2AQfaHVAsiP6sfm+6WrMNpVZytTwIPTZdbS9mUsXD1EK0D0gTAq9Agee5bddUoVEV5F
FLlc+eevzqiKnkffuQAKhUj1KxNgxxNcRfG2XCD9GAzguKBLUF/+i1FScknQpVa6uX5m76ZoIAF7
6Qq1hrzf/zl4xN2JovSBsuRTkFfa0UK3ewvrWRJjCO1geuO2N2cHkRkYinm+hlRiq1OXx4wvj6ok
aMpmPumltx6U5rZP1E97BK1QAfCfxK63GxvlnacuY7qGU963L7LndMnyafgzjxbxDHbQvTRZrL54
oo4CXRNo/Dze4731smReR6m4c+dNnWagk2HPrNdJ/nSydn5JoZX7tjldSyOZ/nlsbW+1FHmYh4n/
Bky82d2G1HRNaC6FcaQz62gRyXPWVGp1brpFfFaVBi6etrR/RMNcvO1nV//zsf3d1dIjhl8LNY4I
/na3Gf2njG03riEFChfpCSs/mUlfvLMHTfOVZTiiaN7JP8jPiyAgemQU8mjLb67qxJjFMTLhTOZ9
pT2t0+r8kEnZpRt6LTSXcjopjaKHwyLUN6aWJ58TMGsHUcHWHfIbuDsOgABkboGhbh7Mma5Gx0de
Q7PwltMEjCLIrKwIMjhK4eP93TXFSSI/AKFF3f52f9cpLvWapkmINsrw3kwK9dxXavNlnKsjnuOO
Ka4Ll5T8ko7zFs249qnldh3jPoA12p9soyQ1mPLsTZkrB/u39X3sHxUTFKl4S8AVbcfGjnGmAN+I
1VAv7OSkqCv6f/OifI8J699nSE0afmWW3UFUsLc+mySd0JS/eDZvt9KgAqpXjBsLnU51gggVGj+i
C3oV2eHcwb1TCqKIewF6Ak7idoVRzxItTVnD0ZNsj9mZFwoDmf1U0vj4YzHy4u/VXRzEeC39rK2N
qyKGgyLjgS/a2WiphyppuWBk7rgaTP4Y3LZX1LDPp69KbCrPFjU0RFmr5ZysIw2aHs7WgdGdfSZ+
lUUkhBDho8g/f/WyraVV6GoRayHpiXbR4lg5J9acfprJfA/esx3vRzJFHwHIALXfLaWurKi8a3au
hZEm3NDlHxdXQ3Q6LfUlFEYzvPVcJBIZxFGd6mHODxL3+5VKYQ1Yg0w0l35gczkNpZ5Vxaq0sGW2
yWku4+Rb7BXtaYnX9frYD9z7Wcl2JumSUyWoW2zcXlq2WcsMES0sgSMFTlkMz4Oqr89N4zW+0Xb9
l8f27ndWUxlQACYcfyA5Krcf0XVb2IQIpYczPDC/VafxqXP6v42hyT9aWt28UTpPe1b50v7aVMXp
sfWdjZXylkSbcPEpd29eNT0qorg2xylEGb56o6TJv6Ul4o9Ol6vnx5Z21kl0ghoVVQ5Gfm1VqRZ7
WNzFxRXNrT6HtafnnxDfX66xVVHwXvruTR0z2VLRs/pkZpN3UK74yc94nRDRAMPXoujDSQWzusWk
DILOfFeNS2jnemJcDDvKVZ+MT0e03I6Tdx3FCC9gTJf+t9to3XSWLcEsSNU+eylIncoPLdM4Mz/R
Y68Jeitlno9kmyxvemL15s1glz01LMSq0mvRZVHrC+FS6cqdIboU5VQ1B5/u3uXQnKBDTBuLtdGt
uD04dMeFFvc1tz9y64vZunOoNarcPOomRdykeMOotv95/Bn3rXIDdSmneDfQqGwLNK1VrKbloF9g
2U2Xfhnm995S9f+2M2l7OVbJX4+N7pxSsMau1PxESZvCxO1S7UmpvIVpCqFVRL3PQA3j6ljVHM6d
ax8c011TDq00F9lBlcrlrSnwfUZr944apl1jXhoQ0AE+WAnQkSwPPqB0WtsTSfRMToIdsDkbUwgt
l1Wd5GpY2m4eGGm2XOzITX1Vce0PXuQpoZ22b6jft+GvbyfxHNEdODvQBZuoamKK2tKA+wvVGTqh
rfM1tcRhqJtmxQfXbud95rbxQMsniv7NdgZDg0cHPJMRgUCquQKv+2NZvfZcVvQ6cnUWT33bt8+z
ASrer9pMBOAt+4P17rh0bjzZO5h48qKti02d2IZG2XJ8VGZcZ0M5PKdjlvzdAgl7WwvEXQ4e5h2D
UkVFCvkCEAIkf3uIDDeOdUOIJRzMuf4trjMq3HFcXVMmwYUKKeiBvftLKZmNNJSIXOiVbmdt5Db1
ODrvaujaafxGqdwBOJsRIceQ2N25Lubxt6Vz9N8eH6P780uwI4flOcQ9dC6lx38VfphDb7hJzbYO
AI4CWdhiAr1SfU2qtnoDqeR7VUvgmaUcNATvryi+gC4Tm8vnJP28tWvkBHVLy4upW533kvc5Ddo8
LZ7TvEgOrujOxt6Y2lzReB7MLK/xBp6blQDaUKksYsv9oLbGdF6jpgk0Y+0PIpDd9QEzUmFrS0Gx
DTRErZmHmjR8Ta02s28gr8sfjsV7MiWld3Az7k2RT+LkpC4cXOZt9Dw1dmz13dKGA3FfsFAoerfq
ySezcZRf9qsUfTguILu5higb3n40BDRSu2tXoH9RWwQlypznunNN30kV5dPjc3kfaUgoBr6GOy9l
LTavRZMiiQhvDVOOPlybaex9xWnLszZnFEM4j/5SMRwPzRzI78uvD1pFa0g10ayl8gMMBjbe7VKn
oVxrRlp3obqm4tpXs/01GR3Dp1ikva/1vgoIkrqnqmiGFx7R9dxDpDyNwA2KIJ7peBx4h72PDLZd
k3GthHVvvJGLsHMboZAels06IdhSql9ojtD10tyjoWz398XVeDdJaXEKlEw3R9dmAnRprFEVxpZR
BQhZ/pjsxnvOxr4L69FYPyVLf4RWv3dD0iaRpYxfZXx5u91q4USiILgLcyWK5Rho3beVcXm35MVw
SuUkQLEs+tnrkqOJsvduHh0MZPb52lDbaODeWl7BOMZlpddhXSQWkaumXZvMnS/KwCzElUDp5fHB
3ttd0kt8PSGDxLne2iuyKqp7zaxDq5zcMFWdPEAKLA3dtTOfsjb/nWrmUct9b40UFSGXS0lMHO+t
zZygnZBPrcOonvUgc0QCzijhMqlzFsS1a/+y8+PmvLK38ROT5XRenWp1OJtN6uuicd7VS19dVLex
D2KT3aVR5GJGAw8nucHt0mol75qom+rQFOboI/pJEaFqlA85YhmoE3u/XsFjaaQ/iPISiEAXurW3
1F2RkKOwlXMeP7l5/c+Y10whbpGmbAfLO9jJvXvxE1XAKAji5q3H7XS7NXJ3qEKEzqyvMR3/wHPS
9FQz++vUCc15Z3VtHuSZUR68KnIht4EtTTo0+lkMAm+0Fm4XasJzLgooO2ESJd0HuOnLW7sc84Mq
0x3AAD/7ygyIkFszcdMYi7ZYVUhbP0XNuY9Phtl2b90ofokYTfycOGUSJoCkgzaGl5Vk7LY5DdNb
5sj1hPWzeUBT3DtR9IcI/ei9Ia2/+cKt25Br9w4K8+syhSLrRbh2DDNXxTqd3aQ/qlnu2vMIESBG
y1Lp5gR3g80oU0g5Yau7+Y9SHZ1vja5PajAuXZn7SVqPfz92QfsWSVp4wWVhceOC7KzrSdP5tLPo
TL+lthcOaSTOmrnEQNHdIzr7ztuFyJAly2rIhpDm3n7jfjHB/9pmFWqlq58YguwG7upV16YR/cF5
2vOuskzKY0KzCL7VrSl3qGeESFw+npt478xpmU6iqp3PUVdOb5H/wuctA+C3xxu6YxXdLdpSKKtK
MafNho4UI515NOoQldzuWs+j8lSOwGVrAv5gqG0tyOhWHRiVF3BzQaWOBTqFPztUW6XHDHRutnqF
CHvNGalomNG7vDJ/WKMxnBijMj0nlh7/HFTzppu04uCW7CwZIScKTrwmZPRbNcsONaJ1MpAy06Zo
CCoBb2DyYgTR9TH/zbFbLUhN/WjQ4x3Ri1caFSKKQIbUsL3b6KqismYbjXsCKNzYIZ2UFVlgMVrf
iY3Na9wb0RKWjI77UM7ght8sWR998+o4bU6zrSgHb892D+Svkd4ReSkggAxyuz1si0m7s8x1V86Y
XK5ZNwzh2oostPq2o5+GimlUl0e0rK1fxiixNxNRqdwACdjKh6AGq1hJXkQnJ0mqr+x29fvSHjLD
t4frpxUASCB2KaHegfS0yKMGNpYRAjil8VZXFPOP0vO6U2TEw3Vux+LcGY3l92lav6lG98BBbR2G
tE5FU9aITak7IDf+VVJqDIPFaHjTO8VDs75NKuPZiNXxuZkoVj++uXuWiIio2wBEkISYW0tzWxsT
ohRgv8l6Jt+qKEn50DHFH2q1Vgdwjl1jYHEkefonyWljTHjWtK468HZrzbvAjOw2mOiMZoGhr8tv
j1e2d04k/fb/jW3e785bh0UZQJS3fdMAeXbbiwNM5vIfrMhskOYIYdG2pVDZi6FFo0Tcwqw562ln
PSVu73x6bGV34wCE0KHmneD8326cMzXMVwU3f0LmsHyJpvgLeLjhvDCR92A9d6UuefSkOCbYHhLQ
u1YUSheOnjUGBFZQqhREjeJPYVZewCMyvGnaRAtEhGo2MrTdxWhH9yOB0q+i13/+hp94DrBN1Ew3
EcHUiDJ1O/D56EWmz7Oea76qCfuKsPVy0mJlfVZ6czp4ObdBAUaJviB8AGCX2I7NnevtzEzUNMOZ
2c1wKtW2m4KswpNGkd5eFFLag4+6Z5AQWjYXKZyi0nD7UaG1RGmO6hMd6Ai+k4BaynbrJ3e1lWct
O5w5unOIsAaMCiFQQq2tPMMYF002mB6iwb1WPzlNOT4n5mKfHaL2g73cNcULRfUH18LkzdulVdFY
eNXkuqdIn6qTZjSqLyhHn4UJy++Xrwb1UCnYLXlmQDVvTXWzTRZQjKwqE9M1aeLvDWSAF60jEXps
aedJAPCD0g1qUqgFbYOcPlNGjdkvKAi0hf2yjHr7O/3gFDKbVf1GGmu/qaI1DtR4iqh5T/GB+b09
ZcQz7xGQRtDcGx8QtYsAtg1StaSydta6VlwmN+9O7TJ/f7zQHc9JMY0SLHUnNOy3IJGE2UTOPOPT
vBJ+szAV7w8995qDx2Dv+ANF485B6ZXootsP19iVbbVIspz6dio/922ZXNM4GwOzG9wnjdZd8HhV
e58PFKjsUsCrRr3j1t7AgFFntWi8Ft04XJYmVn6Ui128qFplZkzwSbqLPbrVu8gexO+V08VHY1fu
Uj3pYaQ+puS7cgHvSs3p5NkUer0TFHw1Pk9WGwWRGIrvQMvVL23SVOdMi6fu1De2OTPQputDhh16
n2nnlkz/8VLna+rF4384WA6pNYMDZD50J5QQ0eDrq9VD83U1zvBnFt81UB4SdAQPLqv0oa9D9p87
ANiKuVEUFe/ATmasuhmqFN5pFWgP4Oka72VJBlfzrdga3jdZZ4SDsI4O9O7OA3cC5yxb/yA6br89
ftZwO0jXp6JO0i+Z0JMnRKuaDyKJ7QuZUT35xqzLWemNGvuxalVf0p5p7aD+x5XyrjrU31WrjI4w
NDv7wUWjqAk+iNdnW90oYrMYhkh4J7fVar9n357WDoPJQqGz0fo69Vumup4f34QdT4JvZsKILHDK
Ks7tbliNyOOcbv4JVuVKtmD04WRZI4OE5/X02NTOpaN4ArrDZk4MX1/+lFeB7GSBVtdK3rgpVdqQ
MdvgHuyugVyd90FPmnC1i+qLKcoiLFe0LB9b33FkHDNolPgxEtNtB6uOuz6zvcQ7AVg0nlpmuJMr
TsmBY9nbToZ4IvYh1WXIC27XaI72akQ57yrU+b8qq4q/xJzBN4xJPSJC7bhMAFcSJig1cAnUbi2J
VMRzVbKHI8i1oBYo2NSoqwbO2slZ3iJ7erx/e/YgyvOAk2pCR928rWoqylY1Og+sSl/CVc9/65h2
f1FEXQVNURy1kn92+DbugXGvsgOITD+Fp836ujHO+UitdxqqpDqnSToiyex0gdD15nnplPUpEe7o
t4yT9OWYXz9FNPddYXBsvamznwbL/oHAnh7MNkV0Zu9NBxuy96lxHw53hy9AX+b2A+gD2FTPKzxo
lanBcY7tl7Y0Cx/gYhQ+3vsjU5u9KHg1u7LC1FSo5TXTnJKmnZF+tJCiOLikO9eEWJ+QF9og/d6t
F0riZMgmlD9Owszji7lWtHxXpT64JjuHiRwJ5UjkB1Dr2ipqxEB++4YBoai8KnzXanVj34k7LWzM
Cd5S79r/Pt7BbelYuhvwDz8LbipQiE0CSOd1jWwbzaqISbtfNJd6lBMV75QmXb4tlP/eI7bQ+9Wa
Fgcr3fl0RGmU+X4idKAVbU5JbZe6N1msVE4wcNE68D2a6e/NWJQHVajdNUq9JQzKAYFy01/512RZ
KJ3qcXQaEd35BwIGamuJolYCFWmRfVusWH/vtEp0bUXfnh/v7+4yGSgsqXGgTLZkFzncxnDQCCHI
z/SvYgFntLhWVPhePR4RifZs4fck+ALtY7C8t+usM8dY7NnGM7il7jMJ1X3O8vzZXaE3/fqqKLzI
TJCeMqHarSUGM8zkmk2EDFoqlJByD9DEYSzrIUjyMV0Onqi9fBvQg5wTguKPVHC6tadaKYOI3SQ6
TWNNudIrrf4PW88GJn65qq+sOZSeyP669qJgGEtpBlXVNQcHdscB8Bsk5AKKuizE3/6GJIpNiGAV
a2Zmzu8oP4svgvziYKk7wQ7VfdrDFO9+cvturfBwKrVdOxTuxlLNQrdMaph1MGzEoJ1MxIWss6J1
2q/ORcUNUDThjFLSIOLcqi6qep3nqalGp1VrrT8sdbJ/y6b4t18+NTdGNl/Ry5JqbTSMzEYXQTnh
sul1Ep9LMU3/Pja1F8xiS3JsUW5H+HDjXvKujHLHGCJEyJfyOY9nr/UHpy++6Hq+/qUpdvq8KHN+
EZORfY31bA6A2DXJc+e2den3KmD4cVzqo0Mkl7h5vAkUqJ5QCAYTvm1yKFNiDOaqRach0bILJdz5
zJA8OXgpEn4hjiRV9k6TVBgjR5Wd+m3W4i7aaDFiAHN6nES530I5GnzKZOt4pWPmfpxHqlXvgVB0
R3HKjjMCwEfgzn2hcnPXTa7M2YOpoZzcyASYhPT951QUgqFZ+WL+esTxs0+OhLjEnWwrf4riFNNk
9ExrL7Q66HKhUg5ORThpZXp9fLD2PqBsyf+/qY0X0CDXu3U3KUhrlcapmL3hjDzpePaUoQ8qkrQD
e3vbaKFwBs4EcQzwh7f+QPNENAlrUZDDEXTKI838oafz76U22F8fr2z3yshSOqK6PPt3GPPRSeJe
0/lii1cvf60G+qC+obZ/DQJp4lm39c8ybUfTt0h8hDOcK5onpi9U0LEdlSTqkKY4Pf5Ne7stAa/U
4gxoqtvh4UbUK4WjqMqpczwoXDAPxw+C6Wx+hb7DFdru8Kuz2aUjdCSmh2yTfH8L9FiKRijqUisU
xPOeSNrpvpvD2IRMw3q/elb5H1wi1Q5UiCjiUk3afN50iGgoaBl77lblU1YOzJNx4b+kcv71473c
O0kOLB/uJCjiu6YnIXmeTxkeEdJ49KXI6m8AWLyz5sT/5cyCwYQcQReOeGvjezUvW8vUnpXTOuvO
t2VMXlqznU5pqh+Rl+X/aetOQVcApgcVBPZUrvlVZLc4Sd4sHucjn/Xu1ORm50fKfLRze6eQUjDU
JDbOvdOPJ8VcqfJwB017aS9uN02/Aw+MfKXo83OcQ5h+/KV2V0VNGAoGoGFnm5ErqjMsk5RqHPJa
Pc1OJl6GJQOQ/tjM/YEgkQFNAKQJMtddXUVdUSuskDQKrcSufy9aAMRBUy31S56sTXcQPe0YI2qC
CMVjxL+2Z2Lu9Zmxm3Ucrlq5BkbveRfVipxgdPTpINyXweftoUCijOkLgDOk3voWLNIgNwADw+RO
TYbzHfZafKmaSe185kYO1wQc75MmrMHyV8v0Zj8ylungVt9/QH6BJM/AYfnJars9low80ZNJeMpJ
m6fizdyX2nNWIZr/+PvdH0tpRVJsJbf9jtdujP3SZW0Rg72JEaBS0vIPZEWLLExEo/ymaFWqnx5b
3P2IxKXIH0tMyLZQFS0NY5nyPqYM1XrXbE0jtCCEGSb0OH75SWdxr0zJxb+62cMST7VntnHY1nlx
6q2qf9tEpE16bEefHq9q92vZSNZzaHTiiE0RgREDupslQxx2s8vgaa3rPquxV/6HBdFZkr5eFkW2
vKZBmF5lJ0i91mnrXRKr+Tsu4/GcOgyEfryeva9E/4U2q4x970AXbWSshjFHMXzNNL7aWqR+qpq0
rH01pYT767ZA+ktKLq8mb9jtZ9LcNFPnXlFOwlaHUwKo7qlbujm0Qfb9crsMZRWZdPKNkAPYykGa
pdEki9InshRSPq2xET+1mmDclDUfgWb2TgQPMqDenwWK7QAY1Z5irR70JISS2od9N2tSzU6cf33v
pLyBrPMDmN7SUM24cswoFUk4tbkD7d/ufZuZBldDxEfed8dVSBgpJWZqzJIpevuZxtlLJjr8aUi7
P37bM1XnbCiTE4qyLC6gkuyPj5e2s4EQQahk0QSEi7EF6gJAzzVbWAkgF3P6wBid+D2znI0DB3if
3UhuEiMtoNJJINem0GgqSiyM1kvDWouMYGiNMbABDUO4z5SPehanYUr4fPC67GzljdGNt4jzUsRj
4qSh3dY14IJq/JjPefvGKdfpu9vM/QEfcmcr0VeGd8FzRjt6O7tjmPRO12O8etl1RsCX9K6IOx6N
PNqpsEjVPTm6A1U6jv3mhGS1lJ1Agztc1VUJI8/tgtlpo7DGmwR2pujXsariSw879JkPztRsPZ/C
x6dmx3FB/ib3cNBdlfNNb0+p97/xeHEeLlaTnIq1Hi9ur0R0HCvv26+bIrvGF/M+A2fYfMWio/0G
PyALI7Vsr82spP6qNWvQta57cEpdfvUmHJEju6h1wjKlcyj//NVLBqlPL+ukYHDG6C7PHJP2hUEk
+aXnNf0gVFl6GOsiJc4rUU94vMydw4ptwEH8zeCj7VdFPNfRYqvMQyVW7NBY59pHVl4LDMEjrjfT
kSjo3hd8bU/e2FdrFXFULpaJPQjDXeBmUx24sdm+0QejOEiMdy4/1R0JQwHaSDin35pyp7JXC8PL
Qn1N1L/mkib/bBbZi0hNp/ILKoF/kt2Vl8cburtAEkTagjidOxLtwJ23MqQ3QmGBneS/K54AjGjP
nhiSgwXumcJ9Ss0iOs6kUbcLVDuZjAiPbzel0ymKs/SrroBnaJFfPjC1t5fEPrCuKY6D05I+6NVn
q9uyaDu6jSGDHiqYsqI+xyojUZJlND+sU15fbMgKB2HX3tl8bVSu/5VRp7cMhYkg3AtHbZ7tPtaC
Ji3q53oY0md37H9VBIebLvE8Mp+CQA91/9aemSDpk0dJEULUe1eWE2/6kFwIv+xLBEc5qD33KI7Y
21eeJ9rp8skgm7s1OeqLagtvSsMFtDHjNMjGGORqRSd42Fbi17igS9q6v95rRagZDhBACjmzZ3vr
7VyNFU9f0rCvuiEcW4Y6KJ7Tv+0H68evXwdAmJIbKDWbt1OilawGlxipaQht3nrKELIO0tkYgqZW
uv9w81C3BwgGNOQeg6kPUTs6okvDok3jD1ZcFVew5MvTMhpHrf/7J5f8EVgpMZnEMNmbzzZkLj3x
1clCAGnVR6Cv9VuzF0ejfe/PP7tmUNUDTGdKvMXt4UBfYowGSaAymHmLGMBwtt0BWnqtfhdLapwe
fykZiN++QjSMUVInBaH0jI73rbVOWysvbUBiO1VSXsRauGfAPR+sIRe+k4zTU+f1BRp6fXQxzPmo
gXN/EUCEUYRHJVCSLLfV+GSYykGbYYblUWQh5jcuz8yiqD+b3tCjKiw6kJNe+/J4yfcOFE1KnZIX
+GSUr7aNcjfPHLNyvS4kBRqDPO+6C2OSlYBpcr86Ap5+G2QQkiDsge/fCmzNkZeMijeWIaRIxsRm
Q4yceNxVXu3rtpMdIMrvIwqs/eSCSEUA/PXmW3o4MrvN0deMDPE8ATs7rWg7BLoDaKh0q09lZBhX
gCpPjzd0zy7gZzkVABIc87lu7VYtXM5eB4ViZKXzblSL7MNkMwspnpTPSan3lypDql5fOMqPDe98
SZBXkvuCyBbNnI3hVGUuDhtbhHHbTldtzNer7gwDgDS3UI+ms+yu0qWwApESvfatBFxvzMIeurkI
O3gTdCsGrfOdrlTP+bB8yMUkfqu8cgny0T7Cvu0tk07J/yap8FBtvqs5jzrldyUPG0slHixH4yKi
db5WrVoeHKFdUxAzIIbgv7git5+SgYB40bSTO+oadMLgjllKG38wRVMdXMO9/QRcBBEYmCQ4g63n
EZlXZEpdhLkLVxIaYXdplLGGHaxrX0ej0S+Lbg0nKCFHc9pltsk6bt0ej74kxFIpI5ba6hV349TF
eTQzuoDZQqPhk3tozHZrmCbnd4lWItYWqVESRMa84IQ4DeI0xKI2T8qc6aeYWVizb/TrbPsiU8Rn
jX5EhIazIWp/mibzWoKeF0EFL7XxHZg8/7YK729YLWb8fXHgGAWON3ul39WeEFBWmVHiN6bTM4aU
iZZTsKQLL4teJil20mSeniAzVA3xZW/8ORa5KK/zGLnTSe8How+Ghv8SQzkas0kJUtmf2iZ/Uq28
7IKyifVvKbLd7anvk+U9mhJxdhniQfnTWizvqbLjvPO1OU3dS8yqQ31IYcz19TzoAdWopAtN6VtO
HhM3T42SdZAju1YDMsQWXtWujksfpRNEEScPzRS/QzXsXZcm5r8Zqqtt0GeMboB8NzaCQ6trie8K
Rcn8IlXXN2OaKAYqO1mmXhWwNOA9RjI+f6kpXV6ixS0+j7GGCmIax84lN3vmfXZu4/0wdaX7G5BV
LouBffE8ZL1jvmmEmyb+pNvjFESmMl7zxhDae3ex1be5rU7Gm2Re469kA/rLuKbTX1WZFn8gWd3+
BZSmGX2lc1WPbouRv/Vqelph1FlAtiJLsf/SHJKKoHXcKT6rLflFp6nLB56ZtrnwOKcvagcDOcij
UTyZ6FAhTt2ndhGM+liK0yhQqvZVJBESfy1b5W+hVNngJ30T6WD8pvUqGqNofQ9pgyZQBlX/2Btg
i57WNSqmoC8Gwwlnw6noADBQk3EG5gzsr0M7yPVR0um/akkXvdeWvE9PbWP237JEmSX2NXfiwJ3H
4p0gT/lHz4gC/bSBJfA0Au/8rg5Tkgeing3jnT7EGaO34gLhTsvNq+GkpXX5OxM0ozpYvHV8bru4
b05oEtTX0ahs01fUCKJusw7Vl2KMEdbqRDT3QdQLvkRc/B9n59EcOZKm6b8yVnf0Qou16TkAgWBQ
JVOrCywFEw7AId0hf/0+kVWzWwyGMbbm0m1lTNLhgItPvKLHqQzghPtIZUuCGYJLPMT+mC+f/Kyv
spuawX7Ao3HqBH8IgEbkykQDIG/W7zPyTrdV0/s/kdfiFquibOvSukZlMK1QTapSJxjb1ypyjCBW
ZjSYce5rsVeUuYO4zLzxl03V86cwo/lm9rJKXpnGZr/XQY3lktE2vuKdZCaRKVZqexYx6jKlmxdr
EnQyytG+Nwq1z8W0DLu5rq1iv5pT0yI5bFd1gsRZu77ZinLzUznnfo3cV+vfDXIew5g6lPktn82G
/jrw2uvZsSuuwa6qfkw9Hp3xWtfGrXCm/DtKL+s7T9vUVNxyWa1EUtq/UwoIQAKDt3B/mEERBa/X
CvW/jhr8tHODXkPld7ulT7Zsc8pmt1RtJ/ZriTIyX4OUO2nyCQjMOPp4RQOUib64nWG5bzJ7cbAB
URqUYKyDeZbXk2116PcZqhc6hq3ifatHbJv2XeDL9heQIaC9A0IXZtoR2z+MVjmaTeJKkbkJD5G1
NznCz1VcBFrMr/LK2qYYVMx8FwyV4SKx3AIxnI1hKD97hgvAYrGaZmYrGcE1ujrDFI+WqVQSyCxT
76fFddardsjHKp6NzXvE7zO/R5HPFw7iztb6Oq8IgZJ+VkYeh9285ISrsq6+RZDKhhg96bF80Bhh
hEPc9oGw3lYhpYBk88viQzdaRhQHbjFVOPxZE8gHlIXQM+qMGYCkWnS7E7l0nDhcxVpcRc40fvK8
PPPjoMpD+7BsBhEcd34g9vVaLNZ+21DX2K/o3dt3Kzo+9eO0WXn2zhlEo962Weu+24CnY+wQubp9
5ZW2XdzrEK3Mn9LIrOYWgYNIvArMRdqfEbSzw/tw6iprR4XNeNt1opMcCLnrA+xUqOs6/mI7ibtW
ZXGlTL96jGQw3nlzNetDb3Hc7IMODdlDFLQ9YX0xih6pqr7dksYvfT5iYSicLfxZXzkim8u9V3Uo
UNRZMD4KqzCd+9mv619L0XobFBtf9xxqzWjfl/UmP3TGorMbP4frvOv8InwbjKZVp/TS6mG/umP7
yx+DxgeAJdYPhh4nmYwEg8Wd0MXi7yOex9ltY4T/nLtaXX5j+tkUxovsjeIgDRe5/TFEsQfJJaVu
Hbfw8m+rntpyNzTetu1cKbsuNrWq7LeqLxrxmgXYV4mvHWn0SW2y3F4FRGKIzhcBVBO5Sju68rvK
7+NycB0NbzkPgrfgGgyzT3w11tm+1YWx7CaUYBEhU9Wwqr1kMv19p3IQsWYxVrpO0LGYnbgYRv+W
culUH6JpC6J9YdYrx6axjFTRMhz23DTM+0L/LJwt/6Idr1RJ3vRhkLaj53yQgTkPd2VuhwWQPwyc
3gHx9std4/pYxSBjPDrwF0JbjNuCXFGkNqKTUHCb3k9BVxtQDfDcjnLE+MQS/bIcKcwHKS1z+mRl
Ri7SUm5wshfajZ6z95t6C/eD8md5BKf6Q4o0KyIZSueAK/Zzba39ZzNH4NOIBVCkam8oY0LSq3Gx
m7/SZVl1sQvevnwkaET7lPuZqnaPoV5/RTN61u99wxzWRHW94FREMtTazUHTgpIXW8Wd56xjxJa3
WmdfhmPQA9Ubhi5uwWPNcbAFnfk1KsKyjY96VQ7q4ksXUSeEZp5wejVznIfO0iULfggUoPGbChLT
rjgBtIkn17GEotc7aDBI9KxTJh7Gya/XVIzZKu7tpWtvB0PKclcMvbyzosqoDzXa3mZizTL/PpV8
Q2TewkqCrQcQlZRFb1MmkXqMYgCg3roTYx0tN9rlkIs3O5+3ZJGL+rwiafIwNWsEYnoIliwZm2I0
4wwe0/WS57OLCG+hOdwmW38aJxGN2In4uROXi14fmkl7BsmnaefJypH6MZoH/Jnw1ZEPqJ5z5Nbg
o8TO4iioYm907eJ1YWpSG8ut6jqucl1EOygSo9dzhmnbTQbX3uq9VmZb7bQxN/Z+zSTJdIWGmNw5
zro+qKUZnMSinFbErfAXF7FzLaeEmrNvsxi3KX+VQ5URP1Vd6kUm7ZRVYNapyjWJJ0MCYqtEWzNm
Q4TlXraLt951oafca+UKxz7IZimWg6cs3V3lRqZ5dqAl9Yp1xlBH/vu+W/2+IgQaVRYBUu+DPHZL
r4nue7eV+r4rhTvybB301tgOttUN49UNjP4z4WrffQr6rs0esjrKOQNN4vg5jw2vGrvbabY3Stn2
ovXByvz6VQ50I98FfSX0tZuFKh92/I9RPA4irz0q342adhOSkk3qGzgwxmUZEp1xONRunA8WDXRE
QVQRr1GNkt8yjWF7oDDTGTu09535LRbK7geLv7ZdbWAz8ngx7GFIa/ZBt7fNNfzW+luXxThyt8Gh
VzkeBaSShUqdKMum29mN1Ptgo8yZusEcwKJpcpwPSk/p4aHT0jDjxQ9+o/U1XjQBB4SIS+kpTiID
1e77hfAZSUKulmlnDVnxw1uCcGW/lN5Xe868PpmDKH+jiEnsHSgM92D4Jmpkq4xovJHeCI3riJXZ
2Jy56o71lxlXTgmLNY5oUDwoJ2qXq0bxsyYUbrWrwEz/whsFD8uOXunbwp2XL3quy1e9dCgTFxXc
+buqky7xR5/lHvXMeewPwlQ5ZJIWZqqdiWza+VbliBRVMlemUTdZH7xKBEOs3RVEGyTx5gGrDnik
hnSHKIHAYL/uFxgOMUyrSF+RgvU/t03Xt9EYht1hqeX8GZXA6L5cIwx1xgkMO9GDxW/4U7SqQ1EF
e1U5xkPjNiNHsHDC6xE/0p8Vjq7Nm3Ae7QcWpjOQOOTGO/AOgSDEk9UNkIfsg1sbtYorsom3WZXl
5s4thvY903LFbSCanGGK0HxYjDWyksaw9H3kL6ZNwKu27NZvF/eTMolimUq26kO5+q2zU46HWAfZ
2/YJxwx2vBONq3ulBuwkr/uwl0G81HyfXdhmw0O59kMQV2OZo5rQTrxtk7vu1pxt80fj5hX3LHqM
3/Hksn8abY4o5Kqj8n7RPTdbOE5mEcuJ4ydlK7ifS9nrJu0hx4dJrT1PJgUZjxevRQnHzw31Flt5
YV2Hg32sIs1hjuCZI1USLeZkJ46rxyCtnMm6awvWKLLbXlbHpZJbnVCUzZpDNLtug9YAytmpZ5fG
DfmEke/9dvB/iNEA57NNQ12QT2+y4obpuEM2p4nUKyKxsYnzRnnWXnEDwLGnCfGo13bBaXBCCOmq
8qrsu97GklxhLB0vBa/v+3FrA1VyyHNzmD7CPqZThr++c1RoEW8itnHb2Yq/DerNlGgfN42fVNsq
r7Yxm5e4KWqnfDtOlvkDU0Z/TPI+qJp97S3s/4FUumT/ImTGveBbP6ogkvmu9SyC/CrzG4uE3gNN
0VK3XBLtS1vuShy1q9iCPDfHYmkmN5EtOGOKRxNFVn+eAagbjQsNp1f+t0mMw5JybeeKi1n2VmxF
Zu9etaVnV2mz9OWUjl6A/knR6igxmilb+cCUWQ6i9NsytoZhDBPfzcXwaslk96pGH0vHaOVE4X1G
snuYZO18ApSVjXE7q1bhqBI570oBuplqT7HthDzeDc5o42NqmgNhvV1SF0uWMRjf+q6yRTz6wi1v
mp4GYwz5232PK6NaD6oro08QbZ27csitr6aSjbzbCtTHuFO3vkvmRjpv7Aa/9Ndl43ffSteQzX4j
qn1cNi7jRPKIv1oINZwk6xbczzUdp5goUReH1W5H3qdjFG0MqNnWqHe0RRSr8ChVYBcuEUuz+V+7
ZpnyG6kabBz9OXSnBJ6dR7PM9eoAXadFsUwx/eYK85WMXo3NvAaUcyi3PCDfWo0xVAP1xs7rbNvP
5tI+1tWyTknoLRHR1JJ51IQsV3w/ZiRcbpzY8550d/rJRWAVCB42BRJzcuSF+OFS7L1+wVGcesC2
q/PWiG5dLewHwM/Wu6aLTJGY0zpe09EUZE1BUL5pXG+d4s5Gxiz20Y1249CT6oOVucV32xncR73o
iN501rVXi0aDLCFlIxV3yX49tmDU31ThNqlYNyGKmkXbyYzz3FofOfvDFrPhcf7qtKYhefdjTtNX
V+FDfdSWBEol6h+tO+v5yq0j1e94pzii+Llvv8221rbiZdmcOjZadN+vHEksEPOOh2+dWTZjXE7+
uMTAMtr3QdjqOw/CQBs3rISHoS3lpwIptsdCeNmBSNaYUaitS2IP5V9X89Z/nieIInHXRxQJGqev
qZfjhErnNtBGTcBYWTe6kEVx5dR2Tm1toMQdY+64IKMV5Rxz5TzMxbWPe3mX0BcCR9Nqk0zArFv7
la6DFcMfMU4DE3etAy+jybHvcdwu5W9M73CzowVX1k5f7fJ1bln1kRgWwgDdfafgEpjEIvnytiR4
b7AVQp0oLmff/OnR2s5j0ZUyhLEk1fcaRpgfd8NAzroMS/hqGIYWLdm6tN45hml9jaSYrWTRg/1D
y6h9U7Lgt8Tr7ekmXPMuSAxNBHLtjygSU5v02hs86qIwMUrt7sVKXovpqxnMcWWFi58GXTYbBGhz
vXI4dcVnFHzkpz6yqs+qNCk9KHPNvb3Ouvm7mkT7Nipb6pcq8pW98zrP/5KJRfLSKDZtNJYd83vh
Vs7dDAxuTkxhYJO1BVP+M5xb4sGR3IlzwPbML74jOkpa+ZQTOs29uvORbzNI1KvtDhfmTSRTtIHL
sqPWf2+p0r22q6n63HiIcqVCef4j4dbKbjR6/50KUCbcCXOtPlHCLb9b0ltH2GDt9M2C5WpTVtiI
gXz86AWEjBGUF07m7ffVAqEdax0tHwFw1jpBm8VnleIjZKd511pET1lN7tapZbqqM7x0Ue3z3EMf
FLkZy6pdqYmEoyF2VTYcT2y8dB96aS05tTIv/LGIXj1OMMNU3IQhvi+OplieBCgVvYXEGshkVX3/
w1ScuinLyntcOZY/AhNvPxaesqk+FB4RRGa0HKBS9t2QBEVlzOnmWLhHtUHJU1eDMkOKEHTr0BOM
JmO3RH5/vArD7rqbZo6CeXSKh8jI0bL0Az3vqgnlyGRyCy6hmYTo0dIEUbA6G++6Hmt8f0lz3I+6
BLjzyqtIDBMubB2wPXSNgroWckG8FYXKa7MoFvt14wasoW3CcDIR8+w90PZEi8oZRREeBqq9ZHet
74obhyKjTLUo5U3nLNO0r01DR7FVm96SjP7UWUmILwadi8X1p9hWfvAN8MXAZ1mz0aZk0yCDZ1Fi
vopKa3aSnL4GQjqVqG4lBmnGvVOS5e8mJzK6ONQOdZso91zQDpVjEZVPYUtNXJX9u3kyq2I3tu6i
Y11Ho3igdp9/1TZq3TBoKv1a154FlG5r/Ie66WR+Lbnl37atmGArCIL/FGp7O8YKFpuCzb4QrjZW
6w4J9gHWlVZjKdN+nep3gw5IVcclIJjPiDoGkDp+dN+igI2eqNbzKwh91Iki+MZbbI8+95onvaAn
eHa2Kq7V3HexRbXxnd3MhjhEqiy/EA+RBxpZFyAoHlGUgeFZKw4ketJv8sZpvxShm30Y12X2j1Vk
hOE1fYkwmUsymmRTyrsJmqqbkjrvaYpFKGa38UKAVl8ttRcu1y2Vui/4JLlvciOoiqTnto/inL0v
d+ZsWSN+0tl4nztLgPoVxRcrRnOEClsTesaXhfTiQWyeft9Pa/W6rTqCqyZsw/dsKz5SF2bVbTtn
ZPcwpEL7rRkZRnGNF64DPld3zTGv8Cf+jTHdqpx+y2pJpBqUdskJXZKIciKKWz2yyl0WTiD2cAnu
yoQ+kXfl5pONyVNTuS1XpN++4fRoXreNXEpuBQhUuyHzrNTx+sahjjVZ94RvE1sJQpUX3g0dNdK7
gZwNTUAkvQ7evExvvNlav47NqIubSCuOwXxU9kHVvgiS+Wh9krSZFz4avWc95Bw1bOEu11UqgyX6
gNCORR22aIIva9YDMpwjHbLAsjF4V6mhKXGh8GHoNfXQBXERoVcTh1UXiKtitkdrb4bUA7jd+hzA
ZSPrjHqel1exMwSjOoax4ZVsKd/tlrK33o+uKz94+ei+wo52xVlrMKn8tvmyXoFLcOlDOU3ZoQZq
RChrRUJ8HvSYqQN42BxXnEj+WAtIEXG/BSREcAnMeh8OmTRTv4m8h0aPbA6xlDRx/NxdKGwSa5q7
yRfdm4C22C/X7qcSBWICIU526qxxmNcAE+SWe9+lq8vvGNn1ORYF5XjI8XCs7tpmJNO0uQJIXfxg
uaH0htL2kAeqeNM4R4Kb1wztBZDpcwBFBFTxSIsi6KUNfgKQysx+6JH0ph09uoRekTD3nakszCWF
977M1fLh5S70GYwkA7oYOIRHmU20x542TZXUiA5gw4GRZrO+cjK1JJXi6MwVrlqZVVFOI6m4rqWa
d8KYov1Yl5fElc+I2/EQYCOPgPWj8NoJOIXFruH3ixp0dzbcbqyRd2Okq5/F1gU6RVedSFLkqGTH
0ya4f+B79fnOQ4DvBkUVKrQvv5TnWBkarACq8DGjIgg/9+k70bbV1qLH6xN+dXNHCt++7526uAC6
fd7GpS0EbD48ckjQlT5986ur6ItsdWrmSMnRtZw5AHzvNm82cfVPJwTyB5a/CziHKPh0VQmao73M
oyaN5BTFo+jmW7oc5oX++xlAzJGVij4BYBysF49r+2/gt7bWmxMuNRNSA2dAHcjHduuH917mw0Td
8LUbjH559/LUzr1FGhyeBcj36EVw/PnfBqUePYObCut0E/2ctOHiHNyozfZKtM0FROHZvQLc7khE
B7nxjIRgYIi2gaBvUlfkH7sRKK8zTSqhk9fcYcSRHWwEE/eIXqqPrbMNiZR2e0lR9PnaZFH+7RlO
1mZuG7kz64j5LogHEU7J5k4Y0v7nAIejFztqzQANEFE5OYfMAEvklVpIyliUJZRZfqdOjOnsNrnf
acYQDpTVJL6AqbkkoXzuCOQFHxX8MH5GiPbpF4UUuXEelU3aSHe8K4IeDOUqBlAFqPlpgwbyyyvo
7HjI8PjgppFXsY9Yj7+toKKDm2/IARVaU64plfo58YzK308ezbjxKMv78nhnOKl8QjRpjt6oAUfv
8RP/bUAYmrm5erJJs1p24rpaGSlpbS+7W2e/fDUsjn6rFO25Bm8bfJtnusZOZWx+bLtTmOZt7d3U
Y2V/evm5zq4s1M2Q9USM3D+VwRsbzykydCZTDJarr8YIpdxA6jl+eZSzbxuTbdDbAGfIyZ9OXoyL
JgO0QZVt1ACKyGgfKmumM02Wdz8QVVw4y88cSji9cNAi8kSB+BQUL/y+9yZSghRT1OjaHke9p63p
UTUD82Vm2nuzBUM7/dNZHn0PUPdDrwcdZftUqnTrK8slam1S1XTZY+CV1UdIUeurzlq269WFkHth
ms/Ppt8jwqnGDQlg4ClrVNSIARSraNPA0yVCvJ773pURpbNwC5ICjHfSSJb3umrKdlYAhKIGD/Py
t32Gijo+A4qpPuhZcJGnkGs9TG5ZrgYL2wx8pKy28KZyj0y3iXp7I3N7H5pdmJS9HP+ppBwjw9Dg
laPzwAOcrCraaI7OSoU2Oa7bh1H3eQoQRcXdOuMNNbmXJMKfreLjeBC2sKXnnHoWNXGDrvm61S3e
N3b5LRR+J3cBadT3Db3VPrG34ZKrxrN1zIhH6vHRIgU816nIwlJHNAFBeUNjmfCjC3z1MAnAKQU2
PLdAG4JX4CeCC0fCs8v1OCgw+ABdJnC2p37cxTg1IWJwbTp2YRNH0QY3ks4lOEF5KUQ5N7/j9c0o
R7zCc9F1w3bpkjRpEZiyjz2j7usDsmFWGDubqa9IHKqvDS/36uU1+3tjPEHTMUckhYHQs1GRDTpZ
Ou0EkAQ4UJcaUMbeatJYamIRjuCynB1E0tCr/Uitr0z7Lg8/gUdu6DZNWX4nwGLRkgDYlQrwHO+E
sLIwljYNz//BaQJV6hgj0oZ4Rv4l9nQm4WdtGnZtczAopqXgjrurMKL2I7Z1enj5nZxb3dRTwdoT
zh2v4adndB71unbJ8tNu7tfEW6XYL4Zwb9Gsq9C+Ki/xYn8v3tNvwG14JLxBaOD/ng7Y+TWd0Fp3
aTa7lJ3NbHtNcJEvtxkGVg/B6m86HVbhfNGGHbwqzaZ+7dvTkMX1sLlvOgXo/Z+/cpQ2Ob65qSKE
a47L9W939KS7flJN1qW44NZppNruQN1FpAhzWfsAtMOF8/vMTrOQ38CkAkMgWE0n8RbVCqfJzZlX
XjrFYRz0d2/18zREMWf/8sd9ds0TzsGLJ81C2A0qwMlIm5sJN7fplpQEyyr2zcJ5RCnvksDh87vg
uH5Q4eKTHuHNJ9lNPuPbgvdXn1ZNZ+5B+CAu7TjGTbhJJBc98Bl9FjjXZAyX1KmeZ5NHmgjgXE4S
6GHIfj79djigR20wO33q0Ikkfa7AZASB2Gn0rKa0G13/WrfzmNqCOMfVUfcg+lF9JkO6ZLr7/Kti
jugAaLc8i510qrFdzaSRJngMBALC7GAs8/IrgrHzetZeP15YsWfHIq4kiafgj8Lj01nTcwzBPzNW
2Js6louD6K5VbvGyrlX68hI6NxSkyggzcQsI8qm+WjN6XbuFXp+aq3J3LDF5bWf1h8rqywun8/PF
etyFUC/REkaw8vQkolXigHON+JRLtamYqjCQUKHyLr/w9p5RSVgzaMpbvD7cwLgPnr492GL97I4l
TlLD+lFp/70B+2G3TaVKPR//6c2h/BQcsQe90VcXtuS598kUKX0cNXi4cJ8OrlrTWcXGLGdDRvuB
Ds01YKTiUA1bd2Go59fsb1dAnMvZ/8QSJ/OEdWB1oGOGNCg9vZed6b9eiZxSM8g6cDXkSB6ttmi4
UOs4uycD+mb/Pe4JDcD2e2FWWKyCIONMmPspv67r0NrbTaf2DW6UO4QOh+u6jCJuGD2829wh/Nbg
WX3pZD/zskn0qBARE1IMOWXQbG6O4HDVDFiAjH4CIt28CWqouf0QXaLKnVm9LFmWL7rNPp/25GXX
mCMI8vMhXWmq7qg26duW8vbXf7wbj+oLR+IoA1F3ebp60CC1uB/7IcWzq7nqplWkONfZ8dJYy4Vb
6nlgALmYjIbsDQYZR+zToVqU8/Kwt9klvRzSUOLRmSuneVzYVHG4oJBzYVueHRALaJM52BCOT65h
ES4WeJBgoMuEnOMMm3onK+8naALYB14lL+yOc2uDwxNVMeRjgDWf3I24MQs8YFqFRkLuJEXjmTGy
hmay8lIv7Ihza8PDxhWmIbcDGsBPXyVw6WCREW4ZA2/7jTXjALaL/BJS18ur49w4RNXkDai2+GiJ
PR0Hf7hOVFWOBK8OwzTK9CuIIJd80869t98umWyrAILhySAjCa2RZ/OQziJCLpZmwT4Pxm3nNezz
l+dz5gDDyuvoWUFowcRODhJleXoalg43ONc52v4itZcVCozLVCz3aM/7yVhM/1gakmUPr4j64rEC
G5w6l2G1JbqpnFVq1WTu0TAPB2gqr7tVWRcuvDNvknPADI9WysRPp3IBFqzCZo4alYYlth9zhcVd
CW04mUOabi+/yTMrg9eIMlBw1CaAUPh0Zagj5Zv4SaUSM5fXdKGC2NXedGGdn9nBXGsWgQlV08g7
9fb0G0S/ls1lnctqTUvRikND7w2vBdp+lJL/B2EQhFDKwajKchieMlDtTDmWXEedtgLG94hFbNw3
hIFlLZY/iw7/68fyv/PH9vWfCYr6r//kv3+03Uo/XOiT//yv++LH0Kr2l/7P46/933/29Jf+66F7
bN7p4fFR33/rTv/lk1/k7/81/u6b/vbkP9JGF3p9Mz4O69tHReHx9yA86fFf/v/+8D8ef/+V92v3
+O8/frRjo49/jQZD88dfP7r++e8/YNT+bS0d//5fP3z1reb33s2PPx+f/8LjN6X5XfdfR58i7iPU
9m00gVgR8+PxJ5b5L4JgdhINnt/id6zIph20+PcffvQvEj+2GK0oRPrIS/74D9WOxx953r+43ch+
0bnF/hom4R//PfEnn+j/fbL/aMb6dVs0Wv37j6dpCYLgPECAfCM6Lg7kS+uk2DseUZ7RHKH41y1r
qrsxeCOrQO1csdmHerCyXxh4Y69kemV2Yb893dp/Dk1V+9hqgzb/LPCwufkjVXVeEgzI3te2290X
kyp22HU3/0hW6L+Hog5HfQrJqdNiIAe0sOyNKmc4I18I/guEeN/1O2MCs/S3L//XC/77C316ivw5
FJRxtD+PRSkaP09PESuXgA8Us7KgzN3MI3Bzt6fS+fIo5z4bLSUuS2jyhOcncQDUqrwELuYl3eZH
B+2s2X5aUVgYx6a/zuxwAiugAEHQs12sCzN8euP8NUN4s7A8qWui2fh0hmNv+7Isey/pDa2aeHSH
5hpYYrufaoy127kIkmwOxwv39rnVgtGih7sJ43JwPh01knM3D8gNJYWWa0LDgBbaWDSHbqjUhSv1
ae7ze4LEBjRfaYGwPU9FqEJtFatVI5TX26uo42F0wAmCIngDH3vZgdufdiKUGSbCw3KfdTg1vPxx
zywhFg4vlno5Tg2ntZamEKUVSj4uPLXy1m4j7Sd8TO1dGOfpVfTnPBE6J79Db4Ey9ckimsBARHlZ
eomDuel1R+QfY1Wu7rpGDLuhFeHh5Xmd+YS0XAn8UVk8ErxPLtgQKd5sLI/aTYhyHfwcfta6+usH
T2//TPbwr6mhA+IiUI/dwmngKrGYwBuu9pJl7n9IIBtXeSj1G+FV9oXdcG6xEJm4v0XLPD7Y03WZ
wTdRg1fwEtewSwOntIoE4VTrnqquel8v5kKwgtTRR7PKrLt+Mi9p8J7ZjjbyW+Q6PgoIKA08fYDA
aCx4ZcJL8Jg23kfZWCQUd9ZrapbLh3FSOOThRHzhU545f1ihqP5GXkBacOqM2S5rt+Q27xdvV9Aq
eSuSGk2Ifb7M4MI7Y7wah8jbd6Adf/3zRUQ5kCPAOqoAn3aSjmHtqGXoJnZjb7GELXMF3NzboaJz
qRF6dpIRqIejsjGsgJP1aikcJLkB3USjdLezehhuUHSt752a/Psa4b3XkzTAFhad6166Rs7slWMD
lqoEsSjKnSfLqijcMjc7D5Fz8HgHZRflTsF1SsFiigvf8qQW8XuzHDXBfgfyJoysk3lCCkHJjfJI
gk6AALgux9hotnHPVbrFJvwPmRX21azAczp1i495Gfw0TNFeOHZPWnZ/PQfvmS43pwPKhk9XMkXa
CTgLzyGcheWciQ9T0ERpgbsEQCTwS6Xw6sSNyq8Qy/s9nOrHl9fWmQOREI0HsYEzHF0Lnj6AHpst
N4XrJqrR/W6BhnQLflzsfXdp9lBJLvViz31kUrZj15fQhIzq6XgdVkOT680ssHbp98DjnJ3poWiX
m7hcvzy1M8cU5W32K4o3x4DvZGrbZAxIsSKaLzPwi20whZgHWOv8zp/H4TqjYQh0duoeg26WD8ME
sOvl8c9Mlc4+2T2NZ2rRp7IXeISZqgE5lOBuBDXcNfwDwr5rgg7zpQ7WmakCFfutXkqZhDD65K12
empM2jMJqhjmw+o6BVhhelDlLCCB5q6dAHPOU8QHwrirRJ++PNMzt/ffhz/1TO+Gzcjxi3e4so9L
NjerfQ847sL3fLpUf0fqeBYheUFdhP/yTpaO6a8zSpkOmtUS6Kxj1/6nIMidXRuZWQpUsfqHDWUy
A7o/fDniWq6bU5hCJxttjzLqABgOakedZkaUoOFz4vQTifASJuTpN/w9PWBF+EDgxYVs9ikADg5l
ZpYBWavZKQh0dgVbabO/VZ0LkmkyrVuU/YCKj2O+E8TZF07Ep1fqX6NzuyGjdNS1PyZ/f292GUf2
egEKMgWEqjmNVgczW1/djKY3pIWcrXTwlPP65XVzbtBjksjKBShBDeLpoNaYG6ttUXFHKry+lg30
XthoR32qrfoVhGX1JtjG+cJnfXrF/Z4pWDFACtykOCmcKs9npSzDquqolfYejr0wxA8FhM6jwzW8
aR20CxBte9znW3fJtuDMCkbeCNMCFMUw/DqFGY0ZyX29TNArqTImyMuiWdpFEeyZwErtfjOvX36/
56ZqUcMkHmTCaFQ/fb+BgPmMmfaQWuYI+bjIg5vAm/ukW3z/TrayLxMg6cPbrtL2hdzl7FRxySVf
Ix5lJz0dWgqjDjLBp12DubwNmt5DJ0QvH0ceIi1XIHovT/VZ/5jdevTfOsr+0ABDUPfpgBD6fIQ8
3SHtOifaN7XvpZ0vNgt4+NZ9aAP4FkmH2C+kIzcSjwIFrddlxo0OTH9NrWkOLgWMJ0HGnyuNMgpV
BgRjITqfXECVschi2xSNlnr+wP4K9xHI4V1O2yXRkV3BqrF9SPSOk4bmsHBaz84+dMV44eB8ehH9
+RxHh7kIZND/4ey8duU2ljX8RASYw+2QE1ZS1palG0KWbeacmnz687XOwT5rOMQQy4ANCBDsmm52
qK76AyCO9UXkAN41R8ixRzGYGZHn5TGb8ELU7CrZ2VzXN8H/hrLAXgOlkxbGa/yn4pVqPI1pf8RH
QTqQ69V5DOv+j/sfe2tx0VIxDFkmks+Q62+tcdPFsE/7o9dqBbw5Lz/l6qx9VQd7CIRapm9LTf9v
WFLqlHOK+vla66kPY0g2atMfRQvbb1hU8UjjeUISJd0DwWyNzSY5olovu8XrddwYUTlTWKYkmzfN
sVad8rKU/QwzbsARGujW6f5cbi0OCe9EyIoykefKM+QVyoH2OA6IBiXgph2n0wB07FLbXu2HOjpF
90NtHUdkfTboBhS8KaNchzIF5JoulsrTla3DWVvKL1XnZu9zwAjwktFNSLUcClYvsHS5H/p3Ue81
vEQeD+iCgWXS+QcRwuvYiMc49mxDW3cL233AH9o8ikQf/NkZ+xMO38OXZO5COAZxd4nzxVMvfZQA
fO8rB+WnMA/f97GKFJWIHPcJWiyy46YShw+m1re+nTuzu7OTNtIBHmE4GWD8TON77SMW6l3Y6N6A
lXqZaS+eK55p52sfvLKM34tIDO/VRDF+Jt1cnoxSeG8/TpFtoOCF9wRldNbi9XzlFjRLTw85u+JM
QdFhCO3j2CAQECQYOWl+vHTwkpSw837WMImDDlRlB40ydc8e7c6vqbUY/7n/DW9nhMuTd7fM6EkX
fh+3r1aqWYPH6Z0MhJAb9icH51AkuZz+cbEm/UejzsbXTM/dj0XbzR/nOrG/3w9/u3rl3U0jEoIC
BezfT7lX4UezhpBXdRQ8IEL5VpMh8AEK/gwZW3lEl8q9LDkESm1uy50tunolyuMHmVxObyjBmEyQ
oV1/jIU6imMOCqHBY1xqq1vOXFgqMnp1VP/jAAt+6NB2fxJeCD7JGG39PRo409f7E3B7UiC1Sbdc
hSSCMP6aEhE7obZU+GgcDaV20LCBSNsLLQWbVc0P/yYURyjcC+ZwvfrYxVXVh4TKFrP/s1VaCxWz
tkNa1ontnY229V0BsZB2S2F3Z63pPmWZZaQGVjiwJ7oFzS0o3r7RQySeQ3f5tRQL7aNGOIIMzYNK
fn+kW4ua65ITGIgwTT/9+tOKFJuszIvrY5vF+lNoxy5CLpGKcF8BFU8PlQuvWOWSuUr8ZJbaGztz
cmEBX5Wdv9+X6SrrR1+scXo9Bwg2uOW7CHom6VFs60+LpVYXLc/enhZ6JN2S8aIBtsS6+3q44zz2
BhYmxTG12+iCx97o552wNL/HfvYpiTSUvO9P8O0bg4gIaaMYbFMqXCPtQ6N2piSELIGyWx0MXNgv
MzKf1Om68AmVEPUwYiD0L3asBPZTYiYub7rVdTNWNfzJMQOK3Uvl2dzKXjCHi07CQg5WsQbnsfHG
HBpqNHZBWvXZO1Tfpr/uD31jw3LTobFNqZY2wrq207k6ShRRjxiJOWrwi+FRgjgoTrrVtjtngzyB
rq9XqbFPB4jeGqXDNex7UTW5TNvmOGZD9Hene+VjiUobmgRqG1hduuz5CW6diTLH5F0jazyGvVpJ
HbyaCHMpxLxrfcSkq+nDgrJv9gWhw3A+qLk5/mg4S+tjQg3oDEk77AMjguZ8fPMsI/+BCrAsDAMV
Xe0h/mZUcgvQHWc3mhkAOuiBCVMLjBA+204qv7GaGSpucGAspOb36lpeXGNsqmEEUjn31stQFMaH
xZ6sS+Z5Hzn8o+OoJHvQ3Nucni6u5FUBt6COtlb7tiwFcgY2bccoa7QP04jONyd38ev+NG4cw5R1
iCGf5dS4VyNLK365NVv1cfBQd5p7I3sMswTCKiRljJUm/g7RqSGvz4sbp/9i+UojA97JPNcAlVwf
S8h5tDG6Q+TbsB+fizoZ/TEeQ4EUmNDOdlxBvLk/3I0PSRYhO5kSgEGyfx0x7Uc8yA3Axa5TDIe6
x7TVjZ3pe16Hf6ndmGBEPir625cqWxPMFgh7avtrwFE+qgsyb5T/aicRDwW21e/6aSk/1Xjp/nF/
fBsHAqtTA8cs1ylzez0+o+60WpGoLccoMx/Tce1QhshFaolbIHG5S8zbuEdNtKOBb0I6oZS+2oV8
KwflK4zT9TSu/RRXnQ88Rmd4L0ZsB4hXTc+t1lZcNH0ojss8Ozu1rO0fgF8DLWq5jlYDRqww5iLj
B0jt8x8Qk4dnveEd44JUeK49MzlYAtPjoXQwqGv3iFtb0w1cjeIHTVQSlVV0xGBSdRq67kiGsRz6
0G3iQ1fTlh5HXTxy4O8ZRtzWW2RfE3aeBDLwhzUA2CmosCG5hHv9kjlIU8Fzj4TQAlURX8q0NB4Q
AhL+vCgKkmJF+p8ZIVI/FV4dNIq7x1a4OaL4MRKzS5UWgBFs2uvVpmZTMyBM6QVJM/UvrUitYMaf
83R/TW9F4ZnIMQgrkhfzao2FXlbO2WQjuuzkyyntQVY3GIdd7kex+K1XVymgdcn8hgHDyws45fVY
KsaoL5GuBwJFe7+Y2+JBay0kmWIUSN4aCns8KihcJGBucDq4DlVHDkcbngFB60Xl94md8RV1PKQD
mmTP1O12VBRroHL+zrTBVa7yXA8TeUpuMz4RYbTMh1pJEPUz0qjsMas253TnpLvZDxTsafvInil0
GdB01yOzWtdFkNg0gna2/1SQUzha01yfUPWiAVJMys5E3mx+ItE9k691SiicQNfhtGyOjMUROl2X
OA6S0m7epWnZv1cna3xRq657BPhTxEHYxctlbFvFPN//kre1RjlWPiN4UlDNtG6vf4FTV7WVmIMe
jBywSHWiHogEcIhmWzy6aLYVZmt8M1Ogz35VNGMGGCidSYqFhhCikbWi3bngXAJeL2N+EE8qsOZA
wG7ArVPdLJmGUBd6hYr5w6319ND2UfMBTZ9Ps9Itn0GR9H/HQrN2qkwbn55UFLShR/eGIuEqMSw6
u1P6hj5UXiXz45QbdtCoUf+EuLlySpfO3mFKbU09VQlKE/RNILmsM1G4ysYgBnsJKKNRMGk10DI+
dkjs3jwfuhSUcs3zUoSTPgYzPR44iaWZK76ahu0/o6pT3bu/GjY2G78IJIhB5wq22Gpfz9qgFyUn
dKDPM0TQxqn9Wp29I7u83wl1m4dLOA3XPJ+Z8vuNX5Gul1obqe4cGHTnjqkbj0fklcaneUSPGonL
+DAqY3lclgn317FHVGRGJvn+eDc+OdkppEGgrNS5119gxPPeGUtjDgZHax6qUMuRaDSTI2qu9RF6
fLRzumxsdyqJtOwNbD9kLn692fAXmBI7s9TAMFGbdqy4edGURsFku1T+1joD3pGpeM1HgCJi8vH7
QkH6zSMGtCDTHSrSlOdWpdQ0RCsOo1M1oCaWPepqD9Y/7JavpdCXv3GYrJKdKd7YzoCfqUijPAAQ
f72rpkLPZgQ/NRSA1CnGeNxAPalQMstXbKtBCIo8sDmUVYFAx2CGw14FfmPKeXpwg0iGHEOWv+9V
9S1O0a/Ga0gNFHdJT2q+IO44t7l9ru2htlAxctrPea2H50ZHCzef439xV5JgmEy4qwMrWE8A2sEt
yMR2CSZkNlHf07JDpUXi6BrxFNz/uBu5FXhpikFgxkgnwZtfD1ZEGCR4tWsGYijbKMjqxThOrP1n
2DPoyaWZ870rDaRgY8W9ZAihmuRYmvVubh1U3q0+3lH1uP34XGmIeYBClOZB69LnTJlPG2nhBRYS
ly9RYosLGS3KCOOSP5ZlV/tD3I5natN7U3GbclGZotzLXUIXzVzXHDODnFp4wgpEZyYXJ7fGR4Ut
uYOVvT0/SIEk7FiuLku19Ov5TmZa23ViWgHbSv+M7rV+TpvYRKmxMYMs4wDZ2b63BzThSFnhONN2
uWF7KXEH2tmI7GBcsiIoQ7EcDQOVXr70HttrM5TMvYCi2BDMVmfVlA+u4ualHXAZo2Y2uOybDnko
Vzh7x+LmNJJ9cCB50KrWFJAlahPUakMrqFDdE4i8nhIjN46jC6OlTtJk5xTeWpXkdkCBaZbJqsH1
V1N1ZVpsjdedPjf1FwDB+YmtW/u93qWf6gVxv0IzwnNlo2R1f4NuDtSRckn0H3m9r+Z0oZtaGuPE
nCYa2mm1kQG6jNUX4Oj5hX7JXjdmMx79GIQVDOq162a6hnbuHFEHCzxamxfHnoovqMjxrsvD8sFO
6vav++O7PWwprMnNDqpHpw20OmzTIkpyDafTYLKZQPTPEpQcrPZ5WgrzFHmoQipDbfsuKoMPvWbt
vbO2hkvjkzIX5z01ktV27EVdGFnO9OqYoF9w1jLOQJoiivKe+bigY7tz3srPdZ2qmrTYYEdhJMYu
WXcAEIjIUGdrbXQT01YSiNTPSmcb5I59GKBj75wiO9rLjzeD8pSD56DRkl/Xu4zFoyrsVnYA4tJ8
9CKj8uOU5Kl25/AyK2NznupeP739w0paEW92Xn5Yv19vGU2khtcgqxh0bli1/qAl7akDk2IetHi0
/8Fgrxh9VUswZ8SWQD2YrRN/uf8Ttj4uAEBKpdyi3OWr9Bxd42lBPNYKpPDKI5YtI8xoJcSWZ+mD
Yej3XkZb8ahD8SrjGqEYvjolPOHmeUFpMVB0Y/6lIl56Au1ZfddA1hvYJFTZn/cHuHHgUvYCJyBr
BDboses5znK1rorBMIIJQj8X44yGGynvETbcr/uRNoZGqQBFCPaJwUUiL89XOVHaZ0WuVYsT1MCs
0678WS0W3sC4d6CvYu917zeigbkGcU1WAtRm7duJXbmC2IXqBOpgUMcyKEk4g6EFTYa1DIz2cSfp
uI3HCQRFBpy+rBusBcvaJowLCGLRET+Z/ORwQSMUqSg+RkuTL8Jx3EkCfuNBr48BG7QOHV5ye54y
6iqnrvPRXQyVx0JbzvovYSbuL3fpio8F0pzv1MUwf6DVNH6I4zR6SOoBq9vQ8eKTWiTTM60IlUYD
5rC5G7rfSGB5797/2vJrrn8erxsY4jqJOF/i+mvjEERPvIzDwNZz+8LOrH19zqeH+1G2Zl1aXnL2
c5GT719H6aoRQf50DoMEJ6Bz3VXJg1M4XwrH6x56pd9ZwbeHIC05LhiYgY4GZkj+mlcrGC12QebY
hUEmutHXgZb72DQZBzUqxSm2kGyCq7WHI73doJSEyBv4ylxw7J7roKaRdmlsLxgWqPB6taWI/TSL
zBNpxpvbNaR2ZM2kKCDhZKHtOlSFbLDm1p20M4lx34gc+JU27gBLXqO3PqnN04I/5M5C2RifxduQ
4wdyBAWp1TpORSzoutkJMDv4/bpaoAE/OcPnou/7nf7xVih6iw5CMWwcxCqvx9cUboT3LIbyy6wZ
/9Q4XpYHG64AW0F6JN1fmlsbFKc7bg181uUfVjuAl589TVOZHJ0SSfPaHtv307QM2JPRo0If26i5
qNFh9oWrt7/UocSMD/20ErHfGaxCz1WDoP/wdY6m+KUBX3O8/wN/Z5yrLQr5mWa+3KWILK5+YJWj
+RsJJT6Kcc4rXLOM5DHRa+V9mlgqvgkTZnqJKPQPy6TX70J0vl86s0zOTdPpL41Rze+9FE8cQwGT
KtQ27A5p2Q7v0akuv+uWYugHsgZ6mbgh7KyZG0E6EhHZ/LLICqSAlrPaibUJqqcI+/iILdbnqlbz
Bw3TEUmTwkLCAQIUF11/zgbEmCcn688KlyrkhMF9l5d6dAQzUu/M5s1JxFkHl5BeoNTh1NZgWYkR
K6d4Mf10cuKHqMy68TCZVBAzrzM+WWq4p4qzFZDtwgVA40oWdq4Xc9iXlTIIxfQpwZsXPe6Mxxor
lgCR5wrl6nhvPd9sHrhuhJEaA2ihcd5ex3OaZcBwAhqVmUzTqYGuAjwBPMIyuSK4vzJvnkqy4Sej
QEcwQMCtEnqSXiUdLbDr49RY7aGjSvSPpsEspDCKk3KWqRevUKYA14duJ/TGKD28CDltpXgY+dD1
KBUeYx2MedMXyuAeoWnh4kPf2jfNYfh0f5Q3zxYisP8oA+IPjWy5vG1e3yZ92lKKgnBh40V4VPDl
oUIRigCnFYxU3KkL8mKuPsW6MgZo/+4By28LwcRHw5YtBGOAPtFqAcVEBDeUEh9KT9CFKiZAXjem
l9qxU/VQ0z9PAvZR2J0SbdK+eN00v2RO3VykB5B/fzJksKuzSP4YQD1QKils0Na+nowaFISG/jZ0
Bd0r/KbWnKDsEBW4H2Vjz5AssKwQbqLavOZsqU086qFT4aE3RONp8DBdVAAtYmk3YnZYGXtPw81R
8VbDkJiOC+/h61HNEEQcAYzZN+goPExlVD4Pza74701aIueOR4MEuXEirlNPbcJHLp86ExFQI/zL
qEi6sEwp/8xomkifZd38MIM42iE4b82lJPEgdeTCUTdXLyNMSOjwzA6iI5gt/dHpZSEOCA+pp8VE
xenYG+1ebWg7IpuF2h7F7DXMrkURG6FBeDvNuEyHwqwyhIgb/GkwSsT0NOzfvCYNrkXeYhSRAeuv
W5uF7mTI+xFPH3TlbKVu/0C70TrdX5O3X48oNMNBqqAQghn59RoxvTCKKU9Dhlqi7L3euunRaL35
3VQPOcDNWfFQXFc7awdHeDuZJF0GryN2AgfQWmWUVxB7Gv1+2HoN+pNhm15MdXKPiRuqT5abi51h
3p7pxEN9kuzL4eJeC5LQdS+8GuNQP+1N5IgdUT4MSFofPYxwj3T+KMNZrtRgNveIbRsHHaEhlbjy
U4LXW50tc2QqEzhqw0eEJwyifsJkpLf0Y9s5+NeBST5EGgYlxSCmwCp0cVJsxfiEme9ejnB7uRgo
YlLNoPvEXl2fuP0I5slOOeQUzLOPYdPgRKP1zqNtzXtZ9dbnZV1Rlie7Q8BhdfJ0CQaQeohqRDT0
VuDUhvBbbVYuCBaNB63DbOb+Kt6Mh6M83H+pQL4mZHW5oU1gRllOLKxjpBRMIEYMzwNfFYZsN+88
f7emEuAIO9MCk0QKdL1rBnuyeS4g4pC56nDQ1DQP5tjFq0nT95rzt4c4Eo/yDKfYju/5OrNLOqSV
jZJQrRMNR4/ELjBKdw9htTWBYBcoIJLSUh2WA36VDURY78Zh01r+BMf3EOJ0dIjNOfTbMP3TGR1t
52zbOnUAIIGvokHEJMqf8ypcSNNTrxHn8vuuw0FYpNo5z0oFtmfbPXYwu/1OK+2dRXKb8VDGY2zs
AqgidKWug2r1TPPX6U0/jDTQ0UrqDR/ELIYLrjo8QMpKtB9cpSn+Y2ZK/SgyVfxxf5VuHUIQh0kx
uC9hb6/OWtRcZi8DA4Yy9xwHuTpAih+a5IxBrfeF9y6q1VjaBYpdTx/vR976vNRqSXC4LrGyW31e
Q3RlZU/Mt4uS8qkz0TROkgqz26jvD0NnjMH9eL9Z9tcJFWAcbItpNSDjBhj/eq7L3FLx347YkJ03
xbhMlTZsyWhw/5pcHr6BXuS4fTYKto2BbUTohs1FUr5TxVj9oYUlvphmUdfmwUCULTpWonZ4VCV9
h4MUMvIjTr75NPkuyLxvXWJr/+QUnXscCPWiw4sSCVpfbUrMUXjIpX8bTi9+ZjZOmPhPlkA4rBT7
alyTx3oH3rCxxCQ3CEwb5wJp12pd91VM/3qBIN4I+EFxhkOd4eX9USol+Yhmlv7s4RSPJWJxyHu0
t3amXU7ratqB9FGxQauHzbXexp7RebUVugayL2ryfTZwHjsUdqv+mnKti3z0GofPvQYoFUcIJP0O
RWLoXxpttrGF6xPzD3yxsTqs47axzhmOIh+sZGjCg055WxySCc88PJuXIsXIRMNQrY+LaS8h2Tha
aQ2DefotbsDT4HrlpKhEW3FLYufgHB1oGG9+ngSuNDzI5+P96doKZdExBpVAzw/czXUoIx/qWmND
sm6AXfLpaNVo3cKtgS/p/VAbB57kBv031OpCxCSX0y5hVJY1aE+jXud/LPJpdOAVKE1Cy0ZchFUt
p38R1nIgkPF2Rg95NZmmGSGnkjBCt7HH8mCaHRY86TRUyUGth/oPz0uUY2i27k7cjZmle0qhS5p1
UJBYxY1dbJVwMsKwtTWKS1YlDahdt3kOdfXX/RFuRkI0i6cMp/eNZGSO+GAvZvy5ROyUAIKFc/LM
Bgs1bIP2hCM3rmJuxv+PtapYCUw4y2ggV467XP08ooXzo5Z96X8xIggC1FRIGq015dpUK3fCzg5l
Dy3CwFo03qeh0stHPBf3uFJbk4eOK70t2AiwL1arMqk8OwtBFPpGbULQaqE7ANXJLvpQxA/3R7Wx
AcgraITQwuOZuAadjoUjJj0Oec3MLaAntCxOijtR163H6JzhefRpxrbq+/2gWx9MKun9Bld7vIGv
N3jiDliij3ywfC5Yi8kIjVcHNX8/ytYs8rwmoYDqxUdbHSOUTwd7bhha17b696gt/65L3fmEuey/
WOsMhSQF8SkqXKvPZTgjANVRGD4uZslLZWE7zM0a1cGyhMrO99oaFOk0VDrOYt4vq1i1VIzIvQlL
OH3qA0sFdtcPFDWred4j8W59JZJpZF2Qi+TRtQoVz9pkNRNnI2aB4rRU+MM5ffhmpCO1PMnZhWnN
LLHor9dCXVruZKOI4Tt9+ydZX3MsMn056QzIH+0xvNxfFJuDkrVR8nb57FwNyla82azdgfoEpdLn
cuh4bYW5E6rB/Thb+woG/3/jyO/4KpOWN45uKMQxJnhammbVB91sBtA/3oIkhpc/5uztndrhRjrJ
w4dnNK0FHYWGVVBYLZGdlwtBO4imhzDskm9jMvenJnacl7zHp2+n5L41nbxPqPYgd08Kv0qsUi3r
0kFl6bdWXT70S/0T9Xd951W3HYRFItktEKBXt9bsjsWk2x0VnmLsH70mBaqvZ3uawFtfTBLMVMpm
1K1u2lxaWhZJj5k5QKbkGeWZ3O/zpA3KOU7gCLtPkxf+c3+R3A6MSotOcQf8o42ckExbXy2SVOv1
WptY+znvg8CzavuTNhrul/tRbp83sp6DVjTkTFliWZ2DXTHqcQzRFhaJk5+ntFue9DRx3+ELXvvF
RA5QoTuBlXU6HO9Hvp1SIiOSSUGZwwrm2PX4UIuoJ2DlfDgXpwNDMZJvgJqHpwqV5wfDDMsj/o79
m0tYFJJk5VFiaCFiyUl/NalUN7s8ZvNBv5rkU8Zy4dE5SmBa/R8lt+hOSnW752Q44JwwhH7Xza7D
4U9qo9ojw1V26xte4vkhFyh+gf2vWQn38GJb4TgtMV7isAReJP/+1eh6K6UrurDFs3GAbQUsL7Dj
LJYe4dnXbCiUnXru1hKVp4nkRZKIrNlWiebAyYl4ufC2wmbVsqaLGrvmTgt2a6GAx6Aw9btwsy6B
pS1ieFAQQZp4XfKOh+90VqY09dVl6n28ANwA6lwZ3F+dG0Oji4SgiCQ8gpRYrU5glF4PIZsvp0TT
Eybh8dEbOWXuR7m9sMF+8fSUmvzEWGunm41jF31OlKGYAdo6JQ67JqY3CH5lb37MkOfIEgr/LdXU
dS9uohA14kBCLpeqYaAYmHK6sYul+VJXvmaWgy8sXKDvj29jQdq06WW3iiVy0wAsGxyc65KLLjaH
71oWuY80tcpvijIpBzcssp38R36U65e05MuCtKBHRY9zjeJ1rIKm7TKjBebO0wczncQR0rHjowyD
bXmD55lSKMWjwD77kxvre6KNt18TcgS5Ax4LtAGZ7uvtl8djrnqzAzS/iKYfro3PJc7cAy521Ry9
VQIaSAnMZzYWH9SGfr161xTTItRhKWEEN1l7bpLZfG6X2T7zSt2T675lQKBAY7q/KfSUT5FpuB5Y
qTh6Xg1zEcRTPkL+GcVRZUscvXSYn6JeZM+WQANJxBbEYEU8m6Pbfri/km73I3HpVslbCu2YNfAA
FI1iGwtaOGjxCkyQNUxrkiU+/Yso8q4l4ST9M1c5Eq9x1iheOMGkD/0lIcsFWUHt736U210hExWo
NLK4x6j06+k0+lYoWUkRzegodxvJMj7o/Rg9JvY0Fwet6rvz/YBbk8cZRk0awtAt+jsyO4SSgRME
S2O0n3ots1/G2u12suetYTlgQsCv6FLfcjV5Reqgb7vEJXi5zLzEAgmAfKkEWmeiOPRatBfv9l5g
Bl/Fk7/n1W03V/SUYaaUAYbxLzl4qG8Is86XxKpSKJvujx7Dn7eeZ1CK6X1JAB3luhuKhBqWQ11E
qL0KvTUPY4q57mQ67cWUyHMtqfZg+zcnCvGgBFCFwrJLPvmvh+jE5dLhucxKUeLkFLc1jR8DeAO/
cs/W7nd75+rwlLGkK6JcJHCnV5mg4HisEPItgq4dZ883JxH9wVoS751lGJGuS4qSptuMhzqewviE
ecZPNUl1pJQzNX3usaz9uugGuqJziiRulhfUkcRIX9ksi5+ofvD7cSD7xqO+u2h2O3+kgj0i2WY0
4qBU7U6itzlznFk0YLhh6ZZez1xZI/Ms2E5BUgj7eVKd4WiNPHbcrlN2FsXNOpQTRxgAGVJldI1D
wGTcEBNP7yC35x/W5JY/p7CYz2Xax6DmsT4ffTNP9pTvtqJKhBigNP69IQGWXkxOaQiMKBRtPnqL
qOE/WMohRDHnVPSKCkxf1473D5KtWaVYAgEZ9UbAfquTa8nSIWzwEQ1yCx2yNtXnoEOAkzphuQfk
3gxFwwesGVqCvO+uP+C0dLMTgRDAjNUzDlZsNX6WTGEQU/l+63nMB0RRD4F3MAKy8HQdCqHLyZxc
EwvHqXDPDl21YMSA44ghRnwyvCL8z/1ZvL1PZUBgi3g4SqXPNfpCEZTadKArgSaitD1oZuWdADrn
j0OrVM9TtHRPisCUSUuz6q/Ea/Ujpkx7JtwbC4goQD/grdF4WAu4eAXowap0swAtBidoE6MKFmHW
BwspjHde6OGgWZjlzjW+8VU5OskJKatz8a3RLV3RQ1Z0TazoayM5hkgRfVk0p6P1AlLi/ixvhqI+
hegw/A7ysuuv2pQ8LueJUFGrRueuy6PT6OrDu85q87cfNiB2pKqopDvdNOlRHxxNo1QINTbeoQoX
96QgqORXZbtX7rhJccl+pJYdsF7EnXnCXY8qKlIJUwozhGAKL8BQ0DrXaJX71uh5v2yrEcdRQzq1
lYgFRKX2nkVbkwowW0p18ZSgMHEdviEjstUwyoM21vLDOCgot9aq7mt1OOwUdm7SCTlSikdSA4Y/
rSEYi5PGTWENOa5kowqDrK0/5yFKVVXYlhetMPLz/fWytR8onJL92UBbKL1cD80YKJLYmciDLNLr
x8LB+a2q9fKE7s/iZ1qBYWac7jnaymtodelKt7H/Bl1duslcLGOLimYgQmNEQrnI58+Quu1zVWbO
Q2YY8cnLHA3jB1PPvt8f8GZsyllgLwArAJu8HrCribkf9YXniuiNp6VU+wOZIYjJzoj9thx+Zl6p
PQ7C3gPubS0iKsdSDhfFVvAm14G9uSxdJUnyQO2X6DLz9v2aqhQQOK72YKGbocjWfl+TUrbpOhSV
rRxnxjKHUqB9XArV+VyNDoTlQQ13qhRbkTCEhzoC/QixtdWgmDRhwtbLArB1ib90i3KcRJkfU+Hs
eT9ufThIo9DeSfZAJK5zG+qCqa1y3CARWj7MRdo2By8vPjVNq5yNGsYyl6RCE6AVX+8vma2bi1ok
/RbCOzDn5PH0KucGdopA4WRx0i2KFuheapyaVu0e3NmO/aEVc3xwEvfb2MRVe8BE14Ybb7k7tZmt
nUqzHIYVxwK39mr8c5hksm6SBb2Zeg941aPVZ5ax3+TlT81FL5tWzp6s280TitNIIk2kMCDv0HVX
qk70YozqmZgJ9E9hdsNHdH/cnYLa1peFlIJ0kaxjwPm8nt6+iGYRd17G8TqI96XJ93RnEZ64LX84
oVUvftM79bvZRs5iZ1K3LhZp+wBvDrDkjTfkVI7IGLVFHpij3ta+2ScTHulZdLGsrP2W9rX7Eyde
ER9at5j9bnHVPWeGrQNfMvDBYSDvQVayGjyeiTHio1lgc8n5PJ/BhsRDGkwq1Zu0NPcI/1s7Vt6g
ZO8AqqnsX8dLcluLeoV4Vmrlvjt7S6A1dnqKvXbPcm9raNB/pEk6wqwk0Neh0lY4XVIZpD1eoh+8
yrWh8ofdJbfL+Th1i7mzjm6HxvkqRTzpmlFdXLfybbPVljCKsmAU06eo7YbHXiXRzEHxvDmhA4JB
SUaeRfRG1vlILkW+PLPLgiKth/OkstmByo+noh3NnRV6Kxog4R78Qzda3pjrc8/rSpNicEHGqiTi
u95lY3MwhwThKZTrl88zTb2/JpELv/OGhKa4NXwcq9I+6Kh1nIppqnZOw9tziB8jdVI5EmFfrgGF
uao4Zr9knMNKkn+pSmvK/NzqzIs9Ua46hEXdfY2Guox23iubcamwoDTsgjVYt3kHzLvbfkyzAB3U
X0JRkiPQA+d5sCiF89qeg2KwjM/3T/6tFQWbA1MCKQJ4A7b36H2ZRVNlgTlpOVzBKTs56aS+zAZ+
Gv8iFLcaWnmcAryTrjfLMg0R/1M+cwu68WS5ycKOaWyMTNo9/6nbfamD1WABc2NLcP/qyOm6uLcG
k1CTqVeHMYPr3pPjBk0UqRfwZvrD24cmby0QNsBCgW5eD61N7EEv84bdUlrvY7etfO7y8uT28bIT
aWtkPBRYHRKseXNfzWViuMrEyHI7kdpE0BaWpogOIkm6z30+lTsgutv7UUJEyJohZPCqXH80U58j
xamcNLC1pjmNjtK9b9xW34FEbq1CYC9S7l9y2dcNek2vqPEXdRogbToeqHzYRyuj1TVw5hzvf6qt
Ab0OJX/Kq0ynTMy+jHtCuVWmvc+wDz4j4L1nXLq1lXlH0YgEzw9jfZWDC65CLcL8BtGwTDx5Ze++
hC3SotYowj8dOpJ+3e/25TfWhrQZkeornFts5+uhRV1ZqFz3SUAX7a8wpHRTLIaDBwb8sxlOz9tn
8rfGNpBSHv3Iy1yHC1GlcivETdABaLpTF9viAxypt/meoSANmOx3IYxsn2bFegG2nl6YcUOUoajH
FqBwWPlNW6c/RKyId8BL9zoSG2sRXgJ1BTJRdtq6FoYCn0tEQ65F0fpQwCzfjmM0ldNd2ZGtUFx4
FBaoZ3L7rY6pYVBrQfsjCVRDmhGHOLOMkdZzFlM4ur/sty5ZWceEUUWuQra7ejEZcQbbm0M3yKdQ
PWBdov3SQsUsD2Ei1VVy/NBczAmCWHjqOUI1yUcBJT+XQ1n6U2EPP+//nq2hS1iCyjLlabVuPZlw
zSdLaRNE2ZXkvbbk4QuHHhpFarSHf9zYiw4tUrqVtCqhiK62RYf5lV0sdRLglZIfDKdpT1k9gLWO
k3ZEokgLj1XmLZe3DpDbB3AAcCOUB1A0u94dsU4bz1UzSFdt4h11MbSHTHAgWGmS7jxRb/e9AbUY
eBjcdzrBa48HIP1OrWZJEhRiyg9J14xHAGt4tVSw+j0Nbd37Q7s9QkHvycoqxT4GuX6nwRQGJdYj
qL8gFfeNWm9xhDeonO9HuV0hUoaPtxKbgxbzGtIxZMLO4bXHgegnIyiatEErq8NiB/OXw/1QWwOC
y8rDDM2qW9H2qURsrtSUKCBjVwC9wVSeKPMH96PI3XxdEyICVWH8P1iFrObrFYHmKG3BMRZBiSTV
R7X10pNtoTvV8jY8Z/xnBydSyo9dM7tvXyBc4lQXyYZky2n1TIF57ggP59iAGxgrl94bTp3RzX+X
S4pbRJnNO2t/Y0GSDUl2g+ygQDq4HimmS2Fn9cQL22IGQlXlfqEO0YOnN/PZzuH07nzA2y3O44FM
j/4ryo03LvJ53aMvVJAhd2kTnmtIu4icLrofJq31SLPKfDSSId1JWraCwlHlDONlj8iYXMCvMokx
M8jMhRABzPnyqGeDc3Q6PK40e1CebT2qPiZ4m+28ETZ2BeDg/w8qp/5VUFVvwUgAgKATaod+1Szu
E02oyW/7PPp0f71ujo80HZF/dsYNKbnP8nYaa9Yr5rjzn5o2YZvhJkp5SvRZCbqCpVRWzpvZY7wD
ISKy5alFI/G6KteaiApVIs5FkFmwVOi6zYFAk/yRHNSjvme5bz9miEeKhpmAfMivvmI9LB6mWaUI
UmdufFKd/miiQOlPTur8D2nn0SO5rmThXyRA3myVyswybav93QjXynuJMr9+PvZipqUUUqge4L27
aaCYFIPBMCfOOXiDdxwAqd1PIkD6XrxF67MLQ6UT1VBPQUfv5nmBb+HchgZDRmmaatoDXDjKNdTU
8m1ljOHB2jsujvae7IZRhqEosrGbTJ/SofGWkfdu/NShpPR+asz0832L2TFOdJSZPIafiVhjWw4h
atJKNFzHYIgNSa84JFee9zrIkrk5yEt2jJNhP3qW0rFBQ7AJZ7wky+bKw3u6Jd35NhMLFUm1fCos
+n15nXZflULkB4vu7A/SA0p40o9qPLjrA5xVZaE0k4yB7U2eH5e5GsC13j2kztgdeDR5HuvHgklu
xsQZUKf8AtPCeinb6kLNGxn3xyKTPxSAcCeTEakXqnhFkFL4P6gs7a4HahMkDuAjqh/r9WYQF/XY
Eg+Zs+U+FfmUvI3zqGbeeIqKvxpvKA4WvDVINkhvVvK0kTRvO06dGzfjpC0i0Fo0UqJG9M9JN/UH
L9HOKjDPSYCRpASCImO9rTheMkNvlCHAYBltBgbxhD5ReeCUdz4eRRtGGYHiYJXbgtEijG7QeFUD
ERujQUQ9ims4Rtk3pR2S50Vrw4MqwM625JiUZIqgPsU7u95WZY1VQlN3CLzKVK+1I5RzfDxkf3vH
CFtpREBLLtfZIpUXV88az16GoLe65EPU9uGT0s4JnnnUKCcPzgeoTdqDE9v7ljBQEKZA5iRTy/XW
kkQZiFesAUxT4f4F729+itJpeohnaLdTMR1R39zeaTIw6o6SpJPxgC1Us/MaZr7qQqADVSCUEyfN
U2tiMFRvj2C8O6dGfwVkE/U2RjG3qJ95SL2l60tMvhTNU5Ma2jWLSUle64RlYxU4GJeYGuL2QVus
VGldjQ1NYZ5/0NO2P6dmhbpgfESuevvpwIuAt5ZqoyRWW59Bsyp2+rQiFnHV9r3ZqdZnrygWneHE
xosPtvVzbHztEVnt5ylBlIwL3rye0G2JBNG8KRiSuBJwgZcSor8kruPDa0F6tdBleRiiYhZXi5gG
9p85sWCQKlOVFLZWrdwPUSb+u18UqztlXl99Gcd5/ltxu+TzHJvib+JWD6BeAxPaw0yJ2fDzUTeW
4P4B3V4rZgApMECVITkztigRwWBDZkRJHyQR9Ro/norqS0bbKGJMzjV8SNYZwvLGg3t1S31ASE51
iKECCFox+c3j5eFxuyKu+0Aw4PVtChcF1mNhLdq5Hoa5vybDaF9MqbF7aUeGz+05NP5TnLa2/SWL
Te/Ahd3ec2i3yR0lhAOO9a1e9xRHeTfSYYB7vEueOzLl8xzl6FeJrH/OEic6eG/21qMnDWqE1jg2
Ky/nL4GzidR7pqU9wVdh6acCbtyz1zB7G4Od9Af0sw7ehNvLTpkbPXKyEhzMzYPaCdoqeUVcmThJ
A9ah5QaW2VG0vLeKdJV0bOm546rXu0IAFJg2YMxAlKl3rZDAvdCSag8s9vaiS1oiSWrIg008sgkO
xNJqVYS8bBDpbnKm7tZ+NMMm81Xu4KvRIXIpYlSGwWkEbzEE6QyYPfcawn/kxXxrKcY/CgcxVkLy
6cEOq+jr/cu4tzVoKqBfgu9SMqOvP2AN9xqTTMTFtTm5pxZS8tTXywr+MsPO/379WjIQwfwo3lOy
Wa/VKfWAwUBWNXdm/MzrF54pPmVvhTKXRypTO04GgyBWldpNBAqbfbXTVOIJIpI3dVAflMlzfNju
Kr8GhPTYzNZ00knTz/c3KDewdtGQmRAbQ0fNuwCwfL3BUGsmr1eli56aAbBiEn8qsnGQYgLupxnG
sMc6FM6lm4X2/f7K8i9vV4a5GVwRQD+avhsLnbzIW5acYxwaiqqwrUE9gv8f3b/ur7NnLkTHcHXJ
kTTI8tY7dHPHGaDoIu1YqBAX9BH9vHZr9GLr6eBj7jksiIZYh7eV3HSzFA2EeVTmEGozLp+fwip3
qVPoC1K3fbazUfy4v7OdsyOUhCdGRnsG+MH1zpYpS9CKlclpaWnohILQHBKvbnyxLNrD3KNHHMeD
5wtjOSJa27FVGXiRdnDt2fEm5AOdoelFmxFHREvGnKSRI02QgBUw9F75Touw9Cennq73N7xzlKtV
N9/XyKN5WUYKDQbkP8gU5vOzFkXTqfaGI0KX/Q3K8rOkDMVs1t+WTSuNOuPUJjVKLpNpz0BZKmoa
A28wmunjs5tpR/oW8o9uroRsKkBWLIm3rS1O0gmrCSIODRbATIUgOmqjd+G4vB6PzZNKJ1JGVGQI
W0rSfBpVCGQTnjkv+t7nqfOSL054aY1BPxo7/Tk5uN0R9T2K3QRQCCLKz/zLEw5xQbj0FQgZu3OL
91acD48iCk2gw0n1Tpsm5Z9+bvtA75zuCT7o6sUYs3454Ryyl8Wy8Ox9blsIbNj/RLEZnog0uv/o
tVJ9za058NxoOOo27t0qJulI0Wh8I/K1qYSG0bhUec3LqceLJJiCGjxvAVdWgIwCeJyrczSUy5m+
vnLwkN7aHCVmXKKKO6bzsbW50e6tPnMcaKzUOpn9xs3qj2qpNqNPwT75oC2zqz0OjPtEBwvf3ivK
MXKCiZIoShBbFIMQBpCRmeJvP9v2Zekb75nsPvcXEYavdpEsJef4IHWmi7QlrLZ7NbSnCZ+VzkrJ
DK8j6kBpR/u9pVRN52edcURbtLs5mScCDgEcs6UhV5WmhbJl4FntrTFIEs++FMho+Ineag/3/dOt
6bA5+qow9wApx3g21h4OemrCgxQUvWNeen3J/s2U0n2PYG93rgXDflbPIKiqZkcQ/duXh5XxVDTn
KJ5QO1mvbERG09ged3qul+nkZVP4pip46eJwhOSgzOr20/2t7i6I2BKtaypeQFbXCxK6NrOXyFjZ
dZpnhxE+P6/S6lS0k36JE8DB99eTb9nakbhwidLBokkhM9jNp41MDaGXGn9cIIP+lLTG+ORpMPDM
KD8F8DPlnyrAHNdK1ItvLu2fr17ddGQ93eAH0CHZJLKRnjcDPUHyP9ukrxwlFG19o3DxYV7bnzLm
Oy6MmJVv02Toz5reHKHWdox49QO27+3YKFoxOn3QNzTxaI+AIekL8aazpqNBp9tHiKCC1hW/F0Ar
3ef1yU5a5niFVw4BetddAB2keVJdiFvvf9G9DeHtuJBUEuGK3RrsOFp2LZohaGxa9uGMo5nDASX4
1Hu1gAZFCKrotCYIVyTZ+npDCf9Ya+YwBGqGZGqomZlfjvAU1nOhnmLlkEVqb2uMEhI4sDNivk1Y
Jsp2qq1aHQIri8oHV8GRxn21vK1Bap7uf0Vt5xrKmhvcHPQBEaXa2oUhu6CtPoD5Y2SZ6Isetp/N
ivMXLS1v8dECti6oLs/lddYZ8z/HcO+8d4fYKui0DTAMgZbQhjMV5upTNof2G6dK0hgKAms+on3e
/S5SwRESPoMaufz3X2IB+m5Ug/J+CPSkbx8GAT3V1Mafkyj3DpzTTuGEOBGpMCb+wQRSql4vNQk3
8hqNz6JWdXdpuwqROoWSbt2m9blp408p81JXZHMm7q7qnlxv6Z8Y2WoPzmfnePgdBBHU20gItm9P
MzOGO0BUF1RD7qGymiyWD3GbfSK1NZhXjJxXJzu8czYfmGyA0HU7zxqjBlcXaTQGU5wMj44rqFcK
QdHNCpWDve14ZAYHwJ/jLsgbt+0OtagA5c2jCErbQImAGbHHJS3SAKmRPmC0EIhMr4qHZomXwCiS
I+TljjVR56Yax9oyq9tY/mAzSptULt2WJFKf3Nz4q0B856toDy/ZjkMknQMEyS2jErwllW6gaCnV
JITGuayN89Bn9eclbJIDUoDd/QA0p8iMfhId4bXJWk1uxuSmIoBFanlKl3E8x3miUTRV6oOT2wlT
qNVAhcG8CyDvbQzWOF5Z0IERgWXHxZdh6cqnPPSMF03PdF/USFOViTb5RW++vioFyJtSCnUpDaid
t3EBjoJFgTgXQZE3WsDIDbFuU6XnOe6Ng4Bh1wcwAyJpYoDz4PnXHxRyY/iWLDp/be81F1UromtR
ptV5yuJPfWVlH4Sl92/wRUUg7CXzB8+trgO50cHX3vMBhNUMmDOrDFZy44u0wXUbt8rHoJphx/Pz
paPfpGr59C0uTQDT8QxV+v1nYSeRAA3N/DBTlPR2jc3dMGfdzpeUpq7X9Akdf2EgTGU7z+6MzM6E
AtlJCeGLur/o3jWRB0sjHLpVEuf1954ZJRx0a+B7kz/5uT0pL8ZcpR/ur7J3TYispQERijFJvl7F
SY3EMltU8Iw+ss5hKCp/mbPm3aRXRxPmu18Ru+EZoXAEsGG9lBfN6YCylwhQOIZAUQsZsU0GUZ3h
gvy3nwrxJVfNoxLA3v54r0BSYDEub9d6UbPQrMGuqjGAmGPCKIeuCtTB1t8NuXX0IO9tkEK3inXK
LsO2b5e3S6iP8YzL0UTsPtpWnyQvDQzS1hdjkq9UVMGWa+ljftQZ2rsToE8pC+DSeD02Mea4zKbZ
Q7QQ1Cr89BFBfFCLbrgMiTaewRQeMXQcrbeJ30MtnIwaGfQgqfs0UBsRn/OmrS7q7LmXSBhHrGJ7
p2ihLC875SB7t+QVkk9IDHMlAgUM2zck91DIHkJzOKMKnhx0SY7W2pipMTH+n+nAAICg6Odxtryn
cqYeVs3xEUZ/dymKxbSWIamihbg2zqg3GhgiAQAYdWF96Yc+OcWiUM8gYl8/w0eHF8QGbTeZU29L
EpnwlLHSsc1Kab0r7HbuVW9BAXhcj8t9l7LnuODDQSBRYt9oLKx3xQPklpYuRMAglamdS76nkFMI
R155zwjJBrB26JkAX29cV5wllNpNl6DUtJOPppLbdBWs9Kl2zKiDRXg5ut97xyWFW5mFJHdl4Gm9
MReReAhrIgCzRGgX1R7MS1OixxZOg35Q+dhdSuIbEGzdGRShsxuV+hIS6Kpzec4QDf2MYQzUBKz0
YKm94wKdS4uEIimZ4+YztqGrowGciMALRfdYktt9UpRDtYLdDYElt3lG6fpuwUowdC1uDI1QUDFF
cU3tAgEsWwyVn1R1dvCm7flhUGb/u9bmnHqjMtzUAcAA20B+ZZTJfXaUyf2zzxnsVNTYCVJGy37D
6unXwbIAvJx6pwwSf8nG8rTumyHFRVHaqP4ttJYJrqh3w4OoYPc7/hzDlYPNwG3Wy1h5ng7liNEz
4Zymj1oemU9x1HXtVc3AmN6/ybuLMYclsRoSg7x5VlogXlU01+QEojND36it+GnuW4VUT8PL+7+x
GoAA+CnhKEKSe701DQIrVWTpTxhK9c4OR9RBJuMpyg+5u/b2xbdDVgfMkxwJWK8UaqmjKczYgR3K
o0BdwvYRSZAvsaiUA9jxXmpA7kEKSZaOiM8m/LCXprXLhC9YI3X1TZlgFnAqPZPM18lZ9L3ql5OS
n5Yp/3b/Y+5VMpBphIUa/hapPLq5BJHtKVkxkmXBo7082yMi35U1V9d0EDC8D4p1zQtz+tDUIvkO
f1L43EKOuJxg687OVVx1VzuNjD/UcCjsN7kdl/8Ohpj/u/8jd89B9gbw4VCFbI0Z/vE61TzeP08d
rU9pPIKuzZXoH0+kR+ole48FPRpQFgAmZS9ifeRWyWBq4/AolaEHQS3+4WJ3Mwz/OtgHVL2Ohqr3
tiahLUS6IBOAnK7X60st4SmZeNqzGTax0k6/mZIDverd30kCmSikhSZzTygv10txdWNalWzNblIk
GZCBar9BqS3sU1IjJ/IbPkE+FS50QIx3bdOvSgoMMoVB6Kel4QMkBP1DqSfGCWHD+HzfPPbODBSc
zLtArYA3XW9MCCeOzJEqsZAN/EhHw3oqTepoRZQhrO2J/I/7C+4dGpVNqgbAtUgYNv5OmE3vGkk6
wF5mKo9RrkMIXYp44ZL24cEjtffsQj0HywGFA5marDdHMu9Us8lalTDFS5bZvRKQDgrn4Lx21pEd
V0bHGGGkJ7V5lxy9m8sCstrAGo340Srm5pyHTfHj/pfbXQVMADAc8qybTisTPYVAeJhaZNF11UVU
sf4YJfroXf9/62xsnQoOyESewABo1uTP7lQD3YqTg/7drVwECABo0H7aOA3dbb5hmV4iNIRgg1o3
4vnJzqtJ86s6xy2JJs++q31S/TnOVTs8GFWukYwMMdP2JqiSP9G10o2zOlvdo6ZGShwU9JwHv0xy
B/emO/0fbalpiq8acfKpT8pcD8K6pLjQahCavhNtVko3OBvCF2FpLKeBOdqMMkNqProdqcS5rbLl
czvn7RFJ9M6Fk+N+sMSQkFA125R4RnsEOmYi5Ru5LrQBRTJ/MuxKPJhVWkLTPx/NN+1ZDeEgdvMT
Tr7tJGRhaXo1fBAB5Lhp4Y+j2vpOX9dH6fFOQEhpjslaQmkKYtvKg941RSpqlW5P2zKIpoP6J1pT
g6outOvSlnD4kRYdmOqOM5FTFTSgKUCS321egIXO4mL0fEwVTo+HMZ2yl471fOYDzNeH8JTDPdn4
gRGBKHTtS4acqgoq2D3mmlkUwIrsm0Ff+CCW2Tst2QKQvJxymk9azy8Rbq3oQleikqZdoyrfQZaO
qT9SHQ/uX/G9QqMMW2jdSz5vHtH1OpbXZ2anuz0M1MmgBrY7RR9Ejqr5qSwT+++mG5mFadouGt+O
bdl/Qrx9/iu1bUU7m1qGzsn937N3joRvlHVQO2IOYXMpQCzWKbBRXI5B7WqJNP0BROx/pdYfgaP3
VoIPDvCWnK1gRm698WZUJzVcUEh3qYj9EBrdLihms8kPERo9CLb3roQ8S3IISmNMF6/XyqYoyztD
6QKtUxztrR45DmBGkSrVyYTaNnvxUsXNfcj/pr/uf889J0MJFS9DR4XHYhOYzl3edhoqt0FsqUiN
zH2O5A76PO81L7JPTKbPv3GANEQZsnVojjIuv95qbCmuqSiCMCLXM19xFAdqZZj9a1uvD2x3d28E
mHKAn2rclnQhR/PazEarD6re7B+RcbJPoRWLq7Dr4dGSHMj3v+WuxQDkhQkO5ACtjvXWWqrCRLb4
GLMT4XNcKQYSOp72ZMTaUZNjb2s0mKU4OkUk4DTrpQRcRb2AOYAR4s66DmJOT3HtJBenC/uvCusf
xC0/79UGocBEL7UCWTIgopQ/6Bd3Q/Q3wnLKFERBk+dUiMH1/H6anuupXCJ/LLrpS7mY89+G0vCw
0riNX2wjK48uyt4n/vVnbC4l9bnOjKjDB4LPAjM+g5vwBVuwocTRb7wYuDuQLj9pE7YYkDg2BLI4
zNBA2DacErPUQHGm3aVpJ/N833D2fDlUwPL+SeGv7UuvqWMKRxoZcDwr2SnT9fENpVf1+/1Vfnqs
7RkiAkxVhIKKRERtztA1225SpoEp2Mqxz+mozRcjcZsA1D+jxrY7vrGMtHoTl+DzqmIyH40s6q8M
mraFT/lr6i9tNjjMNFB0uYL9rj6XoWU99uTPB/H4T/T7zW+1JL087J8Y+ua91mFRLKEbGxgta/t/
s8gR124pNZV+T28yUNuhmVxkTieuup61n8Hne99j08guaPOmfya1oRXoU7pdHbT1WB6c154V0sQk
ndQ4LpLK9Ycsa3iDNGrgQFNbJzk1Y+g+gNm0/ugYtz1wKjs1CxYAhERHAfqHLZ16RU2zi8KZi+cY
JMhTEZ0ztEpOSwI0B8Kkf3rmsx/qKTnynjubZNwJWDEEBQzG3dz4tloWAjgKuqKNqnPfTFx0KyWo
CzRjcrMDD7OzT5ijGffGw9C23c6imvC9jsJlFikNXdO3B8jVS3N0/LGpy7fAfvVLkqk/9GnsDtKL
3X1Kijfq8Lz2W6yO01XMj+aMJ1GmHEGaWMW5gdryqgr3iIJhz4tShZcYapIzCM7lb/nFi5ZMLs2G
1nDRSyN5aOZB90unHnwvRepY6V3npIXd+DFScDHKmCA9YMyvlnViZVqYTP1C/kYCsfXkIQiouKf1
hRhd/by4ffNGp3Ptl8Nhu29/v6RsIDakLMVWh9dx0wZUPmVYsWjKe6uMrBdmwNwnb0Q9RY3bzF+W
2QkKqOR9x5ids5uGR0/GTmxFVPW/v2GLeHUZ4CAdgU6+1rv2+6TSlLbRHPkE30H5NE6J97FLi+z1
OQCxKc1p7g15zvbWdqEXK0UBfER0YvRh3NCfQ8LWg1V2ogA52kDLimKC1HBZm1MESSsAYlbRUHX4
HMVplZ4as3feLeOsnsOYSs2BN9p5qZj9lW1Valuy379eUVWTbgg7lY9pxvPiF16rVr4ee+a/99+q
vUv56zqb+IaRwRhBZWqRdEDqyzgV4bmpQd6MxdgcsIDtbkkH5YOYCcnhNiDNtWiJVGvgPsCKGKRI
KJyYuT6qQO5ZIfyrsMtgioiMbApMtgF7ZZ1yVINJmB/poYx9zek8zG0TxPjah2K2j4axdr8iTD6S
44z/bts8rl3B1jn8rOhW5ZM6Q2jdW0iRIaIQH7jvXVOUhQNwz5BXbvNrbQE20ff0rewKLvQSNWXN
X1z8GwN3eRCVXffpNyxEUhQZzKMA+N9Y4ujCIx1NxExGYxQwywrzlBZT/2Ign/n4O0sRn5GwAEHe
jmRp8+Iqs+zJaR3yd/E8V0Hjpu7ZqYyjwe29E0PACqZ1/k+pWr6SvzwQZguTvKZIZ9VUzdehWaI/
kPSw3oylFn6+v6s9u5eRvJwRh6Bk++CSx/fOMMp2kpq6nxmhzr8qcBcc2MXuhiiDkdVCDkfevt5Q
ryqMmvS8eFTxlAvqHo0/Zm39MJZqeOCb9kyQ6RJQzHA9wN+4sYgIlZJJc3nI63yILnCtKw95m2af
F2NoL9B0hQeOY+9KAxNgU5LDhs+43lrLKHqEWgEJgjk1QT2o3vs4mibfpepxTmIjRqt3Cf+6f2p7
35PzohoKComIZRMX26lS1xMaKUFUZO5nxvxHBMKH+jkcYVS/v9ReRPbLUtushNw5a7KaUovqxsV0
SeJEeZdXjlL79hh7J6e3ireTUwKPxN15wf3F9w6TdxMqU2IHSuYbu1nqNDFrBZy21A56S7b5Prda
NVD1eXmb6PGRDvveZQDUxZSBrPSAb1+fpY5aIqywI7BwU2VYyLSmi9Kpr6d1QmSN9E7OluEpt+Ff
HwpC91HpgyGKtUfNrRG1yQ5pnfbsEnuU1HSUIYCSrfcSh3A4of2FXS7DDEZnns9pTsm4by39YmQG
qh4x1NT3z2v3AwJco1MC7AnQ7HrRTC/0NOooEwLdy651jwwFIyFHzbW9VXDBmD0lSVAfG6sIIQAx
7CSnsTEVNTAC9GXmPizO9/eyd8cIV+EsAX1Oqixt8xcnPC3M4FoCw0/h6PyWpOXkM9QzR76T2b8T
UMkxNSZFeVm0G2As5Pv5YFPQcGrXuqRWVTBZ4x5Nfe3dJmJRPKPBGDMByHpHUtU9jQeVASGl72Fa
N2UgYBXXusiKR8epooPbu1c1JgoAMSPBCqy5ecdo56kAL5igRDYZjGayeNdcSew3prLE5zEExm8s
tXVpllTx+8wuUaszw+uiz0da8ns7p9Ms5T2giKOFtN55P4pRz51xDGgrDf8YZp6eCqAuqJ8hQ6FF
qfnj9bYDn5lUEkHhmHmA9XqTg8TG0LNeqffVg2PG1dk26/abMObxAFO9dxnojEroBAwKtyrqSTi7
3shcWzy13iXyuuzLiIjq9fUbgoSKKAviQALJzYa0PI8NbWIUqg51xS+1NApmxSV6VbzfmGVjNIdZ
NixHkp9sfEjVjjHIO/i9UrsP/dQKK7/RQvE5n8f5oHuy4yNpIdA3B7YDjee24N5lHeUxT1KJxZZ9
MdKu9Oe8Hi+wpLWMMzjuibbsEU3hzoMqpT1Jn2Dtl7IEa9sQ4ZDkrtaPkC8o6R966hoPVSuGk9G1
2X+z0S5MiiYfvXAwDixlx6HR1gNpSHeb1H/bSa+BP9DNYz5QKIl+oXP/Tyda60FNo4Po5MYkKRbJ
4Uc5rWPKUb31Dm2BaHqSxBTd4rw7zR1AgYqm68t9k7y503IVXjcODmgSzaD1KnHWlFTvc1YRw/hk
g6x5VyIVciE4fImF8mqOc7kchAzMoGMvpG/r5aLcGFtRU1+rYte9KurQBoowU8RZNeO1l43GIaEB
JFQ4EN6EbRgy08EMq74OGm8ankyvWIJuTotn2LaOAnP5p1YFVpYi9qdRCTGv1JJZ70rto8IporoB
5jBKLYna8p3Wzi5zqXgPIQhfH/aW5rGm+O2P3vRqLj+5PDkhJKgMk1FgXC9fQO9VJR3gnwLCozOV
sualLuRsKaFY0JYNja92PgpSbu6BXJRmqcTv8xRs91yrLbJiRdQEUu/o1DGRfqkUtD2NJIwu9210
dylybgBtFMIxn/X+7IUnt7OMOnAWZ7l2qY5vsQnW69aZDx7bG1/Grgge4JqkVC5FedZLSf0qG3BH
HaheJFv2Rtj90ONymPyoNpWPldFbHxnLiL/c3+HOXQd0JPECMosEGbtetuGntGOk1cGkVdAVzILo
Iqr63/iOclskOzzfwKXXq4xI85L6Yiel6MurYSl64Cau5vdj5J1/Y0MSI4ALo0S6FbWNZkfxzJAN
6apTvxgFl5Rqmg3d0P119kyDehMYTh47eNO3W+opdce5WUPwlRRnt0n/mwYPYIrwjvpKeyvJ4TxI
+9gQtfz1x4Nn2FMok1SBrS3ugwtoxW9ST30jUqt+7RODEdK/4ozAPUjQ6HqpCCNRRofKiFUnI1LO
o3p1l4m3tDPzx/vfb8f90xBh4B2jYEZmO2mJCSQCEvMyiCp7aPxuztX0rU6M95jRwkxOtePWP16/
JM0BEF+SAvimP49AnJGwQTRQuzE5Mz5q+mk3Lb6Gdva1dN2jJvnelf51vU2kMOUhhymQB7UGzTxV
da+c0kmfH90hNOBriONr3WRHTEfyiLYvAqUMjF/jxbuRKSl5rq1ObcpAV8ryTE1cPeVUVJ7bfGkh
OtXrNxGMFCdjsvWDm3e7XeZIpXwI6SNT8M5mu05itXbd4sFKqMYe82gxgrFn5kNEef9Jzcbm0dG5
KvfP9PZyyOFVSgykyMzRbcnvPB3gSiMgaOC/Bn2IUnmayCN8HYaIVzsxrJX/Uc6AZInl1pdjqIjM
sGUarflkfe3ENPuTFRafitapDy7HT5L79SlCBMpsCX07QBaMIq/XSi07VxZ2BiJz6ROkJjo39Uul
yn7kU1kxEYhQ8Knpiqg/DZPWvQVuzmObMXqm81ZFyQ87zCBVcE2gsQeO7/bFIKkmLMRRMPribi9u
I6qmyEybz6AY6aeU4txJRWrly/1zvXUPdJrARkBsTYkATqn1B0Avss9jl8AmVXWmxRPF8ukee5+H
rP6uj7170D7c2xQLkqdTKQA2Lc3sl2LBMtut2VDhDFy7Ny8tI+DNe7TJ7SNuw71tyQFaZj0hMbmp
blLfLhcMp2H4uIF4rI/zzAdnGvml10XvukE5qujf8hsyxUMSD0c32CBMd2O10DqplNywWjeNo8cp
mqp3ZjVXDzbmdZ5NS8l8fdKVt0yPmJ+dOWSKEDKt7m04eMOPzPa6IMy86ltauvZz10fuc9+l9n9m
UVlf6iY2UdNNo5e81hLaV80hGOfWm/HrEdCVxVloHrYTIE5IymyYScscbl86vuJl6sdm0fMnA/HN
d57Tq29Kaza+z5riHSSXe0cFcEGi0wj+oHldm8QM/9bkCoPQujf/G6bIe+ctTXlOXPNrC/73qKq4
txyQI8Zv6ThKAPN6OaNMvFBtky6YUSr6p1Ss6WFABQMuCMP1h8I8Ku7sOM6fpGYOXpMgZlvST0rb
LHuhtBB16OJd3LeaT/XUfKzd8Yh0eOdhYCmZ5ZEBkHttLpdqxr2aIZYTdFYrlovbDPW5VMkRniLA
4U+50blBFyXJQWV/x3aA11DFxItS09x2YbSRigPd2i5I8yj80plM6l0Z1OumZ8uY3Zr6aZf9SNq0
v2o1CMHLfQcmz2vjwYkwqRHLBhDvwqbIWXZh7naV3gbqOAzf08GETN0tpjetNsYwrg3GVzgJSjQi
9DF5mcvsaP293TO3ADSPMiu9NWlvv3g0r1tCBq+7LmijOfteo7fhO3ESPzaOEp3cJF0+z/UwPtSV
c9Rx2LEsqbpOOsqn52XepBQMEFpaPw1dULuKEzT2GH3Q1Sh+BrKQf7z/kXeXohpDE1tWKLcQnp7J
aPomFRQwJQrGxRKZ/gB871QkYLzvL7VzP6n1SL4ZV5ZEt63RatCY0Yd9IxhU5Giui9KOPS+yBcRT
6+fi3OnxUaJ7f0kAVOsjdFMDNSYoPlFOduiO2m6YkA1atnJKFmV+Izpreu2cLkx5/7dJ0AjrFRvH
nlNFCVvA6ssSRHZLV6iflzdWZhw5hd3NybtJ1/cn89V6qVHptCQ0M4haM2F8S7whf7OIWkGaek5A
SOWe/eH+Ae5dCIRFKGaThOKJNnurY7tWlwQS01gfEj+syurRE8m/iZ60HxiBnp+czvLewYJwNN2z
E1tQqgBJKvU56E5t4mI4DrrOSNo2CIfMZqSwaE+Qa70+S2QqjQqMRAPJVvrGyc5NMRg2aXYQqfWf
VZkvbw1NCxnXnPvz/Q+5c+lQ76NVSoULeo5tAbTr6mqJBGmUHaIwCTdfE4wjWhHQ3h6hfnacKNEP
26KXx0jytmdvzpregaosgtYwhu40aWnz3A6M/0EMpHRPLkxaX2Mxlk+lWWZv0gGA3f293mKfZIuK
9SlwkRFz+ddmuriOcEqJTeCPT0j6jv8IQRWvUSrz2hoUarTYds8R8Y9f9rZ3JVo/EjLcuSmMU5Ky
EoTwG25oxVJ1nvoE6XazGPOLnZrj+7HxgCdP56Tw8of7O96x1p9VS4bNuSpgI9cbhg69m8KMDUNe
ET/nlR1/EUOXHKyycxlZ5WfRSbVItDdvRD5osUPIwZ6QEP4h1Mz2PaNo3npOXT9nCB+8ELPURH3L
kd/ZMylCOubNcQZQX23Dusmd47FVKQJEmvUQt7UblCmtpChJx4cu6RR6apoeTItRXRx3yr/e/7x7
h8moMc0s2U+jgLn+vHqa5WFtUhNINWPB5TjfG8KKC0y2/6lKrB/kantXlXYP/g6wImHs5jBB8phx
meAUFsxm8quu7J70MkveLVT9D67K7ZHSdWcVOi46cdd2OLZyvTYVDXRs3hjOH2PbCk8FUho+qD3r
CnV7HURJyARUyA+5/021223KjIq03oQsCNzp5kybMOqGOKq7wLEihP6y2ErO+qC0OFp0wHNfnXXz
wVlG6+wowm3OqjNn106UYXbJqtj01b5pU1+xCwOGQIWZH2GO/Z8HP1J+63VACO6XAgVC6FQMCY/W
J+/aUVolI0Si7RTNz/oiX6Ihq/yhn0oIsNz+zWK/0NIPvMgcY1+dbOshMdpXQ9hIMMDxQHEkZ9Bp
hax/BtQSdh1FA/RXlWE/9or4EXVIec3CzC8aNKjnNFyOaqW3Rs+otpwWkfxUDOLIf/8lFo0WvUqi
sGPKCUWa9Kwsk9D8HB5N9Qp6HUZIr2/n9Hr/g98aBbGvSZsOWA9ds23+BqjMMfKBVHtAgeRE8zE6
TcIO33dpbh1UD34iFtZn65CcmrhLHmA6IZuzHWauhFdARRUqvYmSURMWi9+Fhqf7Wh2PT30CK/kV
fcim8o0RLMxJlPb019Iqwjh7Rgq5i7pY7lt3aNvipDiD+DHqLcoUiju7X2HDrecL4sNR73el2r2v
RI6m3/3PdXtGnI3FB4NIQnY2N1EKyN4qzFOMckhz9WSOtnMCFaX8F1VxzrikKD7fX2/neMhOCCEo
clF32WZnKCfz552sDZzUjGz4MGvv4wLl4efWGvlsB4v9D2VXshw3rmW/iBGcwGFL5qB5sCRL9gZh
WzZAACQBkABBfH2ffKuuqhdd0TtHWDaVSQz3nnuGfx5OIK2hF8QMBwcv/vDXFailEGS3NVLOVTqb
e5kXlHzb5Ib8elhojM0DWC9k6xLk8a6HRCVIniSjE/RUY24uTmq7GFXvVun3HPPDpZvnKuddk878
no0DEHLnOQVcksSHwo0e8Qutbt+Mhoq7A46GEAa6NfWTiBN/jS7qvEtrGNCfqCD8saaNu9uaJGWH
eUY91BnFMUaWqoBdIhiEy3wEy4ggvZiC29dviSME6eWI/bvyUH7tfdDbPpwinwTiHiGgZTejVK7o
5Azz8r5VIYUmDH5w7S3yXZhAWPYg/GlNTONuPSo8/mHB90RyQb6yHN6DLbxvC5bSpyLITF/BpQyZ
GFOmbA1QrGq+Rw0TpP93fwUSBKAWsK2BVmH+8Nc3BIJpzvMKuDWrh7ZjyGXviWcj7JPb9qh2Xh//
ZUng//vrloUCCU7C/yFEXCQLf30eAlOqbAG9G4RhxT+W0ujjCuOlp2mDs/z//ah/bi30puhR4aOE
BgAd8V8fhRwAZiDyNId8M+OZNhm/rXfkcaJ33G8hO/m3Bvw/M66/fjYM8rCqcPBdbpq/YzvFuhfg
PoHBu1OCNNM9t/E9F25wZ4l/cDcVBf25wImXHVDBUvak9rkc+xnATOzrirb0bW7C9oarepg7iekv
vS2tzT5nbazpcLmYd7eW4mkIM3AUPrDYPMDyGY2+8Wy7HhMB+zh0W3noraxM2q350HK42rXka70U
7IMgZ/vVZHaiHalGoo8jU4F10Qny1fLRzT1IMfrXVGzjSyqm5NvqwZCDp8TWfOXAH8fODmy5xuRW
xcMwOfvMRJL+BtccNt66pSJ29T6hYL+8jffcle4rjN+qG7XI/PfuEVlyqMo4/ER9Z/UxC8h46bRC
dO9j5M2I6Ygw9TP3avmKiKIIHD2hy9jrBdLy21FmzVuEwI49TAtPSTdineqX6PjGn2palCsMDhYR
1SFn6USe6Agf8b5F2YWNB7+AG9W04WuxcrL2SWH8R2LHYYEyyw77acYWgAcn7IPgy4CoSnlwIJON
QDWofFbyEjtdZtQ9bPBpSjs3wb2uyzww0tMMbOLVJQLt64TckLWvaLmLzkH2cxtdO29PLsTkyBim
YP+yvv9+lF+M01HJYkqOvQuRxt/W94ZtBjYwSF+hsvomW1t1B2WIqHu74y/+5WGXc+B/r+3Lw2pc
tSheIH0BNfKvm2ldoZfYHckQgJqqPihXnxrq/o3k8w/q22Wyccntw810AfBI8dfHYPxeGqj50j4T
E0+OU8PCLZAmeiQM525n8za8UEbcbeXNAvNc1ZRbp5o0EX02ZebfmK3Idr088a8fHGUbklLwbV48
wv/OzYSDYD6EvUb+xISy7rV2KvHgi5HWwqe8Gsj7xpBxWy7lRQqYGdgosI1M8QpOKgIWp5MJK6gE
eYK8d71a/TUg+r0AX2rjIFGwaeOHvLWy7hbtrLiiiG0AsqXXNO9BKFnpsyZCFsd5yUfe0TDQ7CjH
CqkbCwQXx4xT92T9wvDTil+OnFYtXbM1MzuBqBh9jzjJfeoc8fWfLR3MdG4LP6ijSNrsGSdFPR3V
GtpHmy/h+0hZGTszUDKczczWDzJo/dQ40/7wZYItzumCL31j1RJ6Xs3lD6M9SJ2DWdwDVVDUd2wp
MvdqvYyvNNfJNzmz6qGGqVgKVZplW58RBtNSM2p5l7QtbOikmpAPXpp8vhWcB39Xpq75mK0pdyTS
2PF64XFhvYzcpKfUNuEbBn/r9W6DACFE0uzVlc1KusTNsHqUbH7EEGkWh8Ai4uFM00jaOdfMRc/y
WtxDCo7VhWHa/goxfH2D6ACUd/CXxgxlnKlrOoQmIdFhhaDFndFawYFTqj3eMjVOoIwjEKWv4bnz
HfsBv2EOMsCNSx1h0NOOiB3SKpm3k2HlDmFaE8RLBX1MdvCSGPRkHLGNna2t1AfqR/7EJlQtX1xj
7HcuUrhBMyQSvmHCNzVdoPn2bYLVZAI6ZJg+03SJ1dUM6+LYy2RsPsLAbIKKZ2GyB/2BfACs3V+8
WpsH3iAHtt+Ttf0V8cu/BKsR4AAPjurbOmdi7NOkbN/SECk/LhWn+rBPMatBG6I5bHqHQiPPYGN0
7feaskeXTTzvwwoVUYfkYibAySnC0I3V3i5f57FZPn2i0v0IRrx+AL8MQ4diyMjdGE0uD60zY9FZ
A/EviIlJmhzaZRYnOybwi7LwgihOmC3Wn9Oq9t9o4mv81yZ3xXqtGgJxdlSZ+4OmYrJH3oT4RqBa
2d/qgiHCFGHsydIPk92Su223xPQ1b4Q4+KGunuHfMrw4qCHJLZH49jr0zxfZnF0G2JBO1TCesY/Y
F1v4Bnlik42rwJ24+jt4M4/tDWHlvPV+CFU4XrR2vNtWoabjZCr85nzafXE9LWH6QBzuEjpT18mZ
ixUJAvCp4T+HMNGHeWuMQvSRTj8IaK11NxYFe3Yb0pYhdsjLAzYE2sJkI8tTmRCV9xXfi9/eqnrt
SgelThfg1vKQ88ZiiUqvXhikyPkZRlPqVnrakLs6oyBGsr3U6TWSMkrSCyEHIjo21VPeE0TM3hWt
QfhSEnLs1yDFl4le4LUgY3ilSFCjIPWySncjlZvv2wDeVShybVCHZCUCcmZoyh4qNETsivpBP0KV
X/3Q01bbbo2Ic+kvaVX2BC8b57vCYlHdlKKQTywpGcrywun6fZEsP4/bgCaKsLHo+VAx9+horobn
HAG/pl+EnRWsaTHC7dAaZc0hWX34Uhe5bQ5woGlWWLrq8FJj8DD1a8EpSDmsUXNXIdTcd1kQgzol
duIQNDWUx9ul3Ky6GWMpfiUUbeu1Emzejwj84enJNPAv7UFkrtsDxVcWuyYEhrSoPdm+IP/0otwt
B/kAb3IwSXJ42pgbSE4rPZwF1TPvZhbb8d6ziv3BpKKujyDy78UpKR2MBWq1pz/ChqluB0eTjRxs
JotPdNyoheZdFOfoADv2FyPDJziSjLQ3mq7g5NRbDYp3LhSQxpKs6U2SzC3DVozF1osImc59jmWn
8bdN+0XzvH70dVZ+Z0O7DVdR6616ghzYqZOZWz6eJmXS512SuF+8K6fHeuN4J0gH4ohJGVTEss6V
vhY5GX+kF3uZHgml7rn0Y8PPSLOdws3uw+S6ZB6zr3G0K47mPPAbD4tPgnlFPn8Asys9zKWm7avc
YW7ebbFeV4TAISh6swW2ywwNijmNpWyevc0Q3xKytSYHEIljc1QOxJxODSTg4cvU/LHBEQvugZm+
YlumvkPuS6Kut5ymv0QZjb6JbsyekapRuKNY5upGwmFPn7VSS4MvabZfaFWhekxtXsXnzQp2m6BE
RWVB8VrYAi/t65pp9ZoMSbrgQlzGH0Pwc95po9Of0NcOeUfpvt5bimV+2AL8vW5garXMYP6XZDgR
3rZXVfARgiWk1dpuUSnCcvi2+rbXIP4c3AT9yAG8OFvettyusJQXOhgwvIy8wGPt/t34Cx+8zdb1
HfyA9VHxbMddaS38HaWjqb6ZM40bE0ljwzdUmSWC57N2nvvag6x8sw2eD32JPHCN6iBLblCmEsio
sOqjOiOCb5YQ7A6uhD/gPsNhnghdIgJ6Lb5aa3AWDtENn+DtsrxLTKnYtXHDnndz4dX0RM0CPeAc
fW7uRQN7k7eI0nu4mzFR4R2mK7FF8OUkLuQXnj3KmI1tVxUjdccd29r3zGeqQGewNtDxqrjbrvI7
hj9uy+cjqGhxAdqxLPsVLcXOD6qex6+pEoJ20sz6cUlk/cOVI35MVIzADyjY/VELqCN6xnBSnfTQ
irYDj0C8D4nQz5gol+vRy6wOJ/ipbjkia+QqelxOFKb3tYZYZK62XPRoxe1JabYDhGA5TzvfBKwO
u5DtXmcmerB4QrbdZVlAp3iRn5Q90YZ+QWg3YPOMafolSTI39QyMmh+BibY4eJNS+MDrFK9pT619
yMyc1udtsIO90QTiifdhGFDJ1cKR90Wkydoj27L+aCLQj0NOFLyj6txR+LQNit3D6502HUBkt90T
Xrq6i/hfQRGcgV+0a56oLsx5AeCDDUm5H9zcbLhWdCrQvCO9E/eoxSfv2ZiHx9rtArFfNK2e0Fg1
10vutqSf8LRPpJcy2B4zOHQshSrUqRQ5dqIZEAF9lszlwykFct52VFv6CxQCiH1RwqX8pZZ6KY66
KvS7yGo1dqL02V1b+YjXMmbFVw6AAfZmiUyuYEmUNAeX+7I44yw3d/XFJKEze5b+BmBAkE8ZHEqB
raEHExTKprSgnF6FZhvSXhjCba/JRsQB3hXZJxQKyeVtsAxLNyvkQdKicSd4ukxfipkwZIju+a67
oh1M7HIo1r9DEYt7Qy4l2NGZQvoBbolp5v3MRLPdFjigxG3jRZixlxdwTWChV9/EEUzsbt+MpSds
SWv6sVrjfTktOT00jqm9G0CSw71alxbABghmW6+80/zsIFN20GEYzMrFQpAjzFzjr4Y8yepTNk/5
O5kAA59h+INNYEKaPqM9GuSxzqamveMSmYxdStV2rwoi5bXKcFl1uhjgPksxNXlJF5utR+5i+gOZ
azY9UZZbexZqM+91GjBKQg/BnsiGRqo3HEZwHWk3jWDVZcfIYE0RtMSqqblBZV1AjA6odDwDuEqq
g8HENIVZe4G9O3HcNyfMaxLeVRezNgT8IDMbzdxcIVvR5EtXoucAWoU8BIsiDyKUHtEayyttCb6f
BRZDHwuDww8WJ9+bPnW8QUE5ke9yyVfTK6QE4TDCssZVDvjkzgYD77QlXUDSyjGsSoBS1GbvZL4u
91NQ0ndmrCM4etWidN9YrNu+iooUp5IBQegoacEYx7uHcAtPZr7Tm3Y/FzFUE46esf0qKtdkqCBt
SYcOuTmVONNqA+EPkx3doAxDHmcnQWt+Q+FcolArK990ZmPFLz3BP6zLkR+1nJrEaPHaTKHFRAOO
aHVHiA8eCj4NaH9sa3V0dSGX4wxuIelARNe6HyHjwXHWtogfsTEZl7MahvImFkHgY8BvKjuPRI5l
X8wCsUWxmGTsoUwMWV9Mzj+RyDe4zIFv8dswVil0BEN9Z2eD5JR8aqYaVyAsqZ4ojvFvjqy4QQTW
ZexkrOIdTgaU1cVsUZog4Tf/PUlOn+04mY8ljsl4V0i/J3CXI+G48QLWNRfFCu1FW8u31O+76T3d
8gpTpaa9FWwnz3gjWdFbtAEnaC7y+jhMPnxlYgfPRYKxlvWlp4XoA2H1bQ7DlQqbK9X3ZNtxuduh
mQZo2TAZPdCtKhWKLZ0chE3c3reLrf5UJJL2luiVf+UIHsHbdz58OIfp1EGuif2cyxawVubL+jqb
S5/3zVIUT6HI9gmIn1F3QaYLyJyS69dyZigzPRN4zduK8KS+Msig72yRj2s/BU1vcwMjun6DwLQ4
DIGPqvfM8BcPH2EDvqsF5WVoB8dvNXcbRW5Ntc0dcM31xc6BxKNfeDnfwFue/Ob1UMrDsGq041W2
sfpqhxBsPixDtW6dlW3yFqfczj0BYDif81G7U5W7senIVEFGi58AKjam6AQWP86ui7UPAtuu1cMB
y7P8iauP/uCJgHmUDdohPhzn+Yiwd7p+ErO6/L4eo1qORbtWvwOmJEgOjVqhk0Zh2i1SDOKwtQKI
m0QykMa1PeJHYoFYss8sifkvZxiWcSrExZgAGoAFE5Jh/73Tgd8wsVYa9iSwgek9MLF3m5SgVyIN
fsRGS6cEB+PiyjeYRDZ/6mwnyLXI1oYfhA9LfbeN5fo8uYp/g1lbpQ6DTxfZAbhd4k1E1t5vZAGs
1w0qrhbJo6n6laUy3XD/DsAUnG3cS663gV2tKcR2Vw0tNmzANEx/xi3fxFGiMJMAQqfiI0zK/3C1
mJMeESepBggztgBh1GbD1UXrpjuiY2k64ktvete4+jmxBFMSOEaXIMJSmNnh5qbznUJdhcNltvkZ
KhaksU6GFXUHD6Lhj0KkAO+gEoAv9wT2+eeKYKOfTixcoo2SkzqANOUk2hmBuwjLH/lzYbt0PDxw
bw6oypQArujMw1bTEm8DQXjAhGqfY5yAr3w7pcaTj1R7DAmqVvi1K4a5njuBc2Y62pCSP6aq0E/4
4TLyhOcC+m4xgNaM9YXfe5yW7SuEJ2zoGQqolyToZEVhEJIrgwFN00HzZnE5e4fprIRpRVfQDZm2
C0r8r2Y0BaLbg3efycTMgzID+zXKmb6HfRi+O1TLwKrhAv1mMtg193Ri8W1Hhjk+X5lAyarKZu8K
+IawPlfgBtbozYYuG1h+b3f0OBCbQrZ53EPGzh6Zy1/sPq9f9mYA3LLoRUg00wbXogUA7Q4Jxw3R
w9lbvzY1Ila7ks3hGec1MAQRku2HTsr5j9HbrCFXGmrb+1jKqYuw7nuGoVfxQh2V1+gG3B8S1+IL
xw76HfQM4p4CdDKj5U8B3ba8qCAPMmm1dRQeuk2XogdFrn25N28GnaHvOOCGH1m2zPwAVkstjkZX
KL/hd7xgskKifQKOsyvU1qvwPYYyk30maEGHm6KN0AaIfCy+WV5NTy7P/Y9WaunvzK6aDaPJrSZd
aiqm7wbLm+mI9ht+2KHd5sOwmHa+lhgdfA6A+m9bZEFONzCVrJ/hVXYxmMPYUfew/mqWI+qX8SEG
7Z+p9OInVObbLbzvKO/LlRdvwyrbvZumCQCywyj3vl7izJDeVME6GAQuuXSLm8j7OAZHcYJWOHK2
vfKPe6uA/mdlMtkrHMX6tJYjT7oqpzjMA+4zjMjSOUn7EWf2c8xwbUPZvAKbBDOOwNMpzWYApYJN
X7LKuv0G6Eb5ElEtY+rn0TgfQ4ZkpY4Bgo9AHFW49iMw014N6YLlYxPA+OOICLxO2H3Ket4krTru
axHG3joF37McJLtHZQs4frG2lc1DiRHiH4VE3LfZoOHFXrxU0nyXzTWj4yZQsqVme8ZuADiEuBz3
sDAxWXhRV9vYqxY+ub2Utngj5YzpxYqsiMv8JZmyO8OL9YYDyKDdZiHXPe+WRXOkw1QrtNRZwNBz
i/rXtofhDaTc2Rzgx8fEgXKCJIHFuhKFAebof+i2hbvd+PipJM7U+3TONuxQaL/XM0phf0PinC9X
u1HJVbWnzGEwVDl6Gre2nc4L6pcfbQjoZQsd85OmhRkPY2nEM3Jkk8ey1uXLglnq0DlT1c9QLI/f
zLAlw3GSNdHdkuT4L8OOXPK+In5Ca7iVFFBA2HF1WPSNpC9wkMsDX+mFa7ysl1TJaV+/o6gV79w1
uBhrmmiG/d9gjgXqr7sCNhIdNK4FNoiUAt1WvacaNozpBIMMaVAotGT4RQtPlm71IGjBVywwhYlM
vowdNOtz6EClz99QnlRfShXqpXeqCTds1lnb6Zok18rva3m7VWa79m50w5Xac/42RgBJdxw+j+bE
YNE7oNb3aFHKQpNvEY0LPxIA3bgeBACrq7VuaNvvGP2/wQ6IiBPUZzM5OLUbfsIQlz2DMaWQq5IB
nNJz1p7BnXffiAn1vQ2JxJBN5uk1yP1ixoTJYiPIsZV3GeZZa5d7OTwleYa73Tq/iOO0TvQHA/9P
d8ZbHIxIcoYmrFGxHLsU5dQL3X2GMlJNcj1Wni7vUU3gwFqNU6OD5aJ9g3Ax+SWwAH6tYDbwHjML
+lHKXDwuKyqIPm6mwHwcpi5nFy0wPj7oyR19xRakHvpR3ajJJeyUpUty0+Dgq45wSCmnw+JrOl3J
RcWxrxCeMHZ6qHDxLAvJ7spydfUR7gSovdAFQ8Kc1wM/tTZnc8+tya4jgHrMF2bjzgKTMdI5HlC6
VqPfGoDsZp2An1UlLmqctqg2GNh9LY6fHcPiVtzXdm5RHpGYf47gZPycSxi/9jJTGWqCFY4WLRtw
aDs4x/cYvy11187UPm5jHLIDdsZYw8VjR9Rf2bq9PFeZShmaCB7f14JsaS/3ai4OawLMB9VE5kRf
z6F8nxU43bcc8Ut5Z0E0ud+Tvc16047Zo4+XNhOHD+G34JrOrxTRIBdSSZ59ISiklw4jNYx1RyVv
/KXo6WE6lrzUBkYiMMoS+aNCtzM903yMnyNID831XE7urRkG9lSZ5jQwnS5XIcm4Bdpuc+AC5S5L
0A3a9n5t9+0DI4tGX0EjNd6iITKfiWI4GWzI8S/kmORPcYtLi9rSr+CKoh141LiKkFTVRGC3FEUE
QJ26VGg5ZcGPl4bbH5iWzQEHK2sB3mzOXM0gewE90grmFzsy4dWdVQXHYVlu4mEvafhmcG1/KfBy
BnC51vzP3HBUvRe3vLu1aOdwxmecH0shNMpYESiQ8gJ/lw4Iz+pgRQz6V1StQjtaY5l3iLoooYsd
PTiBeLHPxUaB7QPaJ9+rUKOCyC0dfoEbAbunFc6foqth0dHeY8AL0K+ZSgBUyLch6WHHCiU4vlUC
QRN4JvaRT2xMu7mCZxiS36uVHefJrK9li8ywW4fBxnLcFeRzaIcrqHN1FTUSQ5CM/QNsEqlPe4Ie
+5huApdNbjmL5xag+xvk0cUFNiboXHaPkdPVDtTKdesioSXjNmPgGLF6LDspmgYYUIK7A9dDxaZj
GSeYCqLoy9RpiBJUyGPauDY1XWG2nZx8sY7JwwjsGcG2WqpV/9bcWv4QWLMhu2AZJAoe5FgWO07R
IZf5UamQgIDiGSid9sENGE/vfbUUxr0ZZ0w8o4DRLOkELcBtagPImzCmy3nykq+hbOBGn0tQpDo2
VjgHj7XJJvGlYJXxtEthL6pgIbqb4rVE+O70YKYkpABicOmUV0taQVaFWM0cVfaUJsl7ysdtvBZh
M/Xl343DfMvhV+FeqsxHlFpJE5v5NwJGc5Q2GPvhGatuoWTo3JyQDW1+3NLsigSZb/emBIiOiYH2
0x8YWfs49xgnoxE7WV0x+oe2sUZ+dCkWdbtMiMd9l0heWT+bDHfnQ9rMtOoDjOfDV4xbbPo6+gq1
UE/basy+zYkmaXVSCjPCK5p5j6HyUsQmfiZhvhB6UM7xHxOos/KMx1hME9kljnvHlYhwgo+iTFJs
7qxmOfAyCUthGOQ3tlxg9TSDoAAEBhMVuDxIfDsQTyyuJleeRJe8jCSfUWm4TRMMS6i3OyjOa2qw
pQh4F83PyhRV/dNVjazX84A5KeNdGSqhFyBQQzl+6Aa3zGeL1pUeQxOK4TYMg1ofyW5gjt1D9wbL
b14HWt8GC8nGeSi8H+9SdOjluUHCxnZUgM7jc6Xx+89d2mBUAAt/JPh9soEF9VrxNAnf6R5wbWBW
srdXFusbH63KZHsGLO78dbZ6XJk8zTFKAby22Zs9cTB1rpZa+qtl3JAlsk5q2HBVukU8gBDFzWne
ajff2JhGcfRkLOR3OHtQgz53aewRqGeZXllQTWInpj1mhyLZxxqzDIAt/U7KqfmQ2DFf4Akowt2y
E3QzMcX9elzDClsE+D3v3xwL/LcNMbPXFQ4BeQilpN8SZue0Y4nf3uCyyfJTSFv5ZZjHwnVQzyuE
LOH6K49wMZPzd7ZIWqPXKtpwxTR+qMe9sdNrhu3y6YgR5JCC67yfQczM3iBAAsZEgNm3nWuBw3UQ
1SRPmKQydZCNiN93U89foIfOXveGpTUapmU4LoYPE4YIqBE7biC37TBC4fcTeu+nBu4dIDKXy0g6
WlH+fV3YkvWe2NV3o9b7x5jHfUMh69P0kLnc/NphSv6xORluEhT7CrSYubp2Cwzv0aRVx6TAvkDI
pbwuhDDgDKzxDmMgr44z8+XtjN2zdTF3GN/onSKgtxw2eadqhGRuaBvQRhZaj53nuUZGAAbjmMwD
BPo5xiy86lnXgE9r5aeDUaC3HyLH5PeLwIn4miZ2ASYND1OEQ5Ca75hrFCAhqKwC6YPj230dDAFp
Ws7efoB31HyhcszkiU20rr/MSP5+Nwi0BGGnDOSznb3cAcaQZT/QnYxTT7Ygj5a14eLtIGs4NcM0
TPVbQAru3bJmG+w6lBmvfbrxqw1k5vmeQMo0oKUmuL5bOwHLgJ0c5jUwmwT2s+Upv4NonaheOyoY
sOcF+b24+CcMPg2ty86Q2n43DHfTMewj+BwCrTtuY9ki+dZFul8B1mLlYWmWkd+CTZWMSDYcRnUc
aHRvETSB5Yg2cv85Vhn/BSP7puk2TsLtCOMnf9qNGb7bdQNdueFcPK26HDC6zJsZvMU9rpiyrLm9
Rb+E9hU2/O39Rd7A+mys+NqD6YM5DIarmPaufkLygR6Ru9ohcHTBZeVVmXSGxvWFc3TGHbK4YJ5f
o9KxhzLs4WkVhdf4SgJJO44TKHbM1gonXtaCcMX8guO8bWGtfs4Aab5jsA/mg5cwpe6xLAFcizjo
WxZQYh09pDseh9sllJDEwXyTpihf0zZQ1eHYx7rJl33N7xJt7dClmAR9MLZUCj3eAkr3vFjRnHAY
NfyEMFV+cqlOXF9jeJWdVNYuz2Rh8cL9I/n9zGz1BGsd2LyOMw7xLomy2Y982PenAdTcl2IwZry1
bTXzIy29YL0B6WA9UkJZg1kPioxTYzEVv0AIgPU9cUwDy8yIOWX5KMaT02UL/AcNIEDYNfje7Zn7
PuHuLXuVwQfnHRKLKR5MCu4bcDdes2PK2wEu6XWx3GKSss8fmYjNcIxl0vyo56UpemOm4I/Y3HBP
EOM0It89LG15bdJ5vfcBKVc9nJCAsjfjON3kcwIIm2fo5E4oEPKvhnj7G2cohltySC9gEZDtFO1n
yJreCoRBvwlh45UAlUIBg00wmgU9SL5ZbslrFmBMfJvhvnuOY1ahHvi/SZr/4JWBLQ5bpQauRylq
ur+bHk1q3R2KKuCwWtjTGDi59uJfn/J3KSxMfmF3BAdwONO18Dz6GxMeTYqpxjg1vdbAoGuFt0/m
DNwnCU5H2AvWD3Aj/5eP9g9+3uWh/6GDQpEJRPHy9/+Lfu9YhpuIwpa6RMrwLXyS55cZEQPnESP8
//+jkJoMsi7co3Cr/F2wBQeeTO1S173OwCsommE9s0q6M8/M9C9eJX9n1V78ki8p7f8JhYAT3d8Y
enzTE7adb3oq9NRJirQEWY/DeRei6rSL/yZi+C8L5EIYRiY17M3ADPzbq5O7jhQUkhb8gT2/VtGH
6wYH6b98gf/tU4HRDE1rDvvTfywQiNnHWgbR9qDwIXB2AwO8oJk8KE8w9hWW/Aud8r+sjQw57jkK
eaglMKn/69rIwRBfFij8+7YyP4cylQe2gWM+/A9nZ7bctpJt21+p2O+og745caoeCIKkJKux5f4F
IdsS+j4T3dffAVXdWybEIK9PvVTs8N5OAshm5VprjimrS3iQU+8PNCK0KjZ2ZuOqSxSJXFM3SuL5
ZEDaRxoCnNucsPfC+3sj2FumhYdOjxlhw1dY63Rrq7W4HfKZFEESv8pq/ZauDW3buopx3zdu76d5
HH5o7FH7TGVRBjo9Mo9/vJeg8aHn2+TMRFGzvIrfFhxXOweZBi+1a2md9xOPVhW6tAzjT71KNMRd
y5R0ydzh/mysBtLTGCU3hqeodJ3e3GAxQD/ZoNb6l3moL2E7304VAwgkNS1ab9knvdWCU2Kto3TC
FV6Js/EH9ROKmxNMhK8I7ZJLHtNrwcbyZItW1zYW7DxPePwK07TTQsocJLwczb2tnfKpoUq9I6r5
Sfar8NFXmNss6ocLUp63GzTjLoQO1t/S0rwa1x7dViGgZz1YvbWrsevyG2k6u8Kr660S2ZOvaoW2
Oz9fTj4sjsXMGZqNEeAcPyzNJKPZZNSVBMkMtOy0utPjN+1GDAc3wsyaQNcaOkmB+//x8udxFyOR
RV/roAA6Hrk0GwyCitHzQ2MuPudKUX6YjJxU6jAOxf35p3y7ASDhhXi8nH+cR2twTGJ0ad03HmOV
kbtXh6nZazN1hPOjnJqlFjdapEWsf21NH+BaHpJGddhAR6tFMVxRt5JlcTPRH3/hBDo1Vywd5Rdi
UmepBR2/vDnzusaBwOR7dGvdjWIK70x6f75p8BjUYC7NcNgQBKRWcP4RT71I+He4oOGoiIx2eQW/
bS9KqpL/lNxs50Evvud6ZBXb3BPGsD0/zloqu6xBhJUOgk4L9pixOhs6RcP7YLI9pARIBUHAsuJS
oW2pSCCfpIEB8xlp/WppgrwbDPdPrSqX4dnGLYfKJVzUtfW77HXKsxSX/RBItm8Ca9+kuoPh3JDC
NlTFJQLfqZkDs3FhsRrk7dd8zRgIRzohY/VdqfY7PGDeh5gGbfFHcy8cUpdGWr1YCKJzMjW82Miu
rCAvNAwf0izcFk1tXp3/hieHWjxadbAV4MZWC5x0Vhi1oen5ppKYPwBV4IRuJPXnOokveZS/DV0W
a+3/DLU6jAgwbEmhyfP72ANWreMnGpE/C/D4tmjIxFvy/KOtd03dInBZiA7qK+HZWo3H5QaYm8xk
MCiDtkd9NNKaNXm7bPEOMIyx3zkRKRxjyrsLO9n6pb6ODBgITeFy6q61i6ku0TTqugzcLnNfiqry
rjKqv4DxterCGjw1FMRElb0Z2qBlrvYYG/B+PglVIprt3Rda6k0fWcRH0bfKpWvC+vstT4VcbOED
L24M6/WW57LVk4guVsUYb6m4aJ/bYmg3FCfsD7mbX1LFrXdPhlvEuZBi6FkEeLl6Mk1IjE9crw9G
JaFH0nb31qtoAg0FRdOq4ndQvbvw5dZb2jIo2wlxmblc9LxVEJpYfSOcis5MlyLn4piTHXpQJJ9a
tMI7Ig4rIMlTXceycZ/iaRwe/3jKEtLwFbkeGTzzauH3EUW0dipEUEyt2ItsV1UfjCKSD0XsWgGl
1oqWkerSQ5+YQyjzPdBmHtxDVFPH50UvCeYZRARZm1KnsXVl9olQ7ZeoTeglOP+Ipz7rosY33QWA
y2Q6HqyRNIYQmwmEUkbie4U93FVt3D2E2hTvREOzmVJX6oXPqp2Yu0imwLSCH8TcY00qzxMnUqOs
FnSit/qdTtqWqotrix+5qLxD0w/DRyees+tUdPp7bnj5F5LCRtCg2G3wv6FUFnpFQmYKuUYQVqGx
0TAXvxRBn/yVdKgtAEF6TNdTfuSSjqt0SlOyikCvEe68YZZYhzZXukNrW/nP89/i1Gx3kLogSKd3
QV1Hd4g9y8KwBxkYdEUr9CAqeRgYdDTRLDOWN3ipJlvUS+FNluTdIYR50e/O/4JX6sPvqrVlwREb
2TjdA0WmheJ4OrQkOfXFwSjIaru4Ie1W7Bz8zw9OlGTbuptmv+qEddupcx1YeUUbN184aKTMKKXQ
4HT+55yanFjNuMTZwCLMNYqHBv4orHRKzPMQFzfFJKb3vYq4QomtH1kdOdSYxubC3Dw1JsgHYl8g
sZxWq2NqyFV1VoZIBCiDUt+c9H4pRQnnfTq5fbaheEc2oQhN58LJcXJczAIWUiVtCWtHNI0q+ByT
ZsO83LCpH4hyAcdKfEippsTIZhU13qVZY1745CfHBW647HIIuddfvBLxmEirFIGq58bBSTPbpq1Y
pDchqu9tX00aRRHEZBf2neU1ricaS4sjDCA2AMdlLfwWFA+090rdQOkBMLP/lCRjt9WlbX06P4FO
rCiMfZCNs4DhRa45AvSS5pbw5i6w2yoNPKhDV8gCaKLoohdky73f6aPuExoY8PylcXV+9BOvFrWm
ioGnqdG1t447iBOmNtNiplKe2jepTde8iyfTngi1C0Spww9oukvAnBObFoOSTSEqWFTsq/nLSQZp
1uPMkpIaMuQUTueJpHrmhInvWEP/52sU1JG+HNK4LqvrM9LtFuCy7YrAzCflprO79n1MZ2+1U9FG
Jr6ai2g3ec708Ofvlps/IR0vVseK+Xj+CBQTFt30IlDkLPZTpRUHYdVqgMrWfdDpV0cg2E7v/xeD
mqQ3dNAoS+x8PGhddImaW5zMdhZXN6NJ3rt1LeVnVNfjXi31O4x1p+zCSjkRDhAGMIV13qMOgf94
0ClMHTs3QxFUYdGR5Dbko8BjM+d8aJGgnn/CE0E6xhaoqZm1DLa+9PeCDkLZDwRcE9piA/nYtTXM
xqNCHXMjUG/7Bozuncjm9uv5kd+Yj3L0UAjFQXYBZy2Wt8fPqZYzR/zk0U9EpoD6xNTcNRQhXxBg
TLu4NrBHNerW+unWYY12nR5lmjkUXb3OMf7+RDWGhkR9KOMtXU3oBc7/ulOrinOZhUWSkkvE6iNY
/aAq7Nyciy7Nai5e6YiHIvuWyri6CaP+T8l+ry+D3DUZWGIyvDKOX8YUu5rTNFxZYknO2hLQC3SS
k/tEF/qfHwALH5i+UWuhF6/NcKgVGV2MHiwI6THfE/J+LlnlezYY7i5ea917epEFf/46McSFewdC
H/+d1UJC0lbZNHHLwCoqcgVaKe+HpJwCL6SxxMTr7cP58U7txDD2XM8gmHNxgTp+nW6p4rs5lX3Q
m6F6GGOpoaHvxCfUjxrs6SK8s6squ5Q3ODVpAJni4wLycqEmHo/aJ7E3RGgKglJahm97DZ1leaJs
aQxUFiSBceFLntgpDDqETYPviRnIerzaZQem7DwE1hRlt7WVtF9a3Zz25NOyb+df6IlHI1MOCo7n
I+VrL3/+2/FtzeQ65zkdKEPSfum4jYOM2EaAqEiav0HFzxfCshMDmqisOcSp9S1sv+MBy8pEgYJY
IsiaKNyV9vBcmIl+wCqthn5U1Rcm6IlXCU4Tri8VXpgS62sRhXRJ3Vcdgo5NK6CzL9vT12DSXW5f
goe/Ut1WodASB+GABuaLbPJq47NjWsfsZBwDkcbTwTKgFjSJIt+nMtW29iA6rp9q+ZDITr3uavQ1
VufN9+ogo+8JJOwfqLpNCAdGe+gXQxbHsMLHKGzlncul75r5kB5KRCyHKMrEJTzZqQsDOgUuqSQd
rbcmV7NmYKFJ/1tgtV1Fi1CIEMvSR+sGi7ryS0UnB1HsNEZfPc7jq6pJ4I7QKqQ8C6NKEIUABOi2
5+fmiTOMagBlMo1Yx6GAdTxVVKUCjNoyVTRbKDQbFe5CX+qhstDRVWtmdpgVr0NcWRkXLnCnRiY3
TyKbWgSkovU2Y0n84ONoDFLV+YXhhEnAPos7FOVWoAk9/2J3fbIZOk9eiDRPTFdKINSVuLIxXXX9
+JEj1F+lqLUxAIoe015mZxs8Ao3AavpLNtwntlIo28s45MLhm6ye0RB5ZHAcjjAbwqU53xyKPZ06
IzXckebGaW4PTqP3Fx7wxPJfdhosKAgMVH2dQ580S7ZZhbC9niCcqHTE0qsNruMwD2PJDgDao/bP
T6M375TZTIBpLbUJ0nnrGwql/0obXTmx+pLurtPicq9X5rCnlfJP64I6QzFhIVQQxbhv/OjqNO/t
1IGDsTRdXqO9SzZZ79JnREb7QiBz6qkgTRl8QRdozfq0L7V6Sl1bmQKkwGToi9aUvkXTSkyb0pAH
51/hcowf7WxABElMQkknwUrj7Wolushk6IQFm5DQLn1HBzal/nmuALCcH+fEQ7H3cOHReX/8zzue
/loE9CBqjCnIezgIJpov9C/4/EZe1TydH+rN9F+4iDahMTs2V49XtuVvB5+deSAIloQ5stXmIGRX
Bx3qyq2QyrQj9T19UbV82J0f9NTzkZ4zFpwsN4G1GVYMIw+xqkbTEe1rcDP05EM5kbNzBM2x/5uh
DCwIlocjVjp+lTa6N42uxaW/SeBSa3V0LcGfoyXec/5Vj/uvn+N/R8/Vw78mQvfP/+Gff1b1BOIr
Fqt//Odt8rOtuupF/M/yn/2/f+34P/rnff1cPor2+VncPtXrf/PoP+Tv//f42yfxdPQPSCDQBb2X
z+304blDufM6CL90+Tf/f//wb8+vfwuw9ed//PWzkqVY/rYoqcq//v1HV7/+8dfC/P2v3//6f//Z
3VPBf7Z9LounNlv/B89PnfjHX5r1dzZyEPCLlQHBuMMHGJ6XP3H/TvWCSin98OToyJly+pRVK+J/
/GU5fyd04M+4m3Ar5f/++ltXydc/Mv/OX8dmTUZ+SWXijfh/f9jRF/rPF/sb7KCHKilFx198tKBh
ttK/A5tfJ8JcpGjaKgqrykyBlDIP/lDRgu4hft2GSL+DKWmqw2/v5N9D/z7Usmb/s3e8DkVXDZsG
N19aC9Y80CxxwplWj9HXDcTjDKfvkqnL3o1OX76L1ajeD22Rf0rr1t3X0CwurIPXPN96fEIlsL9c
G8jgrK4ocoinsIhm4SPCjeIHqItuoI9u4u7oY0SqqCQFLRweyJIUkoPdOH4cR9ojPYTOT8Aw4QOe
O62zbYG5ADcA4+RBpmmdZhcCYdJ2+kxL3t5hrb00NLen29KOm9inHpdsWyUvYj+lSk0zbtuUL2NI
388GRoyjIWRr4o/MH4R/rdmEPyJn6r/0vaV/ogZU3noIsEUwlPkl5zHkmSe+COcgLR7kYwnCl8nx
29Y31dB5Ac4Lf0g8Nd5I1dSfyt5yks0EoqLYKKltfoErqD3lHTv11sEXiobeqkYuY89G82tGWqsD
5Q6tnRLnkY2SOap/dtpYczHqa4SnVpm6ziaPIivd0zdi/NRG8nr7yMrEx1DoQM/iNM9/EGc14Hp6
uioPrqirr6OEQuAndjh9sBrUyaRlyOdtRhvAHkjKVvxM4YF/7OA/FIHCUwx32iTjOwRojX7dmXVs
3YNES7OdikFfd6U2Fl25SjrChaWVxJbb0dZFG2SDZ0+btjVjaMCoAB3fy0rxpOZqAUXQnrTqqpN0
AN2iSnAURG2G+z3UaPM/VA4dcEEMwWbeJe3oOFsM1hJnW85SPFIqiaIHo8Ruyg9pan9yWsRgB73S
rXE/OGOBABzNvY5gqkQNCJrBqDd1hygFyVBiom9pE1rBUitxTdRtswWTdO5NKTdG6dGEAoVHRSg4
D5nxrldCz7npwrBrkDrY+YfEhnUQOONr96mMsGM2XdChh0QbPf0nD2xbNxMaB9V3TMoA7zNaE4db
LupeuJsTt052IFGQn+TMisLPSIPlV6Fh5DmoMiANYDp1r7wHJDxnm6pIdUCa8UDfTJ5q7b1ul3O1
NTCL9XxIViXtvGHfhT/kbMbJzhSGE/l8pInmfaXBxGgePBOZLI18oITKwgW/nKUwIU3JoatkgO52
6G3U/sKV4tRmhC8HSZfFGYC72vHU76DRZlRFhB9Vjre3Y40mbLtr7jNN72eEFwLOV69Uu14F6Urt
NXw5vxkeh7+vmyHutktVAIcpQoDVqYwUJEqo6fZ+jdA1EG1l3ugY2V3rqMv2aAfTC0ndFaL7XwNa
iwUCWUBOjle64W9r3V6QH1yV0LaWyDCFCZajHcv2Bq2a+ySbsT2E+mxuhTWmW0Sm6lXe1MaPasgq
2qAmDL2KNMx3s6UYN9iuUqk5/z5W187l95H1pUSFup5IFnfq4w+iF/R6N01OVU4JCUW8ydpLIzWD
QQV0tolGeLcpmo1D2ReOB9BAh38hzHlXFYjc8G1SL5xWx5Hu8ns4qwl2uSZwbr9pMShhTxGfStXv
0MgSMqU4JZJ8h5h34cHfbsKU4GmgoHvaoSxurTZhrc6sQV1QhHE19A8xCOg0YDszCOXNznlGazSh
/cSQTN2oLUoJWDYJRzWytirfaHJIJwREyP8aaza0nbTbRt06gBf2hdKFBSCgwuou/Oa3k5cyBDcO
vFiWVOY62UfjseX0wLOQiM71D82oun04hsUuccr4EWsUc3/hHS0f/z9H9xIfY1LymnijPWIpwBxP
DsXJKhmRGfahipifG9ppbNTDFFZ9N8Llzm7IEu8LLY/uUy/LPg9Da9iboemUC2H78aQgbiFyUbHt
IBFA5vg1lPv9wIxnq9ZorEYY4yrD+9x1wUijM/l44XFPDYMMiDZPF+MtpuLx42rDUJtpnzR+xca/
wCJL77FoCvtDgtj4pzTrcCe6dv6EWKZ/F0alDpIRIZ66MVM7y3bQ8irtUI3NUyRnaCrnf93xzrm8
A3JbhI1LR9NrAvb4x9VuqkPBiBu/HYrwqoGjFIy5Fu/LrP8UySwNXLhP2xBjxRt16i919p4aXaNE
RGrbJne/dhpIWr2LTGmToZxJoQcir2Bg4U43b6Y4woZorJTbrNeHYqvVFL1pjRu+n3/+4/X6r+en
oqIy9dm4aUQ/fn4yNjFBHnOgL9Ny9kVNln0j0mZ8qGr0KCFotoM+dX1wftjVBrmMSwPBK9+eXZJO
pNWJYTQQz9t6IDWSkmgLQjSDn/JoIbf1BslhYjUnULpKu7cKO7Vg18TDuEusJKMJ28rnesc9GKfu
87/qeCd4/VHQgJe7C5xbOmdXuzZzRIUShtJmDnOU+xBUr6Q6ys9mbs43fdy6X86Pt8z83zcCXgIl
LIpnrzE8Jcrjl2+Msz4rGaeYVhreNlMUK8g0FFlK64rHAsvSQEMttQsrz77w/t+uyWVkqiqvI78x
/561vMzdzMD0EbnaNrLCLAidMb+ws66O6dcXSr7RZJMjGYe/4+qFUkW3c6tpez+v4+IQ5Ul4a7RG
Rg+0Vn6UudMuZ90P2UENM4sO6CuNN588Eam35kSmqSuq7CptzfKJ7mn38fzLp3b09vVr9E+xASwd
RhSyjl+/rCQqLIQKflcPD+Rn3PeJMgJIKNVcbgi/MRPIa1gGdAAQwN1Zsgi8DPvVVNm79Kxnvg1b
8wba1EJ05IoI3BLdLBI7vNKajZYLG6RcJRIfZpJSbesoNZxtTMX9qx3DLg1yHLf2VAvzPRN/fjAj
70tK39E7Oi+1EMIPiAJuMYnDMWrlQFMJ3F6AM8ZfTWXEYKREoTgHqlWTkC86tS13EJ6mn0qMk3Ag
Ble/op22GLdzAWsU20Wobm1pW2xp7lRDJRrUe6UGurkpYrtvNqJkcMCrLhAE9Di9s1VFmNzrykDy
ras1/Uqtaq+jNVGvIaqhaAHfkNXW41Bh0eLLoYHCB3NMj/xymnoFSwKb7C63A6Pdl4kmumuAPWKH
RlrLt4TP7sscueq8GQfhfbI16Q2bhovbuEWJOiJkEk37TO+lU/iGVVioV3IluS5TMlpmpKA2A0Un
Po70133Nw6R7BvHfzHC4itLaWgjonulR8sKrpefZ3Rjd1FukEMfhB2FbAkKPiOijatKgs7NnL28P
LHxErKkaZtEudfVQ2aCqnu5LmWvPEnzqDzj78R2X4x7pJlDyzwgCM64ASWfekrgvuRZXepxskqSC
rQunwCj8QpGkpkJRZJmvj6rIAjT7pbapo0UPPQBlgoVlw0O4y2HffS1y20PlqU18UKHGGTrGULbN
FuYBTlC2Q7tCVdfedtQQCuPkaEHpBac7b9pJ5vx93ON+TTKbP5sh++mmH6zwamw6KhzKMAkQ5/XU
t35jKR7fL+/Sz241ySc4Sx48tlRVv8Ev035xjVhcTrRifrERln6FASTKbaaO2ng15RMomFgpjY+t
kjXfKjmo7ysUNO+VfFBzBMJGel1UaQQMhALL5Ove4I3kDubxTqBn73ylNibniudyfiL5yr2Nh0CJ
NVaZxrWVuXa4587C7b2tDNkGem1F/U1k9lwPFbtz9T1ooyja9dyEui0SVBtYj8iA5oHfqrh4ZuN4
lboxvvXUGjHblNJV4RDZWQuprM8kc5Oyh2CDj7mWIsZtnuwiE51vOWE9gK5IQFFASVLRHUM0fQHA
Ej+5FYV93xpn6fpTkrl9UKiyorbQk4LiTZL6D7Iuku711NpggZosU656mCyKn8U51HzBOf8jVMx5
3DhzY9fXPHk93snJirR9BjdQ30hys2Rj6jFVtwBnQg0ygMHdfcN5kHZ7s8Z5ckPkXaN2FLbZbWGo
TuU+6ZgnwPy6yNjleuUxsUWlf+XCPqTYMobGXcZkHQHaCLs46HavYhgkUrsOwlkN9S3ycuOjJwsR
bZwo8+4qvpG75R4N4KBncdd8wUS8a7AK7gDilpgiN6np8hcWkf41StwMFKfl1Q13qdT+PHS53m9t
IUkV5WWYfjWNvAJ6obhSuUKR4nyvK0AkWzAp2s/RFvV7Bd595ZOcduw9xFqPbw445IbOurgISL+g
hbZblN04lbCUcpAb33TFcF+E54VfC4D0H4GQ4GrvECux7Ayv+zhNs87vnusFJzUqnrVQBjhhOsdV
vsFpJ9wSRuYR3MSW8QCMZS52HIOWOKA1029FZNZuYM+8msBCJO8PyExIIlBe/UBX2Ghtndbt5i0R
aRPDcJTDY42qAfBGr3VTgEuCVDcgBlsmyAyEIAEYXjNjRVxveG71xlCb+aEfk/xRVYdywinCQBac
iRaG65jHUXXwUlLFvlR1YwxcsBsHQ5R97Hejrd3VFYjyHVmg6KDNy8yHvRD9oi4dwaPKRvU6YUZ4
2yJvNfNWm0yuVZ4oPNTDYa8oO1fYBFpdbnILBR3+Xhn08lmdjfQLf4P50imhHLbp2JTf3KIdvE0+
w+nZJmECwIgO3DreTq5ZbfFtAbVsxKrBjteV1gesdmLjZuxVfSvpxirvXb0WoV81BqlCFfHxhzFs
ps8wl3vH51o/foGBNtbXU8dkOZidnLIAQa/Voz3j4r+lkJznB8BQNvkY04QOyD1ifmHn1O68NOQG
33TuEG0wyomS7ZwaqMNlraL+H0aHgKptQogUapXPcjd06PaAFUB/0e/lYMrhXRzb3QPCvc6Ga1rZ
NNqlOXyVFjwnuvGyLr6X8+zA58hzjKv9aZwV2OtaS7dC0kSFcYsAFWagllZgEaLEdJTA0NFw+lNs
uaPv9nUY7ipV9sI3aw0m6KTF3TUrxza2BRTZ9xlMlJ2WJfbnRp+UD3OlzeJqzovsVkcETV4VdC85
VkNKuUfQHeRDBQhehnVyMMOFI9W1H5IQy1dwSvBX5qa7Lbyyey5yTIW0Znhoe+5axDTXNeT0Sx6U
2tuLi03nD/QRqj70Q71axvyWf8krlif08AH+DqAiQpGqjnw49TW0R6vNfgJpl7avp+l8n6IkLzaj
swQGMFJ1sYHeIzt/wlEFDEo8ACSanVh+x1oN4IdoFIhMaAvgRHTqBCmKTE1+0YiRisMq9F7qtfx0
srwUrozVHbwZtRrfdXv0vUbtNoZrpPt6KjwPey9N/FKd5tFMFmJZrGXtFUkl9WdtmePHxBjJFvfg
ZcdLsfJrH8XxbYAshElygN7mpSV0FSyLmKtCmWXShzXjGte92i4rYKiMJ1rPybyCxfTqba4ryWf6
ZYEc1m3WuL42JOnnQjVk4g+u1r/3yoqgasAsRlsWMmojcjKJe4+DRfxMC1+MCVKO4GPjQd6fuOHp
/bQMORHuKkr8axAYfARhPJilrwPZgLZv1PmPpvVC7Xouwe37ieUoB5gEOYeEpsBY7PspfIRb3ldU
XqboY8h0f+pUMKFbEUnjhSyt+i2HYU3h2GskPM4yxPZSHcwK940Z1oZvglzNsLVixlE0d7TkxobQ
8ylPRiSvIGvbbzHVo0dDywoMecu+aclNJ+Ue6zKd+E4IpwlMkuvKDWhZc4bEL615Y9tZtMnHKXtJ
urRByJ0QC2wG4gkI7YZZ5NiqqfY7NCXOd7dv56c+ndI8aKsWUCh8QzwddFOAyrSI7YqgNhwYTpI2
P3CHcqh2dMTDPSpUoB55JJsv0gOHtIX4URt+IcjJ+mXn5d8jRQIRDq0qB9Fr9dredbrsxSZOMw+5
7M2dIGhkK5oN4MAGY9dwvLM69MFoiXuwP0m9IS2Uv+MIczu/UWvcCccsBprMNba+JT5F5RJW0Kg3
gxdX3oUsyduLMb2zi4B8aVuxuBwf35RAUSNig9zjj61b7bSpwOcjNTgLSswY6rK9JI5/ezMjF7E0
5lJIROf1Wur5bXvBwkm1hhZxdaeXgB+FknypANruNHwrogvP9nYrsyiiMQbZSh3J6mrZwWHCKyCs
BMS1Lg940pH8x0wEXjvKDTntMtBFriJVTNU7u7zY3vj21VrAjSzeKl6GZIqN41erTXquhiQ3/Zaq
/d2MZ8lemVpza0up7mw7SS9kgt8mfNCQg4pYmsZobVyLRupxdoesI7woxyb66taT6ZeaHHcuAcsn
PDcHIsPwkrH2qXeMUIIUIOgItFLLS/jte1IWavsUNKbfeUn9LvdG5Uvaqf31nKgCQxhFXilAWT5l
fa0HgOC0P39mjLkWGT9lKYzjV3kWpUxcUg8xw1epQgpc2IE3DP2hNy3APLGGDcGUqVfn8wvGiYdm
DtNbznqh0WtdlMnMHiBH2Xc+zMD+V8kUMBEEtZwxA1xCgWGewMNLoWQR7rFvFFCPvHh6ioUeAkch
BMRntdbbMhjFHO0azUosP8ylvMX8C7yg7rTcSszBHcQuqzXlmwoM5UXoWD/gJQJ4IU5NX87ZFGSV
Z9wiQK9QnwpHlJsC5KDtW11fgfYp3REmZAEpD1pzGW1dStaj3zVTaGP+nKvd3lOqjjIcgKwNXksj
JvMCY7ILy/BERoreZYgRdHaorMNVljgtehwY3GzwJTZuXzj3Mwsu8mK6dv6znMi50R9DqwJpX1Ul
73k8FQHXuyKtQ+knAsvcDdEs9wh0y4Gsqvfh0qrpE8ZD5dHb4dIzvl3rUOVfWRLqokZYS4LnaFFG
A0P2cXvU9p41DkFkptBbPPzCldS7pLg+MR6eZktnLxEFOI7VO1V7MLmg+4UfRt58xzHeJJTex/Be
sOITcEF4o194vW8/IwVAtIF0VZHfQZZ2/HpBnS3AaUER3oYWF8OObTbMZ6e5MM7bxUXaxlkCJm3p
83gNUH/bUfBO67rWZNd2pi55YM2nOxlx4YuAVn7F44guTwLxK/KSfWDgIPhwfhadOKCQBzo8H1J2
mgVW4aOq4sGj9nRf9KNwdxJo2oMmcQsqVLX6en6oEx/RIidNAYVTipztau9U3Q7iVjrwpM48PcYy
0kP8eZwqcLG53Vhx1n3+8wFdqqo8HFUqunOOP2EuFOhllSZ8NwML61IYOYRkDz7StTq9a+whvTCe
vpywq8CXjiK89yjoLlXD1ZKsysnubJU5A6kfAmnWlJC4C6BP24YGsL3Wad68zwY5faxtS+k2eeOZ
nxXU9SCzIVenvp2lcb0LrR6SMapIBRPYyAREao3yA1xSjDXUelpIZ5VXq9sBqtylesaJ6YgYgqnP
TuGgkVu9s0LGnTYZJJYiMsDXrRyze1xKyAM0Fr4R+EhH1+OgGAHmG8ZVro8YJpz/aG+PdTY15Kpo
fygoUFg4/mgRqTQJIYJZgrWN37qFsR/VqX4RYWaTPojGja3SjnF+0BOLnZ2UbleDXhp6mlf7S41s
SnatJ/xRZ1LCYCfVFqfzBS7GqVHotFq0YovoUV0tAFoahKYDpPCBls7vWyIkkJZOfXP+WV5JHqtZ
CM/AgZFEpEI/12pJs64ckirF4JO++E4qub2p4XFscSrpr5IaLw9DU5wH8r8kzEUDkSCJ9bu+LKYd
xOkQi8A+b9ULX/Utfmjpt8URlRZ2apQEqMeftZ9brwGBKn0RKeG9a5b1wZ3S6rPQasDetjrYAXoj
qK81XgffmAQlNxV5SVt/olq3MF0WShWvf+FIHf+MUkRGnPQFV1PZmA5GLab+qcsK/bGZFh4xsEPl
m5MlUMHVahyf3bb3poc8ibWfxM44G6NdcS95ap6Y8TQ1ULqmgKjzilavpus7t4AuRwuIEj6VZjRd
GZ1tXKv9OAdews1woOfhwiV9ec7VHKHXhFIR+TtKZ28ahnPFxVgWd0eznFNg6rAu6df3NuSGMejj
LAjmtFffxX3f/Tw/PU88LUJUjlWD0J1fsNpgIqxr2tTzsO6oMvUhprp6r+hTQbudHR0mq0WaXqbV
0/lBX8W1x89Ly7ezSOHd5ZxbL70qKaIlR8bSs6vWxT5N6uKOuCaptx3nawjrD1mwD8mTgk1IbIhn
GXaOcOLhBH5xRh1DgKo249Kf1FhvsbBBW0z/lszHDdltGMu032l3tJ3RGJu55nMsLLYvQwtJykTW
aO3mxiyUzUTEa+9RgekjZ1833RZz2F04Z98e6TQ4cKij4kGRyxZ6PMeVPHfryiV3CNPV2rdmlgcE
VqAyw6S6Ov9e3wz1et2kVxHVPh2va7PoLEyLNK6wbS908XFuFCDS7WCRHYsv8djeTFhOcVJJS+Wa
sgmaq+OHStxiKrSBNBcZ/WQ7aE14VZLr8VVFq7cjUKxtY9TdB0Mvu935Z3yjl4T3arjIoaj7Qi7j
NxwPTX4AoU8YYRhu5+pjqcUoQify4a1rV4d5mu0HaOwA92dKeRRSjLsOu7v3WtyYGyki5ypLG2QN
1bJ9nP9lb84TOvDRaCCUfG08XmvDVK8wKh599tPRDm9jV9o3VpQZF8hfiFLXmwURPu3QSz+yQ/5/
LQG2MqkXTYVpNXzlCeS55imxL5w615fGePercPLqqzpaS1eWNcKdDst0oFRqVFBpJ1J+E2aDCnhR
LyY1s6HTuv3ujZn7o0qrUQvicijdW53behkMmao+KkrT3+NZKpqdlUCZB8c9Af3D+bQKSRuqZuVr
jWLHV+bQ6HJDDle0OHBQCKL1coaRPnZF0+60Xrq3XtqEJWlZstyQUmMSipMJmHnTDaC4Ma3tSBYm
mfzWaRptn3rR0s1kOpD4NtQU52eJ257tV3EeqzdtLHEMipqMfPzQyq7nmquq3dWQ2eDIbPw1pqva
U0JKduz1yrYeDNkdJGVR50PhwrXfzsBGoheA4dYnrxn7X5ZbzeUhLorU27B/1fQZti3WjOw/tbHj
4krBrKUnudz+H/bOY0lyI+2y7zJ7p0GLLQKhRWq5gWWWgENrh3j6/wR7+reuKjbLuJvFcNFGY1tV
RiSEu9/v3nMLpfrPKI+MdyZJtJUoERdsLYcJXd5WRXPbF33E4ICSSszOroi/2W48X4Vn2l8YzTbW
l6SxAEbPfTNQ+htZ3xk4G8dlMnCLijar/bVT+WW5Kua8PDMA0tMD1N7yCsPWNRw8ZtwTTl5syRaU
UPHKmK+FkAp/yxBoDmR1bKIdpyM3AZ9MX44JobGz6vahhMCvbesK43FoK+ocNmNfLs/XIrKna+VJ
GsD+xWywcDN4AVMdKkdwmTZROHRjfRNb0/jFM8pJW5cEzd/7JaIro2nq4kkMjWOvZdZ7grbjzKQL
lSPdtUDN0CJMcJBcgxGHr9y5i55l28GIyx0cco3kVF96+SZral0LrVRrekZ7bLhDrOEYEppsnir2
nlDyraRvu1XEUZ7OAhZHcm74GVqWAb2lRcPOZODTlXjGlHetVmRzo7Pjz8Z4JYvyOi4o4JXvm76u
KYPWvXHGJzTQ9hjJUrMCPYpdcyvzcfqsmfaaJ2lE/kYbnM5aw8lu0lMlHAXMOrHa15a33G3lSK9a
5bIZzhiOypdUNsYjjS0Mjbt8ioZwEFeleCTMfe8XhnxMKcRy6Mmqo09aD+rPblGjgQ7tO68FezUn
gDxOrxRPGH5OkYwzfX9eY9shtHHyAFMXibCFJxXjNBXGExmket22S/OFA8CwLzJi6kFXzIp+ESLU
X1BUBYUd4IQ2Jcx8Jv+2xS9GdT028XYkwLqRTIO5xLOo8lWJnIgn3cMOTfMXjySo6cb/aldO85ov
yN0BpTcWThZDr4/63Pvf5lHFvAscqXigabHNwop6ZmC/SSkZL1sOcH8TR1QZ9p6ttA2NMHZypAQp
u7D9j/qgFRXGPLRhOrn/6fv4OuwwMKg6mHHcnxN7VPMUMNMRe624UZSeWQQmRL38bj36dSkkfWhi
72Qfw2n659dxH2GjYmrJkHgYGZu23C7vuQ6yVkbCO3AvdbdG7qljbdXzNpdV84bXgHumyj1qNq+m
sMVodtOMYcbAfrNlkvxWV0I8VVyG32GP/mr1dEGPEmfxmAj9cgincrVTTHc12PaWW25io3SfSsdj
YJEyZjsy+KOWyHWm6Z4XD/xRxsv7ssmSu7GMs+F49T05jCj09oUxSPpPU3qs7RxyNRdhkxEg6/yP
azt70LwkFDKuwEObnz2j+RX9Ht1bVcnfbEF/PQHBCmHDi28ZzM516Pjjj8JFQb9g1I10ZIxxaBDl
zdh1euk3VBHnZpj8ZlsNNC8yLYrPMpmqo2LC+5vD4a9LORFiNLs/tzJUlf90NrTrymTRZNxZFIbY
jjPVHl4zvZl2b10UE8P13z8Rf/njGH8wjAAGyXHjx+88KVRIz0ULpYjYvMRaUXxSep/B9r9Gm/wk
+s2z8Yt6we+YWQvXlO0auZ+ftr4Zq4zQEuQrg2wypq6ibgPYnfO51GS8jvzI3Y2A4O/Jdbvr1otY
+/7+C/9yurl+gCs+hH98fr8/7RUrL55H4N/TSqPvLUyGwj2Y7eJ+2Gn6TdH48zpJy375+5/56yac
n8m2DL3GIpdp//SlNXoHCqOrplWUZCkTtKTeT9hCsKLG7m/ecPZfXFBdJzuP2/KKaXOvn+U/1MrI
n4WkfYDTW0sFDtgKH3zh0FrO2zj67nB0pere0B3yeGulNiqtoyXJaYkilnaebIsy7Hi4NgEbD72I
cQWROFmGrbJr/ckRAPGDKbEvxJ+iO41JOxWJNNnCI6laBAGx0Pu8lKaVrBw8htscqe2prH35EUEt
w53FOfk4qtI/L4kCNm9Yih7KuU+LWy9KZxU4U1e6YQ1BejvZECLCNDdjb920afkBT1cm60KY9Sex
f1a+fBoB7c8WDple0IoTJKIgEg2fRFIdbsbqO9rzCBqlo2xy1Y9AYs4KB09zp6DW0Wvd9a7P4Esl
rKiECX8nG/zVpeAuczjWQvsGo/XjpWD00JM7bjgRTRRFFo5xmgq+HSUZWLFwePxTMgvqzRXczLKG
euXxOP/488jhJwveJDYwvk5dDp1CUJYSt6YzhzdbyI2t/e6V+Rd3NlFjGBt8QSgb17Tnj3dbYgud
5wnX7bJcJha0IK7N6oJTpvsAqJVtZNXpoevo8wZJrMVljNnczZzX2tfmHb41b61SanNSUaTtb95t
f/nhWOhh93LaBgPy44cTzehRpcOpqKGW5cWUDP3TXlEMXzvO8ptz9l+8VnDd8mxj82C2+nPyoB+K
UQrT5WfRJkm5XtOcILlrR1ym9LU1ldxG+Kt/8wX/JLf/IJpwxTlpgzi5qvYQoH78hkNF94Cw+YaA
S4lENbPjRMeSZnFrU1uGctigR3GyccfceJGNID7pR7UW6D1GyFAmiZpPPJEscxS1OfSn0efypaYA
lNYNjPkvWLT6BxsJDupiZzXTZika74a/03LX6HLwiWwwbNu6TqvvWIOZEQ5C9d5vXmm/SoIc7CEx
AQpncwhQ4qfnSPHgTtSk6ivPGdrnBEVqg4BbUEesl/4avkdBHs8UFGfgXJPUPKfYFGkrjCanO7WN
3+7+/nX+66n++nngaficuTXt5whaq9eRj3ka32ZZZwm7WOYzAaOj+DfnegLJP2mAnOUNQGI2U59r
ZedPT1dL/tSvu3FcafGc7Aadtoo1MKr4bnbLUQ8osmIhHZ1UfiwoQH2oO7RDYScv4o90wsAQ5JEp
90kb0UJoVU5xr7G3cA8N2BzsdjyYVLS683SHcjS9JLR7taslGac4sDopEgxXMopXEUH8YxZni7US
pVN95eSrf8uMyeUwrtETToQ3PbmzL2/p1MJO64i+izaeRts5G8ioedGXGt9W5uJjW2Ejcqj3oG9m
M8sm5tEwUoqp//76/Kmf//BY4OpjFMkazyTLIin+42MR966XRkltU4FMy2HowO18FQu9tlhiFoXz
0NVfEOeMe0/YPqa/TLXFAT9x8ZhGrnOfKasEobxkwGQipmzDSURT8VFSsyHDOnMRKnw+/bB2O2pD
H1w3bdw1K2rS/it7+P+xAP9Hv+rZ/50L8JBX6iNLWI3+BRm4kgT+/CP/IgMYxh9Mn9BNCTLB+Oas
9W8ygO78wUpLgsdCXtV1VsL/JQNY/h+AABnfgnO+Pk7XIOf/JQNYQAMIp8EUYB7Dn0F8/gdkAP7g
z28Ig7/G4yOwGpAY5TP+eAN23ZzhqKsVsgQn/DdIQC5ahK8pbS0UXtoVZgsd2dl32KK1pp1/5YaN
6WdnqVRDtRuTbEbBwAaHjT03vC03b/o+c4LeUxqOGX7sqYQudP81LqLpuUg7isO15dGu7SooKGIN
u6kuHhe6l7cjhdur2XSzb1TepUdlZfJ1pIzoPm2J2nsqPhXeInZak01rt1XlF8Oa0W9xzz7XqrM5
fdjiLqp7capTl5om/GSofi6jWoOSrhU08PZg9eVnqz0DXQqy+D2XLkFo68uYlrd+diutZyyqxV21
qGZtm4XaL3G3cnDHfq1js3iwumS6GbUhGa65hv7i1rr9Gc/KuB/carlzU+m8lrOWlaHjGcXWiP15
V6Sjc5cSnN/7yukPKQbG6xS+P9SmB9oRV2s5CXelDam3iwBmBbSFOZs21rDjDLTSjQQWXn1lWJfI
aq4G/LArpnGrmAluKHYnMWp4y4XJy9PgXuUSQReVYqssp5PZ1OOxMEYStIpVdLBieRpsSmmiaxFn
Z3/RM9zV/ahPt3SNTWdlFuWJSAymOUvg5bOSW8+swaSY2rTR6ii9GzP/2bj2B0+t5h2HouMr5EOO
VtV1B/o3JzbE3cEpsMJprfVVeHztpGXj7Dnlo7CFffYlx6ih6qctubvyNBl1vbLNNH4Zl5K0hkOf
QMPg+ylN7LdGi+1bgUaxEo1rnrDX1tsI6mgwerNPZLvsqNotmy9/ltOMc2HuMnsRB0MWEHhbs/oY
imcHz3R8LXW5g3JmnEeTYkzl999rH4cxHZeDflPMUUYag36lic+1Fs3QhRwqNQRNm6A4JOv83ovL
YTUpBVQ3i8utWhB15/m6sFI496yP7vg8KX5xJEW1F7NbnmwtV0eN2elRlV1zoHJVbQxbjCGlLCu2
IUlQNMjD3oiyXzOpIhUyGeMhGitj45jSeq/Nsdl2cvZD2dbaeZEN9KY+WbZUFRoY6p3oJq285oyA
mvYYhCFThLAP3q610ztbz4ebqqTpM1B0axMHAXHDH1ktUxLH+4KCyaDjxLkDkubu8oS+MEWR2U3r
T061oha6ekZxm1dZy6GkZF6yNhZDhvFkuIfBFw6JFVjCbZJEBFRj7ui0o3tcGc2GCuL2S2+V5M9r
nfIrXJJPFvP/fYRbnkJ126OtGizOXtdacxOn2dvo9hpe6ZKmrryBBRqn99QB6yrQ6tH/yt3z4acC
eWOZhoMcK8ADnafQGMvuT6ssObWl3EoLkbXTqngzLc774kkA0Nos/PU8Cp1HJJWbQjXNsXBjfz/a
mXY1SaB6L4uThQsi/eOSCZvetaW7KUeUZkqS1UFzQZLKisCrkSh1JE9QHCPDSimG0/1HJx2boxm3
hLro/eDXJGYjcCJDYLc3QE1WtbErx8H6kOUiV5WJguxPcUs5WFdvbJk3R8+ojQeRGMY6zq2TsVBH
5znJGwPne9z5b4KOtnVdZSBKLVFjz4/lXmTxA3Oiec3JgG7TIll5LseznEc6MMbJJDimhjBnDh3Y
6F9hO7to8rCR+Tx0lcek/U/koDw2apb7aWXz/ITEgCmjsNwHOLcZwSktPkZXTHs6jKTPWIhObeFj
vmTizbRi5u1b1dADZkcjKJJ+QvSzLNGtZ9fYiMHC17ujkF6GTmU4DDTdzVQ3nxbo/WpTyPE0yyHb
yabICOsRbrk34JLemKTvyH6Z+0xAQnT9eu2rlmFAT1NsliggHK0ebVQ94jvPDeaP3fgicOKsNfAV
+OoRfyObYclCy1mc3rIdDXCEXNXbjKiUbpT7wbHBnwDw3YEWfrC85AbiAQqdrYx1Z2bFZcDFcDsO
SfyigcdZD4Z475oFJ2ZMDeOApLdpnXINJfG1tN19Y4z9rp0N/zBa/g5b1gExqX9wl3SjS8q4xOju
XYZOWBQ0yor5twggc70G9J9AXWyqTTyKw2T632lhvCUwQHEhWIQA6t6H5sf1msOqfkmTpj5YTtKE
bmGjebfe8gWKbhp6Hc8piSVCYpzaYsfOTiLTeqI3EVOxwiQp2GB0aY3sTdYqXluiMB6pa483Gq27
WT+N3xIL/wujWInjM8p3C6D+t8RJvFNXS3ctHHcOrMY6qhpVo4pUQ1cp76opUfahYiknUQYXJ16y
5uTVw3masfi4hc8eQb/jIePcI6mVNxKGGu5y0b0svRloVyRZ2uvrylDmfl7GEnN7rHcbT3n5dgJ+
gru3lnqQ5JX87qtIPdm6We9ya6Q+dDG1SzXm71VnmFtONe7e6UZz78j2u5IU4IGXI140+ZX3wIQC
By9OCSybSXzEHi62SCidRf4yzsKIwdp9s9jWJfaH+vYqAAZxX87b2ZPFvd1n2nYkkHKAUhydC89z
Nk0z1Ptlzmmy1aN5z2wjXk1jx9isTcWTRhnmyq7GcTPPKatdvyRDz+TNWp6oqaYKnNbm7pvlzQtM
rrkxwrZheINPY/nMIttlXtRbByIKPvkw0T+nyzDcAgcgRdTP49cSmSIjm2nFx1TL43ORZkSxBLYq
uNCukZvEhJ0dE1Ntk+das9f6ud64BkiYVHImrqyv2Wjxi2XJ3ueaWZyUSXZ36GCtReQhAvrdcvg9
Oc3fmomhZkpne9ewyQqlMLwdZejxeycWtnreHsTacTLmowM7MLPExmm0DXbSlVlT2Jxp0SFLhn2T
lrvWT48DjpFVQ5g7wOUlN1CAzjZ5wiSezUOlaisQiGhwZMyQqWl+qrzC2jRduc2G6bBw/L+blePe
DZFTbKaCXIETE+TVxD6qqYPvykCb5tu5Pybk9PQq2Zp1evW4vU1ZB0Rxqs6kZS5ePC2rTszH3oYM
X3Ejbwe7fdGz5axcJkegMzCBtbRsjRwpW1yhRf/hZ7OxEpkSW6Mr+LuxsWj5rhDWnib7MoQPEDa+
/0VCFYFtxE3MM7JJCvZ9oh38LUWZ6yEbPxvx3tcl8VeMrdPZYykLzaUtAtjI9/Ns33tRu3EmfpMM
3kkqptYpHbInFbfLysmrR096Jj+LXVdcHb05r7dJecNxrr0yI7ZdTIZyrig9SzsktB5iVVjG6mur
G2NojpAVNcHIzMw5ZpteSBW17uNrLvbCiL5Uyn+2ncNsDJhGKDkpTT1dC624b/E3i1YdTRIuzFen
ICJdyEPDi0a6rI85/ba1KY2g9qNlxfh7a8X6YybcnZ7adbhwnriJZP8VMMFxksDoaPV21qMrn3vL
XGfa8G6WNCP2+VdK27+T2QL+ku5kmTVBrdptm7BjmbPZDE07uYsi6B9LXRQnoTn1hvbiOhzUcJqZ
3YUURx8s6nvl4FDCKgdqdEf21zkXP3AygvE+15sTAfgdx6RCVr1IsxYIMXrzvMykZWVyienPCCYD
xHrFFLoy86eyagrIWM1z7BqHdApxLwFZtIv+borTMNLjfX8d3OtNOt2IJR5fjOurUyhySJ+iNx/p
txYF+ajkJHiaPTY7dcdlmoZd2zaP0H2NtY79NyiwrcP/TC+lXbYHktL2DriFldJLb/ivdUM/ZUci
7Dttt/Y7s9gA6AVIeM7+qcZFRV1pYopMUDxX+VRfMm5FzheTDO2cOFEpYxrR7cZtvynTXzaEcHJS
h9zpQNk3ZuMutGOQZ2qTUlzGFuNS7+iffLtDLsS5UL2DDtqpG/Q276n3HMWHmbSL2wKpLZIFlVs4
7Srjrw1br7Wpnh+6Fz1lHuX6uC30Qd/IJa+2gB3FUdgtFKrFL87XHrQnLwOtxualBsyJX7evKUOb
+Ng+LzsvtPWW1KGB2BJJJNAPBa09971w5BIuWANO3lij8+O9soxLFSWHGsXSC+IyOXQevZQqfaP1
pbpJe9vAYKcOJK55OzFS3jBHvwIALlhOtGNnKYbHbaOf2ZcQZBoRqYivbXjuzrM7vGeacjbWtJw7
P2LRAzoKxD3vd90ypvuh8W5ZBgyGCNGxH/tqnVfN9GJBCWEbPX4rh3TixBMDa+mjA9YBNvutGImf
KTqbm3baVtJkLNfd902ebjhJOjzONSAkN3mlV431o+iYkTttdKO03nntruH3iFfqlfrTraXA2Jbg
JfGggmyy3HQ3Ps1I3VQ9WnkBCTzjde4735XuPxhVds+KSMNWQhW9cPeeQ09wazgEXrnPg6FAMiXB
Pq+isWDhtXw8qyOfs/Zb+ur75a4YxyuYNv8wKH/hVTYLYj8OmwivT9ZashhfbI79SE5hn1zLlksb
qn50KCG/hkJXxTr28CvEdl28MGxbg1zRD/jk0LIGAlPC4+Waus+GTnaPWOmBBmLIvz7uBRqP4ahP
e3g8xM4WXqyLFPdqduR6se1z7rlrXmBR2AmJ8yC3k3UfuW8Rdx/rjZOfiXMAZ02ML70xPLM5uhkK
Lbp1l+XOYIpvl9abkTZWmJfsgArbCD0vIsVhpDpNqtqLlblekFsle3PAB8x1xpLjUPVc+QuMOim1
s+lgh2HTm2/ZdtbfvKSYDx2GHH6JAwFmO0fste3hK0RoSpV5TJEryb15+7kU6Ss1z/3Zdrth6zaw
80i2Q5RI69n9KIvF2LaOpTDQ5Fl+MNIiQhRU5ssydzMGnEQck5Q5cyxtYskxgczKjJctvS/+HjtF
/WQMPGMUDwCixTGFhUNz2WTOSr+i+OZkNfmF/VJAJ7A2uD1eZdojDJAvZKumGU7B/87zhf75mbRu
7jzWxfBlwAe1jym0P+DesqEmeEaoqJ9mDw8+gbhhjITpVica0Kx9OfRu6PaVe4d5hlbqrNL2vPWS
x9J20g2nPHHxl5mV1yWgCDzO6i49brs08DTxMUZZfzf0+PF6q7e/i4JzX7bMOvYrf3psuqvvJs7t
AJP+QpiXh5RyZkYAiZq0Xa8xEeZhVDc8UIaFs6jwAqemZC/orCJ60O1ImEEN3XTt1GVzP1Ix8j50
jsbpq7V3tjRS7rJO3Fd+sxw9jgMro+Nc39alTWTCwjEOSm8Ta5G29dJOhH2VQO/W3TQK6nqRdz7J
te3YOtnKpxfxSOkQsSE8uJ8tMcmjPnT+gd9ikq6ki6nJ6hQ/dOl4EBX0vfXQLCzjU2kVybr2Ziws
wqsnrrExbUaGUptmGL1jlk2etirUSHZLuLSBy2u6u6d3/gbKQ7NWBCJFUNLWe8wT23lzaKQ7UzvR
wxS089BtsuaQxT5enELv9tihXNajDCXcMtInpqEfDfrd3eTOHzYpa0wMrtg2vmz3dGODAPRNUs2S
1xWZBOt6Ca01I2V2f+jX8YB3sjgX7FDCREOmi5Z9RVO56perLWJVOMsmg4zY2/KRQomeuTpC9TTo
X+3BxXBijX4oXHvZJaLxdnZd11tZDtqeIIj5VjbDKi2jfAVEkEbv2GRniZ4mbstO9rTvTYU8CK1L
dq2w/C8VZJadP7Tisx7mhDCpMWydVtZgYJh9P3lzbz+U7vItBYhyKF01YcGKzftFo+lYodCsxqmN
b0WEQ5DVXoR64bW7xp3U7aSPzZ1l1O4Lb5f8xVd28ogl2L1o2iS3ldGZ9xE9LjPePYF4ybx2vyR6
/lw2zsWwYsEnmMpxoeMxGh+yHC4ljA1L+GyvjIkW+yQtLvA1zRfTlvp58hqKtpLY4gRWRam2t8pG
v5mu8xGYL3N2ApzWuquUWkzcenN1G2tTdQ+ooUAWoLDnbawska2SxI5fR5YtZia8Eh4kBKlshbdQ
05GZzNhYm07cH3MT3POfgvg/mg38LQz4B4jwf4UL/z+IDL4mWv77aCD4ln9g3fzPycD1D/xrMGAa
fxCUwqrPMJr+MTT4fw8GDPMP9H3mWpw6XVbDq4/o38hgh//L0G2GRijDLgPj/x0M2PofTJFAyRHU
0AlNwiz7B4MB5uHXkfN/TqZIzRCEvdobzStL9+dyYDWxt0giwwZ5amTWGq4BZ/qpcbf5sLi7uKu9
APrO1vaYBLSD8PY2aD41Ngm2u2jJjw19cdvSKt8bbXECwkpytVR2v0pnsfcXqFpoXy05cscPhk67
K3ledoVX5Q+u0F3IDhavNdUeqI9G2E8FLlutdekxTIk6dYMIqcvoDl7Zbul6n54iT6hALsCmIocQ
OE7SlT8mDtSYFJpBnjLE65Oa5bCvgcO6+nA9zhR3E1t4Fv/6rba6uzhKZaiGDn0gRgXMl2ebg3PY
RlI76cbShI3AQ6iNlLBqbr/xGl5ODtl0k7NjdyxU3pBZ9ONNxRUK4iZGe0/mr6MEmVK55WOcUwFc
5OPZwNzK8V40nJ1id1PqbXUo49Lcm5RKbErEqB3OU458JmVTrdbwqm9ysaN9HepclQi0Ljkcp2ww
r7NKKXlvl8O2GiNM4a25CKzRhrNSOD6fdQ8XjLaMy2MOW+6YiDoKMjlUIbacaa/oI4bKsZwsOxm+
94O36/Fl3HOKRHMi2yNZHoLW008pWgmGbeNk4o44sB3JuoC/X65jxNs1h4RvTW3gwuMtWq+AAKEr
yXJ6ajLrq08Z4xHlpdr4bescFsheu2jxryvLTdnFamVambFRpajZTWcNkmbL5GliODTSYQSCuDLX
vd7eTqbKzsKt3gFt7yZrSrgNzNzfo6ThD+hSdzVFrr9LlmFv5hFVbAQWAlUlI2PQzA7iKq9XTZ/A
QtXffQwGa2YlYWVNLSWEvsEVLMJFSPE4x2l/S2Vm+65r+YJW0eQ7OTbRMW7sOkVnlVcbutqyLf9I
IcpaA/YVXZziXA+tvAmzrIoDWsk2EMhOo6QVRHdOsrIPcVm8OAIsQv3GtWgDZS27tNVRX9n3wIkJ
eMtjEWraoIgtJDnLvylKmrF14MO7yCyatUax4U1J8ZuJh7FF7QR+yzmY3dNzP+W2h5hXUayUoEon
k2ifFOjbnAhOxKO1xUGKdb2Ojm3LMA0PM8IMZ/x0MLaqHfkNUs/kNZa368iFg8WIzS+pwForoPRT
uzN0a0sb6o2ljQzLZcMJrDJEf9K1yWQ331hN4LfMlivdjdeFNoUFcxabg0gWWGWqH6yOZ6IzVXJO
6Tm+y/tuhMMtna9jNl/+LD7Dnl4lZhWWudBDdpdXjj3YJ87Xzjp3luLJqnQmhhS8vPZA426Lmk0T
2ZX5MGZ1soogEa4wyU/bbBncNBgGpQWL3U+33NwntzOGhyWO0ecrcttrv0tfjahj/5T2uz4dDjkt
RKFezdHWAusUgfTGwayG3D4MkV7h7R9RUhAh6QnBzaXFPZbwtD+Y7oeLJf+oVKPt8P6zWwSndm7b
oeeeIm69ca26hBsGwtF3FnGXGN0Q9ArvqSeNcoVMEnEKd54cOb8tnYRzwVkKnl60j5W7zkpvCIjS
3zuVrlZM/MWq8O0yhOfmbmaKc7fQp+NT0omUjquIYscoqnHZx7p9qeoIbR3TzUqmNl7vWl5cwIpc
lAqrlSMuFCJ8r9XMDcnJSyXZu42L47ywD5p5f5w1d7R3HR48fq6yT8KLEnMlCu5cbSrtwFLDcKMK
pzqldtnv6CNkk9cUF2xLIvT9rrlIeF5PuqtISKH+BlR/ucEk6vHQklPkPGXWW9Ps9NNCqmxLQA06
9pJZ2VoV/eAGA7itQObWGmc6KUc1ux26RlVB/GsV3Oqo++jAl0MBXSN+3BR+8TbPw14uy2PGOhG3
7mGiWS4tnZVO/601uCxh8yrFv54ybCsm8EOwFwLs8Z8wSIM5cvnYCahVxpNoC/nk3cZ+crBtWF6K
aV9BEB6cddgb6GW2nsZhrccjqCU7MPvhrUjETa9eRgvJNUfHTec7awBhXoGyCHLcG8EV/z35+S0p
ZbBNE2XRJRQtIHjzYH0FQb1P9U+VeucZtCIJ5h4ummwSeedKU7vxq8o81UvOzAt2WEUcc+jDGVWU
Y0aVM4oZ/UdEyK9VMRVhr9lPaKTjFn49SBt7xIBUjsa0namWOSpdxUGqrmqIJr9zh3k7H3OUEdpN
nVwEKuDamMYUQp8FZ4AnSLxYsAHCFEv9jZ7Dz487Pnk3XecMjX6cy/6M/QZTlt6N8S7vs+RsNDNa
v+HZxVbOWFHcsfHuCZLFHyQK9GfHS1irmtTttyTxGT5FhZucJzA2qOBRc0bp11/71NzR925+SpcJ
btylnKEyE+oifT1b0x/ZM5hMztddb9g74Qy8nTNt9Pd1K+ZdU+bN41iW/mV2tfqm61LeFvKatgGN
jsJcFw333PW/OQYtC8S5g8R39qi3RRz0nnRus9R+NUQ37wuGK0zB1EESM36r0M3DClY1ep3k4czb
4a5t62XdESXLerF8wdjo5ryZ8HpNcihOUu+S95FX/6YyvYcqwokQeQRwSnoAF3IGAYd8nJ9q0fco
Jc3GBVjH+MUpPjGJ+WdurHfwARF1BAYuJB269r5JctpmWtu7l8XgXnIqiVdztzg7pSWXyJNvRWT0
+6le3kq72OUTEPy4BcBGIMgGSJVpj2M6cSSH97Yb5hJGJnL5S1FU0CVYnLnosjmLUcExy5Ml2i+c
Ok+T1Py1wHO7qt1W0OswMna+WqHBdiynGCV6Oy6y5ImqQTQT9umzGJrzMIxOYPkxz15iB4jE7a4v
qvyFduwA+B33EAw1jpoM1qo3PPPkIWtvOhCur3PGXHMGKNSPQxqn4t0Aag77kneX9a7ctF1BDsfu
5Jpt17I38jLZDvpYPBcA3ld2z+qlxsJjZEdcqiPks/XJkyXagS1ee+5iWokbNpbhaNln0aOmL718
wncfuob90FTFeyPVQ86oONHcTd+r27yL15N0IqaeUbLnItqBbkG213Ua36U2Py5LZr8MEyimOZm3
fl6lX7wGyzGzu/LQlVLdAhK8ceZKXMslvGxVJP1nukTjZel0gYudGhrwel5JKCe+7VuVvSD42U9m
AfPXqYskwEuLIb0GEENzS/UIG9M++TF4/sTWGmB7boZCPhM7MkaD052v2F5KVAoVTV8RLrRj44mN
uVCgRwniCEWs+BKbsH0MhV7sMzbKxkvrG6GP5Ow4RBkSZ1d53KQcxe/dadkzMX6tsBA4AxMd0gHr
zvFWSWmhUnmv9KG9jHa9bW3t8j/sncmSpEiXpV+lpfaUAAooLHqDgY1u5nN4uG8Q93APQJnn4en7
syyplvwj/o6U2vc6JdLcMFT16r3nfGeStN7FHJNJCB+RhIHEdxcr8WP6eEtSjfsiSr4pPFfL2tD9
aob7aaCzRtfqaKfe0Vh0IvemKJjGdNyh635wayfM7HzbTVrYlD/0QQYdTrqsXJhMCmyAhea+DVV0
SPLrDd6tnke3+Oku5jZSdMNLVmtJ+5cp0bRZO+1cjvNOoMPB4B0mVQzopXpUaAmRZTmbejW4bJsP
8RQXX+OUO5AN5XxshsG+qbNBD1fuzyc6j9Wlmxhd5zh4VRqB/iLUi9YECMxEJt1ZY9zrJ7pzi9X0
Ves4f+eCoRjTcH4t9jr+pDTfV7H1UqZt43cGu9jqYbYb0+qYGdWuWBvUETbG8RkJ4pwfZJ2GpY6w
L0u6mE7skp9l74r9WKfGXU3+8L6UdXY3rwnsj+miTfaNiD3j1ZjG6g0D1SWeZ/Bx02zuIlihvEfl
tMsNET8UxaS/46MhAiBTHp7l4UskWhPSH8LTjNY+MNrB5GCQ0+2SkaaEH7LceKstwDpYF+EO93OO
sKSqlfEu0xy+45AnXypNMZ3Nuvoo1+4ylygHGsnSGccXgObls2fU28lSyAuSnVGCyGTYyaGA0zCj
ny4zmKCFbD4dUrBCUMI9WidOUqGnhHdktJdb24FqW1FvjYxc9NreTo2Q5wWLElrSurFPNqyVY1pW
X9HQyWBdFvNMD+u5M4lGuLZ3COn7UGrpj8WQixCIQLtLDZiDvYrRnrjQx/qpU6RoW20EYZYU+Xxx
ineEo90JPGO6BQ8cZiKdQkpPcgSyPLmdO7mdZOEwcWKuuQdete/s6uwAK39cFtRIbp3TVW/uKzt5
RNjxXeb92WmhkiKD/gBgwlQ/BkyjeXtNVUeOt8TXUJ4hnhmtsztSL7AdpSc6N6WPvdWByaA7hAjk
N/iC7L3XlOsOSjvbn3LFC9IsPShQ1r6XjehfW8sIRI/yRWiBGpliUrCGVbNsgMR+K4re3HAN2luT
2Od2simH1tu3nD+73GZRk+Yx+oNbnawpfkZUg4zBXe7NPP2A3VaGeuFmO2es30Er+dFgf7l29t5P
NCvrWcinNDP1rW1TRnc1W1HkkXOAzs030mK+0Z0MhmWW32nsk1GkS9/sxd7Q3sdCg5A4bu3Jcvap
WR/nQruzIT699zOG2dZU+cG1ECvR1eY8iQlTsdcx26eTLZ6QPUZgYlsXZVV/ahmXAnZtiKHAsblB
xv1jSNuDQA90Qq6pLtZKZJ0nYQ6qcnBPk9k+ekiZQzvCLFvJ+s2dIm+PZMHZZ16Zc9UBmwrnmb3V
W++EViBaKGU4WvU5XeQY8H2OIm2+MThEQkm7fE93o6Ijx6XutMYOVytq/DIY1yt9l+Xp0+lVeFz0
gmK5sJ5d5FzPsjM6yi/URX2Xdy8WFK0bOqVM4LrrxEgyouyHpakDa12j0BoTg6Zhzg0VA3G3KRF3
3qU1c4bGSKtgSig5euJy8IRO45e3FGq/9LpiFJ4uN4XtPDcSqoYw8+IjqoyWCa9jhg1owa+2EM5x
tJZyK2crCxYzAukMzzTwiJxHbyMi9hymdZVTZt8Zb3mvtSiGd1Mi2qIH+aUYThwylxSQtUJAoqn6
mpVO2yQpXM2Hd1Xt6dQzFZk5dSr6zEeSM6ptlIssXIsVxURS045GOrCxl3qKmFBr9QM/zRh0uVdv
YvT3G7Ru87gZBiy2ejnKR2tAs6UcK7mfVCUeeiHTlsSmmfzpceYqNdB2pWyEZ2zZw50Ym/qO27h7
U5X65OteL0/4V5dNDi+HuRcokQXVut/MHQVIVa2BljDiKtd22ebSSQ8uue9P4JjTc5QDGC8Itzgr
Mw3ADgAQwol9REPrQqTRivE7aY/jTT97y8HSmZMsuv2Y5s0uHXhb4rEft4goa9bOxNZaztZ0Gkrz
1sSJ7NvjNFthz2yHRwjLOqibdfqwZFPvKGFKvzR07MqtoR6GZP0u9OIcT0Nz0XNQvkhKeDNjSVRR
1RufTdRGE+RWjn+4F0X7F4uSO/7c5Y9zjqM402AWFE38mHciR8CEtSfw4ujV0MwKlDaohsDkbn29
02OzSLQiLMpqoUfY0YKZo0leoO6KwMziVxMkCuW2HE0s0unZ02QP1kITrV9VynyNhrzbxw7aAdHX
PDcrfbUK9AdppH9E9gKlm8dzot5kMG+t6Xtf549JtLxqU3vjRVimJ3ssgmZEJRY7yxEs9xronRSU
oqNhcaeK1yNTIbkfpdJf3EwTHh3x64iOscF8AChJCgwAORcKKBRdo4NdOTMQOfej7u6dashfxIBq
qkTVzBMz1lPLy32KAM/fZrE1P6QqES9urt+2TW0x8quBaRLtNF/3afKwe4bVoWbXUefXkXkz6evI
W7guF1tmNne6MrmvUCEc4Q9HPtMCsU08priUZ8piQfRfdGmw/xvzerS0xNxHg9ZiSppOjhLaTm9M
43Yp5MWlDG1KdytEBh6E5O2nuqx+Mt50g2igTtio6ar18zCgtaupsIiT4kxTcaJW67RDC1nP/6s7
7TsMNTFBxuUGA3cdLp7BRXLu6IQiuslKO0XS07vTDabN7dVtt6EzCKSX76xL6m0GHJvGEynLoJ4f
cwYQN90cmdtBi+LDahIBVXMPeXVUF6I1WfdtmbSnYsK5T+l75+gG6gaZo51AbbXWKe2TenIPjp1T
eM5SnCMGlScTytMZNZF+7PtlPqd5utxW4M89LqHmzqz7IlBmTPPTaveDtpJCPlVya0eSH7gY3zHA
fUbw//MkpcItUUPqzatB6sW+9lAqgOvX0ZgY9CU6yC87NQ7NhtEs8kYreZuZh5rRk2aQq7ce46kK
RpSiHWfxatyjS73i5pFgM7TzS2RDO2G4FZVecw9EnLZ0f9s45Vlf69vJoxJedNR6ON45IqDRNhrZ
a049hE4xfOOV5u6Y2PfFCF4WYMR3LmZHb6IIl1ePPYVy5abVT3oYAbbDxxK165XIHX+iDg3APTrb
MrGItFtb0ycusnwxdO/Yj9aDjnXKL63sZ5JQ+dFzL78VCQFvll42gbMixm3E/GGUKtpGU/ZQEp4e
tnk0vTgoDC+92ej5Bla09MciDhwjea1pp0y19QCh3BfFsdLUSdd4kF7u/WzMaktvBIHVSirs4Jg+
E9cTWLuWa309XpzecAKAeQV2VzRZrn3jJm3le2rQyMhYHpfVwFwUL9+tFoIEN4ufRtttK4ihu7SW
+U2ODDfRJneHd6Dep6psTnNdauFYJ8cFONd56YppL4aEPWWIy1PmyVfpTNGnSZcTS+8zPMrmKXZA
NXGCCuM0Fd0HV3PDzxV9gi5jZs0U3dg2gDKRA9jMccfUumsjj/+MKDqpA6HZJY61Qc9amreq/sE1
WEOvI/v0Fs0EW067GKI7I9uqth2kH9AjMpM04rLBIJqxHpPiw3HLrNsQv1ahhKgGYWKOiKEsqGWV
14b0GM+bdEQSHglb41YwRTYK7yavPx1GnBcSB7TsGLkKLXTkpu6rMYqu9tkiqx8zyc4uJLk2/ejB
jx+J3EG7ohnJQvPa5E4PV+HbYi+kXqzzWx+jTeBdeUEQjbqCS0ZydDXxYFfY7bMhuWHLoNcGig1o
MEFGpWxixrFC32WoUlmrvXeJ4654RPCZnNYiZfCreXYSEsuhB8g8h42AB8JFJ1PkW1WLvPMMrnmu
Hicnve7BUDsKA4UwiKFTbgxbwrofVu0Em/eNGMCcjsp6XCEcIE6Tu0V+9hZLiQE8vbDla2Cg+oIY
cbxFARqhhqYYF0Mpt3WPdNrBQrDzFpOxz6p5aADZz7ykhk5ex8lO76Y3ElvuexJkD2jRqhBXdvzg
aUygmHD5tsY2RPBG9hxFaABwn8htxJTMpAJjd52QE9hdiBPr2GZWfhwzbnpGbKClVWOA63sJjShX
u9lkzpEXdLhVHyGDUs2D0Tj03JJ7Y9a9H7Cz5vdu0dQFwU2K3n5FZrqAOQmdkiVnItRx/RGwyH0x
LHeFjYRKiWuxkjmXpW+nEEYwq3iq8olaztyJdE0O4Cyeud8885KamxbnWyX0V6ghoXTjp8FdD23p
3ZfJJH7S9AJropFlE+gNKwjBHmIFjLAJ/Ob2yV1meRC6/hlPwFdyIh6RfAq1x0HCt8JQDem8vqjZ
/rJWTuNGG8Rty4gHZTM4kVqnAX1NXkB5xxs9uPb6Rtf9mlOAJDcS2RBUkLH9ztQw1gwJI5vMsPdD
WwWVg7wisVZnM6TVQ6v1h6iLmBXBL/fZ7gWh9sUY1viJw2KVClX2mhY+ijEHyA3iwiIqhq0zxvEr
XfBs485thupLOt+huzrsMXr0c8hyjUO80L7rLYmKvslxvviGTMuHrBny74zdQNJS0HJFLs9I6X+u
NR6WXPuBbAnNCLKXVz1Xb7TmB8g15afL282x7ptK88m9AHyYMj3JUB7i/+Ee3a+NR95H9eTBl6bb
TelTpe4nx18eptCvC2MNczcqz0rYy4nu+xy2etc+Wk5mnq+/YC/jZGO3SOCRlz3oup7ytq0Woija
khPcHz/WMKFo5OP6YAtuC1WXu7rrcDuPThqu8XjoHAwqFRZbGFTPzlweMUb4uZbtYxxgfp7gLuiJ
Ntw2RfsNFOcQZjxsSmbVbIUXMZtttDtpVYXJgrCKW5MwTK7a6d4uEDDFllj8tXWnt27S5aMhev3b
pJAdxD1oQZMLwkNZwI+bs8y6ts4VyLEkuWHUmDw0i2o35Mq491jthpsOjVGAmHXfVJVH0g+GnDzF
VO+Xa50/dRSKQdFEhMMUnnZwe0899qh2trx36LOFWgglwEN2DY4A/DUQf6pPTnaK0agHFLY/OC3N
XaOgkJktw0zfrWl/eJCJ+yZ9FK7mnERBLKrTZjd1QlrQVCfUs3n3LV6v3TcTr5bTfJlGfzDylbO+
SOvnNnHPvd6h7EXoNmOFNYHMYJ3yhW2+A3gSYTu7QaFi42LGevWjtAfbH6TINzF5NkEpuQv2tV4d
eBmRNzupfcJZ0AaQiHyriB8i/vBj3HmbhUwWXkrCRwKd2THXy9I6EeoDaAkhDk2al75BmZjrVx2S
6M/VrFnHBqD6vq6WQJv78olrYbexJpwDwMZRtFV3pYFyyk0ZD8ReZ6Pcq0hjWphWoffkXZ054kRE
b7cYQq5IZcIRE3FH0uYfzmCmqMXKPrp3KkAPtVbqu5aeb+ZonyCBUC/zf2OyiZuJ6DXvbJZts9JH
R8UlcHSfrYY5LqmJ3/ph+EJ1STBpyR29y7kSVNV3hN4Lxz6dWBTx3V2C039uk6MXTSEu33AkCz4o
aBmjgzWfmqTYlL06NQ05qhTx03ofk3N+4dCvwtVsxQaZLalU003TGcjwDfbTqEXJ2xcxGnhEh9Lh
Lct65hGtds0sFN2hH3PuZsM9Pr/smHbVTTo2l7hx0nMK6pypKAJxv27oekzTlY8vrWdietI9RhB1
GzUlhNYWp6OvZS1d0ZKUin6mp+xxPZrTBSxDs4tZoQee0K07WcZGuoCJRl1s0isvCsF84VsMafYT
tvedgQXqc1E91+k57h8yb62pWUcbRmc10zE1oz60S+Ch/mQgV01X+WbTEDwZHWZ8YODbDnEXSrQT
jW2xSVKqD7dqrUe3ShTT67neW31FAmNclic3GdSlSY2eCqnLNqsGfrZYsBboDb3f3ljjfV0Yd3DT
2tOwcF4l9kzEb0qOil91uhvI0uo/bCOzSHkB/3Hd6rIoJ4FYDgwsHOaNRWkWB3Jb2hCEBf4k2R4N
tNa7MqFBmbmvXd2jA5zxjgwIm/ssGkKcH5qfkXh0ntac/T/Zx0n72ZmSJ7Js+rnZKZx9EuYYHiEa
bJvEXJ5EwxJPGfcaDurU+jtpJIgKsG1czQtubm5q43te0092m0fNpouSwooXWsf9jO5v76x03tV2
MumuNuauJ2jGGY1LP7sTJkySIMh+emG5Hie9f1zdAXF+bZIe5tBQG3GsjUEBW1+xjuAWhbXZ7+ZJ
vy5/hsF5EpZ9Blm1EHQSOMe6q41wRf7ZFOahRjCZasaHVMbGZKUol+FgjMu9verEDTtsDBqmK395
0je7dUq5Vo54ZMSB6wDtBe2YkMnH/Lmgt8+AMMp3BoXmYa0s49YsBoTYA5kpz5WcM3/Q0P7meaVv
aJTejVyWd1mWz5ekj0Jzqoe9spkO0VbiGZJhuE7aLqnm8i7W0n5jDC7bleUmt+bQkADnodhHe0PI
Vz/oeyeiF5XRVjwbk/kmZYowpDKyA2vDym7SGD6dQMywQWwcHQDQUflXnGZ6133MgJB3bI23JGKa
gcZQlHPbQsDO4KROk/w7pwUigbJaN9xk8Gm02StKUOToTZKHuV6vgez0LxfY/m0qa3OTzshzzTpd
AssYYlrW0nlZi4EFnDPXo5feLPrOqWq/VZIruHgVXFGQO+48s0UpzXZ3RZiLCdsCwkEMoyb6fjWH
NtmdkWwC6LI8Djf95N6C/asCBbN4e4AkR6MmucPN5pUcnQETakciCa3KKPMFfbHv3mIcRAq6bkQA
TGKfjwDZI/uNq2ObkRN/3RfV19J428TKNtPoJGy16bpZdXGWCJndiIKo65JHVCj2zgRMulJTj2cC
L7a2Tme/Mh+koRn31wQgbjfuQ5a73zUL+lI+05WNiB+xDcY1yqZkbVPvjl9Cu625KLwKo+OiDUHQ
3Q1WieIG17R5mej3XKcwDOWHQKL4qn8KrnWMEIsZj9GoYx9fFgvApb4Z7ITO/wyH7joAfmYSfupi
hvimwbGmxDKECZ6kG0/LHwnZK05DhPkIVCt3JVh/vLqpRhWDmFnkp5gbfqWija6cO2dOb2XaPKyE
xdTauJu7eOe2zl1qyQczLYS/0vTb6GOHQw/pfGwSZRX3oxMayiuYsCXrqbQadE5godAy2In+Ewo7
EBUYyFiKKsK5dCMRHoZmVz2XBmfZbsS1qbYMogfvUrh0vddGXHQGfTSp5X111fUv3baoERorg1MP
530cTspeq5AS1FN+Yus0oSVcFhB/ppfs3JEVGYBdW50nr13KoEq65NCOsf48p7PCG5g7tgfJTrGc
7SpyH+w8Y6VfLTR2v1b3mVvERypJpGeeuPawdPal0TDir0RGyPUil0xAoryAFB+4lObB2FhFKK+N
TQONwaZaKIg0a7zYncwx3Rq3ssKriQoHtp6mB5UXYcBzrlus6OE2mvFBJnF7RvEsQpl6C30k9YI2
Lglyp39BPsaVQAwIhclPu1+QzePco4MkyxBx15feXRPEzdS3NHcJRdfQ5F8FJh8gkKHrKA2Fdq3v
CsN+WqrkTmcbmvvpXvHCgSZsj3VeXfTZvCVg+Pna/9x2ksR3qETeRhDPt8W+Fvne0DPjqlLveZln
MJ6zdmkzk00B12gwMMljgN4+IDNjnLmCnJGMufJ4a8XrrZvFm9W5joZHcoorQzwY2gK+o5JobfKn
rESuoNuYnrRoZUossUBoduSboqHFxZW95QynYVYQZXypuz7ZaYk3aH7MyxIk1fJRaMR112BLNo1N
VJ9I6KypvrkZJfVq2RCDFaPfBU65VA/Uk85JDvrA6VNqN8QV2rvc/GtJjfG2thpzW5FouRm8+bFc
uL31Op1mgnIQausgViBu+aNJp77WYmbgo+WxpCYUTwY8VknSWZCvwtwu6dWgJ5tTXVfars2q/oYn
Iv1U5MVrPGCGlATN3eA56cEZTN9rR0x7Zen1BmgdOWkxEbfD2q47pnUYcrrma2SY4Jd1PIVkwKV3
2ghA1WZ/Dpm/h3hwfhTlQE2XxAGy9m6vjd6EoftauVpUZTRoohtPn94YvHZ7NJ0cn1ITgSZGLyhL
Pd5Pq0Nvfp3iu4F+LFF7hh1kA/MWkAv6BTFdS/xEPT91VC1HPus5FakdrJhdbrPFrThOyya6w4PZ
hrZif2jNFkelHLMnKn2gFbSOiUQl8KBN0va+qUieXGpKIW4f1gfM0ulECsx69vCAYO4b8jT03Mg+
WE5NaeQN+U4Zw8Dov1D3IrfNk+6Z07lGpYk/DX2Lw+xc9oHrNLA24mW5L2BMf06FXXN/VpH7hIv5
jjJyxejTj1lFwdgzJMUnodXfcQzC4M4QtuVBvpDagx3cZlzBDDTQ+OuDsYVDtIi2/IllPWne6shd
tA22K/unCRaATQ0pl594Cxq+2rZQ8ibJbJywNVTUR3V3hsI7orBfrqqPnJfU9VMcKXeZCRSjNmEr
+1hsKcaqOfaSTdwkdQdjxEFNK8yUQoawwasjXTloV9smrEUtt6znNhi89UdtL/3OXhPolIVEswFF
NX+wEtXtbYdUqdW9M8t8m0BhfUqH1bsfHKMLEL7qJ6tlPhZaKQGNh8zCss9tEj0IpqQ28LL5FAnz
CcpffptMlEN4xG4mKEb3xmgOW5UP71Vj3ZJRK3xF1t6mcM3mWGSFtp8jxtRFRSimGdM2I4ILWitN
xL5ajTM8s0OsVZUfucadUPOyH6sqFKW8LV1a73L8nlDTRt4QCm/edj2UCH6dVDXvlRe/qJYRdpJ0
AZ2Am8jxDvOQh7pJX4/aMKyBMxN+OWrZ1bdTQRd3RHxs4mHcyBn/00iH6LR2cRPg6LF2VEEYhfNJ
nOCW8pkoeK8zo/HN7JYtcZ7RitVL4lfHmOTElEAeM8DjiOH9oUkYgPpVEhnvnVQDuoY6Gr+tSpPn
iQjLd0J6uB/hw3SClqDGsBU6DhSK2wTJSBvdGGQEf6cAuxduM9ACnmN3r8XduMu4ufiKNFROtkF9
ORhPQhrcD7AkoZ/by21i6l+VDVW21g54FG90VW15SS8NjBpAy6j4LLyV7WNU2h9wuDiiS4t7Y+sJ
a5u4kbadlVY/O9c0IB8N9yVTabcxm6xFqluonSrssB5nDm1E9g65jO6cu+95KxkMiJ50lhYo4Hur
tcXrTH6fDx7OAjdmjhaXvPwgsLeFplmSBF4axCaCTQ08OpA3zkTr2edyH78m6/UtzSvnWzaRtpbN
ZX6gY1JRgwrqYc5EOfW3RaKbz0WWU9gnKWKfZkggHnoWwwVIB0LTzFfarA86s6CjzFkeXBC0z2L4
K+sjrTzAG7wmWYUn1KxdtZ/t0sO8LNbvSWrS9mBm/IWCojpbUGKeUuSyjCU07VCaDc+jNt5H2/xR
e1S/blqqWzMqX4d8sM5cV5YXneiKPRLq9h5HfIc50WG4zx3hMNRNc6vrtXWHut48mYQ933Q83Ft2
ZWYXoIToYPNLZm05HaTKso++9VAEo8zAD6X4DejyiaUdbkpzTS6FtuAPLNpgcWIVtq3h7ave01/U
LD9UMvancaLf7JBXeZh54Bdlw0OxZ+uebNZs2mdNLt7ispvhblfJI+t1w5S05Gbp6AfU0TdZMf0s
7emwwpE4LfqV+mOPatnnQ92OoW3NX1OJAizNl5ImE3a3aGgDe1g+NTn2YZfW1T2AACT9GYHVAwHh
93Jc6C3qrkEAee7RsYZk9whLHEwyogOYuFUXmDJ7Qappv/VWli0BDuCg693hU7LBNRj5Sfx1K5YX
TX6aVCQD4OyWpnmpJwpXQ6iPKsZE3E5AJZyk++qI6er3NKCKbaUN8pEbGC5iJx63leLppGn9Rr4C
V3FIIgBhXT2oi+W50ghygtpkbzzbPpiaW13oB1knwc0HaQFrf1Hrq0wQZDI89jo6LeWjhAik/I6A
vX03OW9AmL2b4jrmcOeyfCaK2fLXGNPAOvKjlpBwfClj9u90/KocsWxGs/hG6/RK4C51c0tnDynW
sKAcgZacBqXQ1u3U6ajuiySX+76yab/MoiMRm6HtHoe3zUDdYDolV/nK3YOJce8cDDGc+sZEZwXX
Ydg7uh2djKyxdrLXskPKRZbuhxEdCOxSm8EAtQPbEFyLdC9Ejbv0JyBLZpPcdaUrN7VOW8fOssyH
R+feRWtPXnGPx40VsTKCWqMnklWiHyX+tKObIKukXMDlvbp4wiSia52C6x0NIEpIk16vpKtO3WeQ
A4ReKrTbhFMwNl7GyIl3wvRQ8050Gdm39fiNngmFESyGx4Lh/SbWYm/TOU73kOMM9ISoNmU6nyuZ
/EjXmkiNrFQ3DEO9jZFNIgQdigeXfgjBK7J19m46rmGNLGIzztkPO5++1Sn34AFbcDc1w6GzvXnf
a9YQEq5jbKtueXIMd/k2J9otCmwa0tJ7HlKz9FWlv44e1uCI2mCT6lfxcOMB1y0vZW49eh6Ujkl2
0OOzotuMmIDordvPDkXEriwjPRyb6sHkmL6fuqzbwUqIQiPB2y80p9JBcRVOANJ6ejbL+h61gb1R
dBBRzV4nsAvdWF0tHqGa2YURQjg1ufXU/PVywEV/EKg2SNRd1rBKqNRMkw6UR5QC10wXXju22Ane
lL7RdK6vaesE3iCkD2u+P6DhTIkwbth2nNX9hhPL4ixraOdVWrNvYFoQxQC4AXk7PhJNw47ZKvsm
6XkncbXa/GxeP3CXbEX5A/2M3KeZ9RoX5DOPVXbWtVS/DINmEPdhRTwXc9kVnD1bT8diUdlUNMhC
uJb3A/sNEtxZNKTQ4Y7kLeWO63S6nyijvpvMRtwCNrqq9RZG9xqM82/Ixqd9O9bzDaUXsXaz9mMd
k2tvyBAbXurbumuodRZV0Fe61lpxMe+8VUw3TqeWy1/mtf9v4/sPD+/d/9vGt0PSBDHx7za+6z/4
LxufYf8n90MGiyTYUYbDQvpvG5/9n4CNSQuDewrjz7B1/s1/2/j4R44hwDtDxTRMBqf/18YH3w8Q
siSggXwQcOSm/T+x8f2GesWtjXOUDyFMk4we/oS/M2+ZEhe1AEZDj4FwAKZYTjkhb7ciXQWpNdvt
Gf3w/IM5W3f42yO6+y+f4P8qh4JeUtl3//s/rjDuv7sHDRQT3FFcANY2MwvL/NdPlmwCSouTdNPh
0oh8mej6R+Pgzw9jQUhT4E2O1x8Gt8++uoK+4j9wNX8HpOvCdCyb5WxK0KTiF9xsb3V1x8y42ngS
UxR5ELnFinG6ald1s/fcL1RHHPglbcKMhZr2NVrbvtOt3Z+fw29gX94OeLDEKvPH8Hr8Ai0f9Spv
Gsa2G0Kf7ZMuIBpaAtHGkMxMVP78Wb9BnHXhWGSOYRwFkg5S9F+feT3V0zpqHQyRIrLGJzdaGCQT
q6Ode2HyzMfKnu/+/JG/v2B8PTC3cIR1QzBt/9eP7OZppmersk2/5uSC15hCsgNIb4Iz+pQEnxay
WH2Ra6d//PmD/91zpTuqY3V1PI7F63//Gzu8K8FTUcRmjN6RHF2cWUXqiB0kh9Ee04z/86f9/jYD
z7U5qkE9AUf/7VdcUtJRspZxep7bp67oPpU19MP2qukSo5FttWVtfZVjOPmHdfRvHjA7CCsXcidf
9FcXbj30kNEyQfVCc/s0qpluz8gUHkreZ0G5TL+U9+rP3/b6o/3r2hUeZGjAxABBLevXMNx5RZOT
i6agULJ1pjIVb6pip/qHj/n9J4QTzN5JZhj/2JG/IINL0SHNqjECTzbbA1Mv9J5ROayfmGIQIP75
O/1OZtZ5fHyMbcNMNdxfNwRMxVnZmCantrLUN4lzLd4UBo0yw0D+Hc61g5i1zxMU8WoQGvqwvocP
vdAJpAtJTi0Vazn9U2Dn789AcpUi2pVahAPkV+56hsCl6iP8XEMCbeOEBGJhLull0xkVkfc/3os4
cAx2RHQ4JEr++mHrolvc9JmVePVkU0/r6c4mwg4htjXVr39+3r+/Q9fDzSBdlZ3BEr/GZTrsQIo1
QvJ5it9DKO4mGA3ruN78+XN+X5nSYJcHhWvwq+r2LxtQHxkzJ1RMwM5Ujme85TmjrcmmTdkwF6MP
Hv8gobd4KiJtVP/w2b/vt3A9+MirO56d1/5lD+qxL/dzzXdMpMnpNqQrNq4VKAytRGVm56E2OXr+
/H3/zXOVMJpMya5A+tyvi6YxEAOXANGYVa7znbbm+Td2Xjf486f8tuuQmgmnnZOEbQ8s9fW//213
xT+7qpVv7Jek9YDHU9E5alzrCneLNrPl1o8Gi/f2zx9qQDX+132HvVWSNIlO9K/czOvz/tunVkjj
adgS6+jmXuLRnaNnlBdz7WddstI+ysF27ZgW5FNYVgMv1JI78WdaFuW+08fVOyhdZjBg4e2s//BT
/7U2/mVP5Ie+JviSVAyS4Ld6BrW01y+jtmxWgHo7UmDUuFOOzZAJr5mLkUOqE1CP5C4quNBxsy4P
nRpjlvGafaXSazCkzXaDdkIM6T+t698WgdS51VPxmNc9zrF+eXB0zLmaCi6BvaHcl7Yfi7fVcw0n
JEorvV8VQxkUsRovJnUiZaCxtnQQltUEWkqB+AIiudybgxyxwMb/h73z2JEkybLsrxRqLwFRIkqA
qVkYZ+5uzslG4SyUcyaqXz/HIqu6M7Onqrt2sxggkUCEhzMzFfLeu/fcwTxglxhRjDU98tE2azQt
DJRvaMKV6SA2SnqkLj2y04RYTdvRq6kq0i+0ARIhhJkOsBa0142bEdMBwnUBdwcfztSiGCax8Wp0
tPc95Eahd21A/2ijS0JkNpXp8e9M8GcQyiWWiXDy+3gDh01+NAS3JYsq0vwQTGrudGPEZ2kFxcak
f0jG2aizT4Qx01IircjoVuTYFHEO8xVjMdCsS2cIEpG2vKMJSOUCeBm4EXUzXpXXxEn0dSwt2rD/
+on+8/vCrs493nd5czCN8f8/PtA6S3WUD9BvxHU2bPKCzPM15lEEB//6+1xOiz+uHdtGNOyZLtd9
n1m+Z/9pH0w0XmOf7uPCtGMnehcmGN6FoSdaTaaMhxK9VYvwpzDQd+E17mgQW+cgbkICKgOGPm3X
WCeHzu+1U4Q41kPHj84zsuUsjU6WNsXCNh06ReNIfjpnWnA3p1jTVhYLL1pHOaHPc5FnW3NE8+UG
wdxsxi5+m81BYNyZSadtaRiuy2pExMYM+H1spx3S5ARVXYrl2gvS8T4GeRUuuPDgfeHVbOkBm6Dn
JmPGHVbXt5ctMd7UBM7tgsCtzvXMqOoUk1SzrLzSadBzSJRFHXKUEp8hpi/2AwiNBcIkXGtuMaMO
S0e5DkbPvYXyq64QVaCWAC+46SNCBVaBL3BPCMaX2yia9MZ2FdJjozfmZyuM96SGWPM7b7qxtFvs
wKs60lm7FSRy2xCKx7HZiCwfHqTh+otg7gEMQOFf9LhLGStUqIU6fgo0n7UjnJ0/e+Ig87lcJSpr
b9EVVne17ab3phnl33bbA5+EVYGs2shUayxD+v9byEI3vV/V1rbJPHinCB/8n00FRISlJtRLMBSo
W0pjRiYbW9pddtaFA9a4uj/LOKhvDTVke0CA8YmRljqIzto4iIE3jaWtIy++vC4mcqKrC08o9np4
7cJQFwdxUdvdThrqG7fFm0iiiVKyH/2XhifqLsLRgHirr5kaxMzfstGwXpkuGrvR92Y68cGTwoN+
bqTBiHE2v3DQI3SJPW9ceDOwW8bKwwQk5NJUDW3XvAIcmRzzXKm7CjFwg9AFUwj+Sitd8M2an3py
UdChLHdAWEChSa+zoPp0I+c+TlqPICFznLaDZla8wNGFPA0sy1M1pkW4DULT3FRJJW/NBIdGIpVe
CdJgFmE8fzYYJZEgMCVt0VYvqtTq71zGGYwiidUK/HzGYxvpcmuXpNQ7PIg48c2LGi7teQUTIZx1
K0R3MHyvy9dFkAIwj+PGfTDC5AF5bRceKFqyfdpIC01aEbdb069gGWNLyJ5b3c28khena15gtG0T
YWdLnZX9OUdYtSVKSAKUsOersHf0gTLbYXHHr4OF97pMGIxYGaoKzL01FBJCKp/oZ2G0taER4gpC
rlbsJx3oNe1lkMtsXChVUKg4Ik83Wd2jFKK7q77MxIcdkmMOylatVegboGkDbMAoRCKO2XEZwmdZ
xxdb6pzqBrtbaN8O2hB4k6JzCcF/SWgUrhsVPRZKGXvXD++ruqtv+6mOv6LByfdFmZ2Srn3wYVOt
nJz8TWjflZ7fU7fJ6EPj73zjtvPl2xxuWgwfja7tl4v8necZzpxm+LoEyn6n/fBGTGVxlLUtnhNE
rUq7I4TK+NWYv5oifvRCHyipofETTAc8FldsUrgA6cq5XbutZ6NegSYu1rqlu4fYZMkU9sYQbQyq
rNokxfyIdv8SZa+Rh+qrIgRDZjgoCoRhbdWU/uwntao889VX1YeM4kdfjcgVndJZ5vAil22o36Xv
9kAKqumT+92dtuYHT6ZyI1r6H6YBzExVVbEsixwNSxueKp6xLAog7Rh3NX6xZcTBeyrRqTQGomBz
0M4SfB1qOse4ydAsVeQWIIdOwhPXzwxjXEmbp2LINZaTuM47G1xFPmYLw2asnLRSHbQTgVjxRouc
yRJvVIHDIiQUqTBQnrg1ljDGyC61kLUTRQpTzkoewtHZctWZuSAwXdUXNUGcSVD64b1psYa8omRm
Lpd+N+bchONvL4rsPbc35a2a2sQYkxjqizg1BtQJ4oavLlPdi+qM4hCwzk52OVdESacbo0LFNeqL
A7YablIc8ozgTH1vCzC9Rl48MhI9zm7TrBvUNVv2535pKlK/qnnPbeJqbokL8uFxXiYsqwzb6joz
8+NgtC9FGhxaDCzbmLkGPqN+3TFEXNLMQbyjtLUKmxiswOC115mL9zKMAcHbBhb7JHcf6nkWBIT1
j0lnbIQKb+E/ogu2MNJnarxNE+8T59mwZI8NT6JWHbCh6LM1cZMNJjtiUcDWdokwWhaiVSsfU9xV
UlWfZgTvKkq9g99ZjPCz4qcnaD3zveOflIfR0kZLv8YNGX11wVwcm0zlwJ/87N5WXfY4BzVvihmR
kFmJec3oBUFij+yVSBws3XLLrXlbjeYEftX8RjLK/NqgqdG3ExLVvPD2TTXdRYa9M8bhPi+qU9dX
d0zXkhet69s4ZJYkgHEwPfQ+jSkL6cZnyAeHxqSfNSVrJ0afZtTNOsiY8ERdfD2zO9819YDBCA+L
P+qtgy7ILvWVVTO5VZX9WKYUF/g/EVSGZ/wOh1qo06yHW5QIbHT9ADIvvU7d6iGYB26cdC126Tj8
LOcO3W81naIQmldTFCfG9hCKQ/rjtpA/ndavJt4U0zrGMIe5qo7HtERoiSrdXGI7OyFc39Y5Inhu
GS7GAX1rFTz9G4MXkswh3vC8e3XDAV28treCDadeiCIi+zPE52MxcTMJuX30u/yTyiZC/gyaYIHo
gXQQGn88i7PdX9gW13U7HZiDzmur91/ZwEm1jue3AMJ3uzBCDnHLQUAYifBkxKa8snUGaDVTS9Kw
wSLkPJS0LnBHpBkS5xiiZoFnZtHMnbgohIIlE/nN4MfrWqbAp4kKt9FEF118l5o+J7ka5bKp8nfM
5C4oo+JLxvjH6Ab4G4/JC/iwCPw/vop2sG4uAvPlOAYPTlGfHPS8iwBj5yL3q/dwNI5D6OubNEj7
nQqRoYHlqFFaiuehQuec5ZO77KvguoQQvzZoMGR5ukcEFbjhLhin1YRky4YZE8voyo2g93sNp3FB
tsYYCCx2KXrQLrDWQ1Z/xUP06biIKS6vbeQQGSNx60yENRDg0IAFyRs+A1jQpjGBb2EL9nBZOphP
Y3wecHVVY549XNBK3tfKDja6breOJZ4CqrYx6ZeGaZ+5aWykPxOKlRJZYtlfZjYc2rg8zhJhk4RS
I3qsCK0SmxDpLWTNM13lR5kHX0nBsKlDTeAAKQI/XZbu/ajym7lFLDPn6auLiK62RqJQY7ZuTti2
NNY2ZK9NZ+IzsbzsTP802+h+KNdmbo3L2sJSGBQxbvWLzYUUDJwvSXsN7JULO7SiImJ/t4JxB5+D
iVhB3q8C4RSOzX1dt+tGiGrj0U9jyn258IjySYJvXrhansjMuiPE8Ro5QLl0tDgaZZcgek0hYEyQ
5IoBOAeatqNAMLMt1cwL1AkEPcLx32K6PeuApJ/LUaBWmJXPkO6Ps1ecUpzW10NRfrqTEsxCEQSU
wP6ZxTXPHmJd1xuLmx7d8U6h4bOkx9GdYzw1RbyzpkA8xlQlD6Hnf1wk2MhE94Os7zxHPIBqXXYt
DULt2D9j/OOUocBiBtd9kz4TwBgiCoPiGsm3NV/FzK+XJocAV+zhlfb6e995KFUbYFNO4T04I2Pl
yLgI4DIiG2edHLzcekhD7z6KCODRdn3L/IbsAo1e0GTMOJfzm01IQ9MhBY4wHq0gLd9pVLYLtwUV
nIfVWaQxEsgAQX3iuHsuaVsCANqNr6FiuxjTVjTNb+JgcJdt6dQbxi23ZZ18pE0PslhEN2WVcd8C
36YxB9c/bRQGeYuklhSTeCGd6qmVZr6sp+qrtMZbowIlChfWehQGbnBz7C7AHtA6vdFqQNPzTefi
KBEm2gAVJjncIqzAoMbq9yTvT2YGkYAD7ACTP8CiiBmZ8wr8Er3A9Irnbj4S7/DaFZkDMGBin+M6
MrOFnlzURvjYDafYkRD1KbpUY7SFy+Vieq67AJRffCB4pF+gYPOxOXWcOpMr1sImBMJoKvT0AM+W
ZWokpLHMzRp/MDK8JjUY5OZP9dzuXA/IasTOgmsAsnMuilOmyPOl77Ga++KxzMX3rEBvX8bvV9Kr
pwMAAXOTx7zNujQEYs0xvMK8v8Hvso9Gc8tgSLwOBd/YycTWz11WEPCGLYw5GH/FxmunJyz2T6WP
Rmic0Km6zZbdbCU7dAmtJnOoa2/RV5OtUtUnC7CCjxoNETeOBFVxyUnz6K733YcyYZiv5uZcS/Uy
Ff4NE+hdn0tj36AiWArP06usH9dJ2D7as3g04vrC4ilvRy+8q43yDttevEhnvGJDvbUK1h3xFKch
I4qVvItDo/wDYKm1V1dXWjaUJVQwHNWbqENTLPAy46jdjgg56WPsMRsh6wXTde2p0jSWGEmnk9mo
YV0P/j7Og1uD3LglosuUjkmw96t8Y+XjU57lJAVkxlobFLWamIlgNH52lb6sXfyvqFedtZu5FUo6
zAKorgJTUrOWg+VRo5ppucItNTobvPhNv0zV6D9SMHb3vgyibFlLkeY4iyoEEqSgBhBQYJnO1yrj
An3nxA3HNJIy7P/k3EVXCGJTsPtl/bMtL6g20bRcGWsrtq7NrCnpZsWdLQ6BpuezDNGMfdHJUU9i
yPVOyGiEKe2E3dYA3EOsV8K0PEb3spRGLLJNrHrzHFSClPPGQKmxh/6fraHGp96KJeXVMANG0nd6
46Ecot4gOKtzH5yqi84mXeVVH043M65vH/SJQYf/Q2ttr2rvnf2uAnL6QVTvzYhqgEhNMzkQXZFx
1kdJguBYyu5V8wLxhLUWyhVsNKEdDbcKmwUEJt5PzJ4yia4CET5o27iIaei76gxzF9jLuT+TLHZL
I7hAeHpxMfrqRkcZrY+pTK5MLdIADEYbgJFJ0psoqdZl4qZLJB7YLPH/T7X9UTfg03MzGPcZQ2L2
9nJEjRLA+ZSCZ3ep4EHsmjE8zIRzrQtHl+RJNcehH55TvE2Ltpb9Q+Oar4VXPeHSoAmXFbTCyY75
wOgpqDkCDNNhMh9x+3LTd6PnKFW4co1GAn9iL4Hjqp6yycvuMV++mDkLlmcDrW3K73TRXa5g4iDK
H8CPItcoOhyus0HhiYDUWgGHHVc5MHC3HfbCqu9iTKXI2+NVpM3gyHj9g+CmchvGk75HTJgPp173
xTt1WfhRF413zqq03mhs8XdhZdLZjXFTT51QzBLGOxqUqyn0SJxy5rMekHuIJpy2ZQ/ZG+gDlVQS
JSdZIJNmgb+3jT4TpgA21m/Qqnh+iayRYLdHCmE6roTK4VvvmnnPsdgsGg5WqOrUeNk8J2fX7cnO
mf3nWRbi4BnuObSSZ4DQ/ZEA8XIduf78JByk+jOXNkQzrScfM4TLiz5Ko/UYdfkjNvTLBTxX9wb0
m2WDCX9eMMnc667G/6ic8VzNfvRJPqvzqQY1PAG3tBZZZz/VBlluUZxnNxjGuYcrnQDXDwauEkzR
F3EiF0l9odJM5tFr8Grr6gIfHdu1jLA29q3+TNz2ireFCdrYvDPZzlaNqm7Huhzf4eP2sCvCTU4q
Ob02OzoyHinWwDHy/VB0/R7ob74D/1btykoNj5aegmTZ+M4LxskLdMbul1yljI3t5wZSAsJcUz9P
1+TM4oelfWHXk7mzyIFHBDU5YF+Ye8tpvncGSDClaaU4w9thwwJMFzFINELIuMg0XvsyTuPPxCpA
aVoBnloD+FRPGFccWWDOy6lNCJSonfI+bGQuVrnpNFfwg+lYWdYgH20VcC5gDyJJ2E9eaZIgUBsd
CdrRUcbRjLXcEhhP/0xM/TLq+vNkcZPOlJPthzTAu6fkhRzU6GEzyKrdTZVysaqORsP2nol9OTnJ
dZM71QH6N/kRxPKWcHXAr09eGN67MlVXRULmZ27mKwdn7mvWxdFr0SZKL4AxYpSoXPluRmmz8Wkc
f3u+NBgSWBp+Uxg3776fRITOYBdcM0fPyB9oWuOzunSaqZeImUIPyUWFtRPaS23iKDwC1fDxh3AX
5LqoJ5T9m2pGylStPPfidmu1LfC1EL0Doqy3eSBhXzV0KgRda9b3qPpl2CX+O0m0EyEiMPN9btxe
WAUHQrObcj8EXVTQpaa3ezA6I7a/u45AihMD9wYoXT4XzVvC1xxfLL/hLDBwYYYfvolu7iTnDpfK
SBxJuJaMFZ7avPs1lQCcvcZ0VADeM70KpRigior8mpRGCt4GY1vXQBT2nBVOSQnkhPG9zG3nIyQx
/FxT8Ic799c4ARlmmxCiISabC0XR7nrMQN5tNnDJO9j+4FqboGvRppZd3j2XTsZDRcwxf6EHbeFt
nQi3uzRCXJEcIpPYLGJdesuKlq0J1vgwNhhgrq3a1uds6pNmY/XS2kXD4BCtpYDML8FIJfSzm3yS
H3mdQ4dGPF9+wyVt7RsSk/DqJCq3FaMyJUMYP6PQG5y5Pf7yuYG9D8JQijXDS0yjnFyCTs9Q+SmM
qqDz1gldVdBIJjSEYWuArJ1sTUfWqz9y10XOOG79sbrTYzq+lASZS9/4FCN2z7K9aVKQb03r0Beu
2G58o94NtJhvZ9qtoBwj48i7/Rpxq42G/tsjqwEwwji/InBd2URkLabWK7kE0buj4qLfQHoflQ9h
Zc5qSmi4XIp4qINl5VJqvjXRSFi6dARjo7A1NlTxqPyAWqfLsPmKfWxlYnwzws65Lh1owCl6+3AI
0S87wr6nZZ4+WH6vniTQvV2v9IfX2Rzd0exiJ7dwoswZzMCsNt1Dyc8KspGEAjYhNqAWNSD9unTw
/WxrS0Sdt2NGIAnGkoHdQDfOtG2xzSFOrybNEnHq3Dr1riw+QqhpRGUl8YDbuh1BqGKaZdy6we6Y
4JJpYwp6W6UNVo6ooy4oXYvyhLoRg4iNMHVbloAUT3GdTOW6rjzlL6Omiou1NdaOeyxi0UJyKMwi
3/DAeO0lN0mTQZe3Qt0EPR7GXxRxdw09yKf4nlV6ZeAec46QGKxyz9sbzztMEOa8CnTHz+26NbIx
NCNMYVFzhFhZ685Mb7kx6/Chw1NinVIt2QqcQfB/UOtMoqQsSSy2qlYSF1sEp4ZomW6jC78lCkzZ
FUaxwMMqUuIfsk5QDSbrPrXGxjj6nWqzncQePO68XKUV4VC/tonBS/r8bXCcOj7bLSnIV2nNWAfX
Pq6eZGFVYXvRPOdSXPlOZcY7vjKYpaCJsiOxS4puZlPfhHZDhYVIezooKFKfnp22NzzDOPSbwerE
2kKoMD71PpHdVqMrzL8ianfgiwhbQjkenFMJxRQdGf7SeXyqu9YAFlW1/qoZmV6G3DuvZyhPe2Zx
P313fuZIpcjiAn5EdDvdsHmTWmY7x4LktV0e+c4WucJF+THSy7FUh4S0xCs2R2RaAitZYgzkblTY
4z4COYmjl+H7pJlr4Xrsra/eS8SGmXnwEhRma1zaatFL3sbRiAoYURJVPtDvHS1o7pYDWaMn4rgx
Ezsxz4KC7nTMXItGUARO9DrXk96ZsddSdPmJogwpgnVQ4ltd8Sxzc8/bon24jFXwoHBI6yb1eczh
XHzWIp3WfaNOYYDwHxjDdCsM37zFUDnG29FL0UoTmrWfpbzvTShLQsl4gzzDoZGTuTE9rzYgptdv
NyLszUPMFlEfNAXZ1uyz7ywUySr1g/rebEyqGhpyNr8JMYKUf82bz5t2HzE+eUtBWq5k5rerjgCC
ZeaqzFjIUvCaTjDw1sVEe2tuiD+dWys+FEagz3BWx7PLc7ckr+HZLqCsLJnUmh8ZXQQGZ25nrphw
TI8pg9anKLXwURruizXS2BmJBlnneghILOsrDYp7OucNCTEA3bKli+L5ymuI6GjQot+kfg+0bqKd
jew+S5lOtumwb/wu23pO6n+MfdZtq2EsT8ZYtNdWIPuFS4eS6luBL48uu10dPRkysI5u1cNExqaI
1G/vxgE6YQ01hhOjuwZaZx2QF1VMmJrq/QInD1YGIvp1CmGLHmliDWD1+hBCi6qDeKWgfX30As7n
UvgojNctGCgb2bwzvddumlxosaAlui6Jzz6Du5fInrqXMQOGb1jyFoSDdWUZs3PTWxdyP2Sl+YDv
UviY1Wdk3VxFNq0ohi9b1e0tkajtmbS8Q2K49I0MZ8QO4CMjXEAuoVFEnJwdLdNytl6jGrZNN3k1
0LqpuG7tUO4aFx3AwkNcOeMnT9JtTjTi2kGoQ9iRnKM3gNTeBjwr4OSOuTYj2Ap2iu0hwc4r0NVj
ZAK0Sc3jjMB/a/hQqLwoN2HwVkrS3R9h9AwNji1ww+69RU7iakJRuWUg6TPUiwJzGyH2hpEmMrkM
x2LezLasr0L4jh/ulFjXSTp899CQoLrW856aJiRm7uKCsHIh90VewppzuIiq1FdHI6aXBQNHwZ/H
BUICWGDfkrY7vlYtNsAV+ZvTlelLRTrDyM2jqbL1PBfeNQ0cb5GWwW4gNIf6Ld60ssdaIvUdmhDy
DEhtvW2YinF9jUucmxXyCF8mG/I5rOcWyhuVW6Csfah4Ehdal+4dgfQI4kuQmn4DW6VK+mCHm5gO
XeyvEk+W0DedPcbW+RU1HV3tkN4j7r3mFtV/C9SvBPkctkl631uj8TIqM7xWpLhyNpsRfRwHfqH2
n1Ln0l81clxZvQKeJku0BcjxoqXPBZ/arjV3KaysbRCl/Rk3RHaJCA54/iP/2xqD9gugxneWFCPE
ub5/HxLTva5LuwasB8ebJl3P92Gmx7BbLyUjceKWSTGmBs4AgZE6mhnDguH2BmvkxdQ37HEUQrTS
6mCa48ViEVdLv5xeWzNJ1ghJHnOQOAp8PJsJuZATEZaqkCdcLLXNdQG9IOm/3Ilqh3Bbw8y7jcgv
9xuB87KYimpJX0WT10O5tJh1dEcrvDhqmd0N3JwHMAVghjEd0XNmHGkhuz2UWvKwKqxLuxCzVHRs
mzre+MMQHtF5dBcMaoKY2ucAzulhZcN8P8PlW6VsomsY7/BwyCYJLNDdYW8/uFB4MWF4G+VBNWQg
uObuZTx2BpEjbpwccn96qwCNrj1em29BpgiU0jG2QQ9MjzAGRgyg8YhkMG/J74JH7JG4NOf+cwBJ
iYalO8V8BrSUlT3k2J4gOMM+AB4E7V0VgjgsyupyGMWDBthxMPtxOoYcz4vmEgpM7kFEE163N23t
0VByswZGP0wSD37WMkKoee0RHb22aTtPtie39BQpQii7cIxbKP/8QS6TOq8eYAAhV2JTXRcZhB5S
Y8eNfaEcTiJ3VxW9l6vQcOgFS4Kkithol0br+seuAEgQKfyPMnCn0zz19aMKKGJzOpUvwhH7aRKH
cuol4WdJWZ7oYi9l17zFvcrPsKF9IIx5fDANZezqRrTk0tjGsaklKNGwrr9oHktSWOrwaBjFQCQA
OEMRJvIGhZcI1uxnTB0YkzH0CQmC6pJ8V02ICH3vcmcs4ZBoDQd1ygp/Y5pCkYaQqu7cO+Q4ejFj
i5DC/6ESFbYmFKfrzKAXZoYzGajDlJV30qzePexWpzbjONy0IJN3bgXqKranBL/+1H34sMKJOWno
T1cO23NuHh1N6QU1L9DwsCMmw3MeXqLoafUexECr8XJlZAJUDusAygjID1dv6ZkYB3fMBHFA/AZF
gwArGelsEljYtgdHax9uxjR5h4u57jLkLt8mdhq9Y1X7902ZZuEyqXK9itwWalTXi3I34SEEmp7B
/0OutsvdqcNaq1ltsWoaKMdcMel9EN+yGgivbBd07uRR484+hPRUzKUFiIM8clP+jMiQ33UNd7Jh
imz5WCmnvR1tWzwWcW9eNYXbHOZufk5qL7/SlFi3VqKaQx445Z3IJ+ijuG2svePWWAYRC+CKGxmO
raxioLKXerqitQ/NncJQLgba+OU+cwp2eXBjBv3rsBnslejIAwcCgnm2VFXxOVlgyte+OQePUd2l
P6008JmpCM4Cz2PS0HXgbAkRBP+MT6yU/qIiS+7BrCYFrKehEbmKy1pxBzbaY0ea95YN7WJHUzMa
MOpGbF2ha2A7nl36CTNCTocOczr15VlEVAsPuNIUAyGUcctAWN5NTUOPfJqZGJonyGhIL6fECQle
KoIlFblj7cyCRoMETg+mKCoZedh6gO0WDZUxLQ27D79llwzMRV1kWlWUHkyrMD4s/GmHzp/ZHxRI
+yyw5lPlMwMMs6G4KkcRPJvAfiNdeEzkmX2nin1sjONTmrr62tIy3biVGHHoOpcq2S6/bG/cYzgM
Fpj/cND1rzEPOd1EjS0Se+iAMEkRXQq1mMKmqvJ8ieqquFEopkIAZg27HrftnRFg0ozNmM5SbyX1
MjSDcmvAnYkXzpSX/E6OcJEgeRjJHPeTNl68aepiS6bluI76or3KEiIRG8gFjK+wKCDJdhbSQN2S
NAoiy9Tke5OiYWlp79N3Q0QOiCm3eW10z4kgYhbCWNiusq5udrSjyKgIEEJQ7F7igXR45vVGR4Qe
75jqRKM9HcthM2PE2aTRRPN45k0SUUcaL1MMccSJlj8MJbXnyslHz+CDxRUJAPPZ8yuwYvUUivnA
vsqM1mV6zA2KphfzUUKWiCvl4fPW4AQScIEFd3Q+BpGBTZoBck42VdYjUaEgCXeDY1m4Z+U4rEOE
JWDYsasui9G+GxkzbrBQMB9ybURYWr0NllKCw//y9BEAs6PC6l7g9ow7w6oyLg5eMS6KFnyB1SsG
qhUphC+NEmgF3WbKr7pAJcdRan4OLn0BMy/q5bCXw0oM7W1k0dKEDEYPtAf3s49pwP63osv/IrlE
peNIiVfLo/b1/iT/Lsu+s4em/LucfvYaaHJj7jhAtNnkaMZwRWDPulSdnYs3dfS6d4b1LoPgriUF
uvOpgndjEGQ8sbpA4MpuqM8+E0luY8DTyPzurN5cVVkXie+8A1oMs6LMx9/0w/+Wse+hzPnvf10+
5xPRBOERUfcrP+4///RPg/n+8Dnb7/L6Pf9u//yl/vCV2//968MEq6zeu/c//AGEFaHmt/13M919
t9Q6/0ixu/zL/+kH//L966s8TNX33/76WfZFd/lqiHSK37v4OIRNpNL/3Pm3b7Pvv5Q//3L1/n/7
vN8MgML+YRm2i6GCgReKAbCD/3AA8iF8JgozjfzlULAl3+0fFkD7B5Ye33Pp/9pI3k20wy1PTPS3
vyr7B44JT7kX841DoLrx71gAsRL+TlSvcO9ISaQNelnXsc1fLsTfi+qbcoRT0cHeyIko3XXBu6Z0
QFnAHJ7oUsW4O9l62o+Q5lbqv1ki6o+q5F/f3ODMQTWFgwkP3J+WiKT4o6TCpltWNf55E/rFrphl
A37LQdkINRgt20hqN3LtgQoSVlXcx8Y2k2NLTxi3HPTbFGafsvuLTTrNjt3IX+JLehl+ceQiREJH
Xl1WieUaDArS4Bxz6fkcR1FqbiKo2vJWBuB7VPfcSDOeSBPMux0JLeZXbEBQZ75qDdEm5k6NcCg2
0eiTjGyu0mY6BUHk33LYx2/dbFM0A9QlhwFWrn7CJLBxRKbehSwuQFarA+GUWTlddKqBedmYbvkT
KLu68hiD2r+9tP/Wmv2fLch/mbz5/+KqxPL6L9bk4b1gPU7ff1yRl8/5+3p0f2A7VbgELJ/njlEF
KwuJX/e3vwr/h2SNOr6N/wvnrXPx3f59PbrGD4Nyk2YpK1lefFL/sR5d+YN5h4Nd1yB1899Zi+4f
HS7KxqNBlINh0NLAuWjJP/lqYjus2loIkl+dmWCytkRyAO7D3rSOm+6Y4LpEmZP8Alyb1sh1Hao+
PsqZ5I7FECZhthMi5gGGteoS4FNfmh0RKkvYbai3GI0h03gG8uEQ9h674xuzh9hFIRDoGRg5/dSF
JtQQvbPJQbmw1NCBlZ4lw6bKOpP8oH+SYQEXQhvMqi1Ct/2+dePtjFWwhrJSFe/0SGd3KYOkv+/U
tOrcicAc5sHykRClMN8OsZ8fRyHnZgUKYdq0c839Beko7IIcB8JhdFTyaY7zHnMT6zoxdXiomHsM
y8mp+ifHcI18FVEqbekZ6o0ySUTaFn734IPbzzYePela19HODpx0UwijjNc0kIINyeDGu4khkplX
T9rcVLfmu66S7q3wgIAz3CZnusvz3a9n7/8vw796OEj++cm4ad6Lz+/fH6aXf//bCvR/0JhgGeEP
o/8r/Ytb9u8LUP0wLE48HDESjzsWeBbIPw5E44fEw0RQtOJcZrGZ/7EAbeMHEbSuAyMK+6KNXfTf
WYQXM9R/Ork4k2z8bDil8UlJ/uTx0/3+QExrRdRFRfPZiWqd7igo5yeKaP9QNHlLcdEzL/zdS3P+
7Wv/3gv/X76jsi0Td7TJLiJ5af606hkdV12LeH6RFQ0eoEghnJnHkeyZEhUIUD4znm//9bf8k1+N
30vZtHDwJNr+5b9fO9HvvXS1QrAl0VJpojOxJnNackvXQYKewmQJ6xDipOM6ARLAOAtfGCr+H/LO
bDdyJNuyP9QscDIOr04f5S65ZinihdAQwXkwo3H8+rsY3beRmUBX4T43UEhUIStTIXcOx87ee20I
ZnPi/p4cVX6OLJybKHGc6Q0vMvuif//HW3/jv30HgrxmaJokx12H8fkf0V8HFwUpCIcVTTMvxEHq
zptZy3Xe9X+njf9EGmvBouU/BBv/kTHkc2HXxzVkMQqF2O29f+Skst7z81RB4qcJ3WiixgycQ1I6
pLfbJqWYhjN1j+XBs9W1T1q0KEl+FW6u24H4UAmLPR4t+N0fgdVq4z/MS9Y6D/3tcyEIzdvJxcNs
w353uAf+em26k8t078EOa+Nmsuletbx75XZogArBcKNklXFSUpQqbIWnZu9g+ymdHuyYViea0f3E
pJRBgMeqf5t2WWLAVTJYs/z7b8/iPv7bH5TIHROraeP24p0ocDr/I9lWUSAa4ikhKy2g2GWs8Hb8
NjnN9CU9qKb6btA0d5YbqteUfTV+m5yDG51F+qqCurzMeSJ+eDDKWPTXnNeMiX4WqswKGw6ukt5J
Dol4d9iU0Q6fpda87QZhfdBDhfsuHwdUmmIu0oNMwjLdToGhl/txDsvpwQ0z63PBUuUeWzvucWi0
vaqL+yW3yZYZYeM4D9A8F+rOlXayml7PILfplEkbNvWsYzBjlBaJs/vUG7MJ4nJNP2+cFC5qEg+3
BAqs9nz95ONwYRsaT8Gnb/QmjpdMGt2pLw29H2ZR1Qc9tJARYm34LGQsv6UQN+eao32kUSfVt52N
XF/H82nx1oIqs9EG7i6F/Sby/MFQnIbG6SMh0YQZsA65GTwcf9llzgSSFzI3HhiU/IZa39kkGWUO
Lu0ObWU/qG5O2B8Ugjcsvam37uK76pagEYs4m3Z4lLeptBMaOBBzsc6tLCRTuXyUIOxieZDhpBPW
Q3YDqGnISJ3Nhml+Jp6IEUNtdPFtIqoeNbTFxYahSt60ccIco8nul89Dp7tz0I2OsWFaz+crghRY
KWs1ZFi+2wXETMPguyTHM65yDzA9q58I14SL/2nOCv3ab3OI+olbTveeq3lOL7EpziwbJ5ZZtN4I
EFwdjzTK1cyvQKVFsc/DML5FUGYsn1uyaVUyOPhaRB1sO1o6IrpS9LCb5qQ/uQtW+zm3exNeGFEW
mn769GEJnOA7azg5bOaMTrEFygQAYct6oCVdq5uYdiTcIjlMpefeHeh5Vk6Dh75KA7J5SGb3Iplq
tZG2rt8MniwD1R+p99QSGZ5OwmDBT3wkGR+CwmWKg7OH+9VShJ92tRqakyT+Q/RQWzcOSLqqMqpp
4xlN8bFgc4TV5sUKcafIv7EYC6Yqr+BRhZ48WZCFarkjwtGf52XV8fXybZXMeLIn3AQoePjCB5rf
mio3n31N5DACE1DzZ1gm+o9H5dyxT6lOidd3b0L1ztbRpKOQBir6Y9DhWM40mN0Hfv95wiuH1yFZ
saOy2hQG26ewSKucmkKXa9dtScVMlY45KAW4DesRT9GSBApnNoXyb3T8xRRnFvXoRM2QqyP0TRZD
Me+JvWX6vzwgws9G7lIUQ3YGiiz/PIe/rmSDgUHBIiDqZzeWmowVce9v3dppd2Lp2qfcNWb8VLrO
34rGLLaZClaYLgYOHjN83famnekk3ZkJ3aPgj3l+LeO83NAJI57cJRef2TTXVzXZU0TeNCZDWvuU
rerm0jTeWuVHjOXcCjqpN430nCFq4CDqvZfXQu2B57X7WVrGr4b98y3A52XXW207RXUTM/m6c0o4
qumL300Hkmeh2CKP5hSUKYZHo7ifFCb4w+Q3Yttlank011prAt3uuUBLi6Yc6f8Wf2IfnpEJWCsO
q3zVa7xVnW2qHfQ48Mi1yZsLBRSdGSjxpsU79c7RmIsVGplza3epv+96ojYBWeADgD6zoL1LIxYJ
bT8UyaK3fDLO0e8CNwLgIF5lyI4ZZ2SGJTptALiFyh7AzgHT2NNiEhzzNMFd2o9udoNgMlNBRaAL
vaN0T05tzoc8beyVDDwQ6C1rTg6JU35SXODc5pYiF11NcfwAJJ6eYCfEYEiKw5aPlYm962gsff+A
bS41I8KrHnWLYVCcB12nu2GelnujnsgEmSNBzcAseZalnYSv2i0/naQjfVM3rrcHVbu+fZLGpTmW
BZrxgKurb0/ZGC7hkReyEZ8GboVqO3ZTupdcsdzbhXvX+eQLQRXhBbJNIhio7zgY835LbKu7oXP9
fmDnzDLnGSuLfSmGed6Phj7YAO+kb31V5fLYmuGvzmofrSbc0dDxOSfJVS2rHJXdE8NxT0J18uo6
iqRK2dH44fQJz9TUegIzf6sJ0ew79rAA80fUPsl/W3Ew0q+JteLO3lnczS/xiLdJ2oKCpzbMj8Pc
0c7G6unEm84n2prlv+LWSrH8JPLANQh00hv15+DKiTwc7gbePqhAKuBzdANHviIV0MyjTeOYzsvU
7U0VwNMUjq5poBQzZhWCuu0Z1AIZO0WjHOYGPBrIUf0Hdt09SCkzu/WqAj6mZaTm3s9GxamSDzSm
BFqwCgZCHhhPbZYke57PaXLKco+isXWFIsh3J2Zwi2WEjT1FQd1zY/JQtXM0hf1YVLsRw0z8SJfl
giuDQMyGi7CNMKPFCfhe4MH4QMQF99my9zUY9wOjBrU+agIs7XCyvCvGHPtOgBlDXZwZ00Y2mOQO
PQeywxZcw6poW+5wtAIl7qQnGd9nx2198O6Vl0bz5M9gIPWyPOYxnzmPQeEQCk8r8UP2cDx3dpWm
lDGBgQMMlNjDHk6Y98I9Ky/5bM4j2b8AJrwaamp+5qq9xwks9jnomRqOa1J+B4kGWRVjXJz/CDtw
sxB55Kr34CNA+uHk37lUQqGnH4JVI/IN1FcaF4vfVJMbL7KnLY3agAwWRZokNNzSDhEVvt9FYVLY
L5PnYOKwKVu8kU1I1CPXmducdIbnZCOHmbZ7PJRHdxW0plXaqjOprk1V1emRt0l5DYxw+tHbVfvo
rtLYvIpkA3/7lnz8G16tjvy9a9NJUyav9kxmDjK0tn4KjoFndpaQ7uPS+p13jv+S9MgvCrvpF5+s
+KEt8L18ceseouK9t61QWnWUlUK9eZI6gI03LQ5qbl9u51p9Up807ZZVHCSt3R47m+UdQVvEQ+59
poDShcJ/7Ik2/GxXtTHAtHRjycZvN1SpdjfsJ1Zh0mUjghuN0EuTYqZ3punGq4DW9nIstuMffXNV
OnOfyW9pvYDw/iqE+i0Rg00fOvPeNQSK7gSs8YIccs6SfEAyREyNF4+/mKP/OZt9HgWr6NrH/Yly
sOTgBsssdjy7xjv44edxlWqxZ48LsGdnOBHrSHZyFXVHoa3nIhX1udKWpNu8JYjVVi7NeKskXIxN
vYuR9DCKTycDovFPjqZYS0Mk5XAVl4M/OrNfucs1dWpCgLQhI807nIjQDeV3TZEeXrwB0XqVr51V
yM5nF/BxqNNbe2wSEi405OTd1V/i+gLLDS2cA8BN4sOWXWVybxXMRdw3Lz3DzqEsvQezyA4McciE
adMdSGdKgJBDeVG9oBXWRINPVzXeklZ/u6wKvVi1elgROA1X/b5clfz8j6a/qvvOyBm9WRX/edX+
7dUFAAXCOtDEfCFCbO3CRPd3lLbSU7/6B+zVSaD/eApWd4FTkA8aCXTxrMWAMK9WBBxXxjMjl4Vz
HaPC8MezQHkM7q5WqhzQQ+pvZ+Xar3MisWo57XIG9zVu6158knqomEN6uRvDathVeF0ORez8kq6i
lqgvlmpH0XB8lsYC9jilRrZOZ/uKjNw8W2lX31bQ+SfeUJlPwbjDND0bE8CDYtwHfgq5tvU98u/z
fCxgx29bo5/PlYsNL12K3+EY4IQZQ7CSwxQivNqYKv3MHjcZTrNDm+QlC3VtMO6ndUjNcnOp0up7
jpsY5kNan10P7KdvU6ijHen8LJx4BjWBT45JvLvDDQO4uwQ2vZgeQUaH5J1XM3nQloYa6OV8xVmB
27VYHuD52c8+bO7jRKvpvhwlKcaW0sPbPseZSY/wQi8FAH/TUTng/bn9CpkMf5H2R6gbQIyacWyf
oLkbt6gmxWHu3OAldGPOThqkwdkoqUJMh/I1WCjpLITANEXtezRQuPFGoBFBHQ6cbsKArjPH42iF
s1Xh4TVxp4QjaWw1iHUqNneZnJZL3HrWftQJvsFw2qREi7ZxGnc4G8dX+Ozka+apPE2zed8hmO4c
CvI4xtSg5Cv/kM6r6TbTVUuTMJfI4NGbBOqLx0s1U7w+ZjyO1mIwihnN5yzLHILsTXZC2eTDrGvn
q/TMCl10fHQ0lHPeBWH6Rjb3voRDsUfR/AXp1r7h27Z2Aa+WU5hlh7DtZ8IT+m4mSHzmWcDRbTSq
J+a15Vi4ugQNZfMunbKL3Yt5BvHjBoj5sAd2oSxBYhiYjcyQ13vC7X1k9RXvGY5/VP6YHkKArm8V
Xq9bOa9p6yalSLleiCWNVH50+BO7MHiyh9aKiFRh328RXSyrbPaePR8NbqANgq9zITuWf9dlOb6N
FV6izZRM0ykYabmal/q+zEvU99Ev/Kd4bjGN0x7QY+03GWrwuB/FsryvdRv7DlgihzHRs/ROkor4
Gva1xQk8UiOTR2VA1ffEwAs98BVK/LIwLjg1uZIjwiZIGD5IJX3Gunkrpyn4ljOdT/yDFUWAfeqd
YtmLW5byeb1JlXLfk75xb7yhGe4QduaPwrDU/Wi1aMyEl+XRFOID3zKdLV6g2lt8yO5H6ZotkWAz
v8Fj594qu3awJlcuFjGOF6OVmQ8cKAU1jAUla3Xf3iAn4gJJjNQ61arsKagNxludqemBOL2iRink
f1YgVMDKOk/UoxisNtzxp6LN+7MaaTI1Dfw4B3AqoGWKrpgxTtWFs+nYeOFg8zv+wkkAX+8Iuq7x
Xlp/Mb9jChZ3YR/M3w5X+GEUAakAv8HR1aVWea7iuouE0bcHsqiMIGFMFhu13rX01vR8LL4GvfES
73HlvPg2vldMwYKhE5PBW7OU5LL8yhS/BqPrddTHUj50bZm/Ogs/aZu3Q/8Q+8Z8MymfRWhRqK9Y
TuGxsCznvUGkvElq8U1wqL5x55AuGI+qcMb2JxqrsouEWLRsPGchLumYbynhpl3aTv3RNM30s3CD
4lfbUi6R2h5jltIHykC7m6FawotWeFhnXbTPwSCDB9NXUGe4aCiaMs3tmBfURLY59Si9tg/oMcaj
PdYPBFvSrSv6h5745FdJg1bkVM14WwzjD3CuyJapZWqTQgOj/YQYOZgHnkiKfGuTgBHGdoKrMpvi
I2VBLRZparrHpjBAh+SFXj/wdtPDIKlwnW2JptYYTijAu8HKBIpjqioWOUyx7j4OAKoTD8Y7Ct8+
OOqZDsLHlh7q4jg4oTb2i5qmQ2vP3i+fpBolT2N+2ybNU+WA+/8iHepSAjfQBm09JJVPVrxhrXGl
ol7Eu1HI0aIlzbRurF5hm/T7hcYAxYPF3SUW9KpXyfaJ7K7Xmp9W2NKhEZdj/zNk8CqIekjyA7rH
DVP4CzYxFtIPQ6FYLwVIpiyNcFOFtA22UMLITM85XVqOop1wzwaP6bgC4BachRziMSIRPwfHsI7B
whJJCO1Layes0mhNGWygEsLOCWpa1NXrgFOWRUszQZQAA24zhrhD67ouPqQeyc53hZeRMuaiFe9j
ylHoLi2G0vvNBq5osY/MA/hXPnDNw3NjlCDpCb8ycm8Kj1DI1fUwI/FgGbp8nzO1fA+WUz3bHAhC
EZb9Y8irOj777li+6kqVr5yeJLAVs3J/Lqrw+kNGfc1yR6mOnR0ygdEeY5B713OXcTzPbQpl5ETc
jnBLBsSnmafuRJGHNbO5iLt7ZcdxfUPKTcs1xZFtDbeuLnXZwqQMSXIzbjblVB/qIF3Ng0PykFJj
XOKPY0fMpQVdK6rrtvwd9uxctxaQYfFihT7+8iZTPNPJwJN0TeyWzaEdWFruuhHewwZMuNPcWSZ1
BXyfivz5wmKyODrSQ0HAcc//v15ISR66KkQ/WTo53Q/LwO3tJZ47PKaZre3r1AFmoHrJTuuoYJX3
jNUKsj7w85nU8thR4VAQT4YXlqQuvRWxYo1HmJNhop4NOtwMhNp9AwkcaK5tTLcUQ/tLlFh+/4bg
MR6HIi3Fo9cYhJBjYWDTFbGHjZoWJOtJEES4ZSpPiSMiQOD3AwW3pT+T/47DU1BYxvTpAx8vCKb7
vUvA3AqKFH7NmLNFh1xbAzmyiqXflpPG/4v9n257mFb+w+Jkrr92ZmbeyRkocyDd44z3iUhWyndN
Qyq6blFHHhwyrNQMbWycSIE+k7LzmZJBKlK0QexNR4ObTd5pobJXb2OMwoRWm/Y7JZlS0TMwdT9G
Faf3nePU39ovEUbtMWQH3nZXtzMJAduNX2YbsUwxzTTVNB56J8ZNJDwSwidyHFNAm5JiT5sqml83
wyg6ehqIQaSMVfe27cwi6oe6fCVeZr/N9rTchY0fwnyVbejwQm3EizBnap1VOPm8m/vU/1jkGO4N
NuW8pfHlUUrTAlJ9y3QNMCWo0Ip/DyFdRlsr9bHzdqPLyM/+mSQSa5guvCS8bw8hgPx2Qwc8eDX+
5M7HAG6KNk4jDrji6eze9aTwQEUU9nijpiV7t5dGPQcJoQYLWNyaBeGSMQNwcFschEly1FosxXmZ
CxOMWJtkwZb6mYrKa9CDkI6WyrEP1WQyWBmGZd8L6VfOGRMttGDtCbs8GXYGg8QYpM+LO04m+h3Z
xs9RalXhGTo2q3oqcXiw6YKESDlrcdPTsENJu8eUuOOsxsU95sz7Ww/K+89MrGNnZlbjk0uakf7E
pueuoD455p7rK4zE3cCjfiSb8uHOMR9lA/CVq0VDyetSr2NcjSdVHUnsFXddoEP7iqfNtFlIUDn2
3c4enEPDd/kVFHflEHmAFoFC/bnezSBJf+GKtb2dyzHvzuaXdLbtgMoZQJdIoony3J+dGJ1uI0eP
NFRM5eIT+9zgI8N3+nMmYjIdcuyBrzZDZ8vNWjivpI9xn/Y1YaYq8aFLtHoargG33+p586c3i1jL
uO3g1+YnMyO+clN0K5LZr+zC26VkoSlSouoPdIWTmHeuosMlHlg8VxAo6H1LNF9dSuFxevBHgU+J
kJy1WvhC4reOG9dsumen3RdBw/SaS6O6oGHO7TYkCnTnhpJfrS9N8zBqZaBvxqDYYBAnzjaTIJi4
4q1Yn0zb7sYD9WzOdDDFgv2uU2QwtwMIlHKHV3zuompoxwbiG49GYjoLLS19ZcsrVUY883gJ91v2
HFO854BT1Zc+H8dL50KB2kpf+8s7Iczma/bJE8GJgjN+FpyPpgcaghPGU5LuMppx0I9bFTTyZdR4
sCNQROgcsMKD4fGPijVXZCNO5rIW0NSIYJ9NN4Z3Q47TcN9NNs3qJu9IVFuST09FTmCPwONK/eRm
8zdG2hOxcGc/4zwa6McwY29yCuDkNrssTH51IQknp0mY6ZrMDU9EMkm6kWHQr0LEy7RVvaJBpCkq
wZ5b8qqjdsAdL9Rahu2+7erwIIyAJb9my18fh4688yH1ygSXFDCm2LLr+FwEYeV9936Xzvd5qGVy
pzzNzSuqadEXcxokdyCLEvvcFUBnj81Ab+B6fnbKkwh1jNtDGWTQ8Uuq36oxElAai1G8to405/M4
FXb8A+TuIkmyTjH1PJ2l9IeZmcXyasfrdBBYox/s4EkQzAvYUcgnl6pJgEIW9ZqWDvvIa4LU3bIB
op/E69j7DLHknYGIkqUneKsZx8ux7QsdVT5vik/6r7IFQ82oqv6erXzePeANtl+Wfmn8XSdDZ9rT
AkMIP5B091570h9Mc8C/Asz/RW3Zj2Sjir1iNfjml8XylWRmfEvjn8XxV4gz5szlzRVYW+Km6x79
ZGlIAeAjFYmHmqM9AFiMS1dpZ2prtxZNtXW8+BeGOX6S3VKwiCrrP7mOp7+Kyk+4fMKM2hLMcvfo
2OUvq1XD725Jpoy7ao63SznAT8jbPDyPfRWcvVZ6CjI+tViRYYdhNCbx/OabU3bsoEnQ80SMqSAo
+3Mi1PmDEo/wxWD03fqUyR8hWFBARYHcL0pKcUnj07JvhznXJ3+ozWvqwsQ5pngX7JsxBsQPa6tV
+NZzfeRhII4cq0BisSppPtu09XiA92uEeTaB/3i9TD+cxc3BAU9sAIKRyIXjTjcC90bkWUZ4Q0YR
5XAq/Ls0bO0dXnZyOeQV42LrTsI1EEJi64BPb3lKMwMzM5wU090kigVXsLjTsWRD+GHrLo1wcBZX
7iAamv20ZKj0067/Gp2wZG+IFIXoPeQXjRWbYk/WKBJZOiP3nnDSBcglw2LX+FV6Xdi3QuPE/HWQ
IqH2z7Va3IY2rSRPiyjT32jZPOysgRNbWpm057JSbp1IVaBr0gGP14aougvfIaeKW7dOt5UFwS1Z
9g1fKx7znJjBaQ6B++VB0P/wqCra9rJXF0z0yclqSsQxK36jJKLm3QNZKY98q6GffMlH9TZDeQky
N79r++HFF/j2DcpN6CDu5QX9dL6CbKHljva77LHR4LV9FYBYZesJqCHuxI1e2Q6wtfrnlGDOx1yu
8UUsFvcsU7nwl1HWe1MoExCF5NoIE7pLYcfQSMofDZoKfaMxXZP4YqOY0Pbe91qv2YaVKdPPyumg
pIomCgZF246RZ+qQLnQE44+guwnXf073EadjGPniyZyC6oKTpNmgWAc+kKXcPQJKokun5KB/7/bz
PG5aMTa3UGnDEwfkEu6NqLa66G2WbPTdRyIOMidyxzA853Xf/MQIz1tsnNPmZWwD/y5b8vkHDFab
Fj9EJmgE1lttGSMbXWirAPsUCwunMLN034PZREuuyrMAsHlH44SX7BPTVtvRaH8bvj0cRd3qcrta
hKL/BaKSFlRKG6iJCtmL9i4IDD52qHsU2zCzJXFzk2cspcikJVEJXGv3790df/fmYO2AcO1xHsCR
YIM1XwtN/upBUTwvzZpqsU1HkioGmuqI80Js/IsYH3qbWfnXfLSZLP/9j/27SerPjxX4SbB+mdRl
+OIfP7bus0kss0bQrg1ckFU5u/GW9kLkj64KOBz4hKX/w8+01g6Wvxhu+KlhYHq4O7F3miYm7n8Y
bmAVQO8rUZ/1gPV3Q6bLRIcyeXjBOxZa7dNp7J+nGPJnbTFTY4YI8iOiPye+ofAWvUtnz/wELQJW
RNMFxOHV76b2TdhaGCfPYGMOEyPMG/GJ3MwM3Qo3/03tG3GrZghwqQizZj6Yc0t/+WGDBNQDIrd4
M4d1dRRlUz/krDXgctK8eTdYbf8ScModo4qIjvPQkPfCBmT2rT6mfTUAsszHmYzvGNMvbGmBPJdz
MJKf4eyuDhKjpYTc46ZjVQYN5DnMehRUmWva9uIZxKceR9lGvjcsJwFU5RFoRcmtxVnhc5xG3nXp
FLCDZbSipI7hEmCo67hb0DE4Sdn/kbfHhQVaTKWgn05BZg7pdu7q+eSVoIU2EyxYnp7gX26swpPo
Jpyv3/Dzy3rbioagQx1kzBrTBG4CxSr74ZW1LQ5ZPgR658bW/FUG1IrA45l6CYJh6sxdDlvD2kii
vFvdsonmoNlMPALYjhHQy51enspKtwWnmYLFcegrdQ6XgtdMsIx5iYNIYXhJ/GYutm0bqrUKCgoe
NU8Y5iCuODA1PN0TIRpTyIK5VQCstLHNiM1c9uoGbpsZ7uVEX3YbzuZ0+HNz/I9spv8/JjTstcbj
/+1CfSqb4VedffzVh/rnH/k/3Uzev3ififVZZnru6qv7byOq5fzLwSEZEOVfq2uw0f1fH6rr/Qur
KUdH2mWI9wQ4vv87mOGKf7kkN3lM8R/Hdm37f+JDZS34d7sflHQHxzllHA7xcmzn3vr3/2LSnLpy
8KZeABowmGn70o+/epPzBydWAaO+dFbNupPUoO2tPJWPZqoWAnyTxaYhtJBkSaGNPuDRPk2PaYA2
uHpy1FWl/rpR6Gvvk8wWizbDX+gWttJhPprAzWi9ZBRBNHZsXjGzBQY+cjX+nMpJ0psu5xbubefg
0sxuHwCeZi9JoK1m17pw/fYjnbYsAHgSPvrUjD3ZjI0rVsIpWVlLZsRNNXn4p6o6h8HLfczpi1Na
HsVks1l+lg5W9QLMEe2VFJrjs+SMuOkEs/sx9WJiXwUevrumNXxva/cwguLA1LRcEsw9jyxg5Iav
z/6weCAgC9R5CWC/DhvzJHHH1VGcrLyAIZkMunJhnF5czhQXx2MuKCbLRhfmt5yjzK4xBMb2aObQ
Fnn57uFwOvZVgLnVUWmUBmluuAcgS1St3/MksQz4M6Q3jzhi/GErl3xiNeHKR9a2WNYkthtE47kY
3uPegcLTYQN6rxLh/vCtRLwClhx/ksuW19jLBr21Jg9u3Wp/MyhjbViXySm/c9owygaMXXaDxBYu
x9Zlt9eGQRPpJngNk+7cpKBODAelxSIKvmJTW+Pqx+/VhFm0PMdgSmL8f3SJHvlT1NKLpJvBEVeU
Drtbci/7rJw+grR+MK1LM0iS58vbkhYrF2bRd0ue4c+TGxssg7Yrf2c61edi2C/svexotf21lryK
ecVS9reW0AeYTFcMHc9mHN7gw38tu185ACCZvJZe9suVWDYT8z3r6wvvz029BNderx/xBI8rPlmD
gQ3PXWP+3bssymFT53dynA/KlaD1gGgjcG6csAbWS/iSfM4IkGcqJPasCX8zBEgFR4Cj6IE1/2UJ
KnUA+sXLL5Q7yi4zxBZkyVB4zhNNos1XbnantSoKhNm0potLCEiNYz1D6SSm71rk5k3/qRAZjbPw
/oAtGoEg32/NBgd7hCVX9r9xGNx6QX4v4Bada4FBa2C3+dzNQaR86nnj/oZMk7rzB9iyiU+sQ550
SGA827ICfXRtFEjMK4sbvoXWhznfMTdHRbhFHIpG882zzJ3Fmatk6q8UXyQeUju+nyFRLsC2SSTC
Xrf1E/aEyOipCTBB7JkN3IifrGIf4kU/Of64B78ctWyiZEsZNm6IMb8rPbEPmNZNP7l2IcRW4W5d
3EOFlvss8M4BZp0JSRRC4xmiNkKlsZc0IgbE+UH30HBaH4VT/GERUeuhAF01T73xkpZfdh+fHVK+
yfxOMSwkHvmF2xrj1jmLyz2MAzpgj5mVfKUeLZxJuiO+bdQUO8JrdQlGJzE80acxtJ7JQzZYdsJP
wwg/uNTOQ0W3zprhFRLWGVxIIlV9lCn5zPJ9AGKJXRplKvKD9qGa/H3swTSWHis2Ub97Wl8Gt0CV
AKJFZnbPKGCftEcjbr1gR9DTdsriXd5xWM+MgxePv1AcVzGR+O0DY/e4ZWEqoyYp7jPSsPFYXkoA
lQsVJIdYFLR/TpSzWpkozlPZT48T/+pRDj98o7GImw23ZKbvMOy+2Z44NINDTs02Dl3Rn8QSPFUL
xanduLfRSpblambZTVguOB+MqAGgthm68s4ss88QqFJnLTBWi0ywH5Ul7HKe6QwevndTDAqnGwV7
ZvdOJ9lPSfLfr6v8idaqA5ra1mVcbP3salYXkZmXpAgO7VA+A/y482tF2Q/A1oG+Fqme/Hx4tA2c
bUxcFpgWdlVRljyO3nCBf3ZTa3a2mEfCrldPpY+IwUPfSJJXOsSRz27C9fSr/BcGri0enE0F1cjW
B5hh0DDbEYL+cvEb8q5GBQ4yz65LLi9LDqNYzEeXWplm7PazfEDiY/gyLqJCuSzvSvtYOeoypnS4
FjDRow5Kqjsk/tbHwW3m2ue0bS449Dm4dZsQLvk+B5AFg2rmocIAGC051CI7/k1P3SkPiiNb/fgM
qU59VLjZt+YQgEOQV39YraEGILFiGF7cEVAaq1FnhSElHOkL+pfYIE65OiwaSnrpHgTLAd6ri75m
+M66+EuVJgAfFUHD3+uh2hUFz/qc9py+irLUPixF/ykzcTFn797CZm07y95dE09sPW3xudincKmv
/oTJCnxWd29WxMSpNMfY4HH8t9r0GALZxghF9ouNiKYWA+oqzRXArApQoD2WFzxq4wdrhwupmPel
wwO59O9VZp37ufA2jruQD2B/qClV0VBNrEnt/eokOVP2ifc8uqX9FoxWEtn+xajLKCvaa9WvD9vG
qV4APf0IFmVzm31Bs9vmpv5cVL8fO6P5VC6Wff91oI/nQAhkQ/fZpouDYNfN7t7hyA+Uq3lPDRie
XWbez0sC4m25D61T1YPbNnNusmZrNGmkTXL5Pt3A1cJTMPvIPPVhxy5feHddAvvW1tNR8jC3rGbZ
as+VkZ9cktCA0DriMPPNHQ7bCNDUOythvq/ikozSejBK/vXzq2nqzogmlKG7ReFsMSUYTWRHQQ87
L9DpiJbHnYrJAhrccXbeO9iwZ7VMJ28Ut5OvfmO9vhQWnSATpbLazSIxA/9b36UF2aHgaqk3t6o2
vB9fyUXdJA1mftATDzq+Zx/5NuXFSYaYyPEUT9NnYGWcn5rpLM0WjB+aRELKAUgVO5Nnethz9pxD
VC35ns0AkVpWepu5HncYu9/oSfxS8J5Y5B2V6u56yBzA4PZzo0+Iq1zRjthDvPtOyAtHQvwXd2ey
HCkSZut36XVThjuDw6I3ARGah1ROkjZYDkrmwZnh6e9HdVmbFNKVrHrZtazMNAJwfPj/c76TXiE3
PZ+a/NZFpo7DjwTcaRFfHFfzbaJ4OLN6uwbcB9DLis4sxXpAosOKKrfyk+uMe3PRiOb+yUB375YC
WsBJizIWRaXfdQREGv81SUI1SUzIXPr5B+74XTFyg8vnIosPOncCnT9amcdVqocmlrvRX2B/09Nb
Hi10eumKBH4dP6Vdts9s+o/5g0MLYl7lDoHLtfaqYEwui56lwK0C0zulwPB7cONTyQSfj+KyqNnQ
ljHPhIKXQ0lWeoHqLFKCq4NTop5t3F1m4LofnH1vRAGW413vuazL9TeXaIAsfVib70nWLUgf0vIm
xQakEvKpXfsQLwv6HoCeNAyYLerrqRwUEFJKNrwyl+hoQPM2lNfTVOqzTJrg77nR5QJg9X2rnc+T
NCnJNazHKKbYlaCEF+xIYfa4BvS3ZR9zILC7BYLXeGji36O0Q5g06ITQZBRdsC2uM6JDDvzBvNZE
zYy0vV2GJ2isxVy/YkTdr1ZsH7wWPqHVfkqzxQ1H5MR6xe0N6gpUo7aumlx+G/WTYccnS31Dlbok
7saHUOojwJwy+1A0Pz3Y0m5yqcYfc71ffC+k7sfwopLqgmB5ipzxLC9vuiY5d/r6osNneg95+6Qb
AV8veg/3dYeROmLSl/vetj8XPputPj4DhnAiEBU8YWhj3gFbocG71A4H73ktnF1cxwCmOGHknGeg
1KNV7op7C+q7ZVS3KfJFch37b+mk9RmudvBtCAX4CbtkMe2wEtQpVW99rkpicrhirk8nRSkf90Ci
+X1UXH6ojlaGjyIg2KKT/En97ih/Y3n54gAZ81cUbNQWelZxdM5SkWwzVBycVtX9TLEmzNL6TW1g
+lTRErMIQFoi+7AgibTVk+0tj7o9txb25Dn1kfEi81Dxo7tKMR18qki7MyEkG/KpVOxgaiOcW6AV
EVshml57sDF85HxBJGqdSlzlytR75Ij7bb8jXRwW7kpylYS1kX1JZ14UzbRk/jkVlLEzBPZJewKt
+6QrwIG2T7FZ7R00bm70K0qmm96aDjGxA4TjBtlQYASqLmJVHIiDQk9d0bO/69RpWd7xW2m2UzMu
E+eby6LDWfWThNElB0KuZXUFJQjjljq1t6SR8Y9FU2mUyxfqa1eQJS89JkuCB4YTMlbBQbW3grCV
rMzoGlsYEBNwu6S7fFpILhODsdPmZIVOK3CD0WYH6ENtZ/ENIqAi47O1OrtGOZfoEh/nhdD4OFPI
DZvoDDMTvMnVuEHqxtbH3CmR3RfqDkJdWGAgEDmFawO4i+kU7Q+LdBRNnAP16aDMz0XW3kaAi8B4
IdTeFfCXzukPh16MnBnVCO7ALT4PIUPW/lljsTPgX9FULZ0FSUVuXkdsf6ounFL29bQHOp1dxasB
4wXVmra7k5EwdEwTCjn4MD0mJJ58kVV7urJV3PS7sfkjzzOmAasw960kIw4t1ryzqi+SL73k/EGR
2Q9xjXpEgIznBTRegHw+WHe+wT5NT1HJdae+g1C9dUBqL1mk9wAK4KNwSAXmIkKcoMVBbOuG6S+/
FcUxwAxRey6mtUcjC/Wb7p3xZGDC2KfCwAyrf+kuOrEgTfH6iRafrGTveskSahBWmRXZOyQ+3hIQ
crZfPT1fGlD6UHNWJ+NwEO5Et3i2LpzVPAPgEOaddzXY7fcKISuQp91C03u3aqL6DBQURGj9wLN1
orTEtwjyct+uBVGKgQN4fI8pKL/VFqV+WLJzOu2UOi2aMqxa92TxLvvIhuvsEgDEPtVGTXuWNp+a
7mSggbQfycrw6zN3Gf6s5Inw7oju9QCZ7TI7ZQMjWyKldmx55m8JJrIu6Auve0i1HjcNbdT/iVBF
y9OF8DtQSL7ZRgefED7cXMhEIARGaAKRxwF7Qbvh84+WCR3DLheLfYPdhLNUIYHthvT+wNolRe1f
mwNxfUwWYr4aEASkZwh4/fuIONP4NHZm2JEkR6Gp67VubsZypgO1iewuo0qz+vR8rSniQtEYoPoX
deuTsTbQ+ot5oFKX/v20crI4aSlCjzgzvB6ZiE2kBHx2EzG6hbFH7jtX1lmgE0/eVlTQ+DmGyk1u
Mx9+//v65f9NWoWLffz/X6A8a5+KHxUP6795NGe//+s/tn/wD6nC+Qub/JYdD5aSHZdvU//7xygv
zL9caBMeodqc9D1sT/9ToHScv0gKdrCa2rQfXxQoHUGB0rT4vyhg/zWt4mVHxkEjQJIoMdB45LeC
6PYTnlcnRaw6uGst4mYpH1zhYPxqGDWoaQy0p6oMnz0ZdroLq8dzl7x42Xj67+vxyx3idDdntjrq
xeTSI0474XrEvsWUHyIQZOgbJI1UWR16d+xP/AipirKcNkwS17nPHG3vMvaoZ8gRlnPcsnez0+Tn
aTGI0BgkCH4AX9kH9ueXVdu/f6dDjwrZnIWL3TnuVPl+DXhz2wmkqn0EdZmco9inaLdoff7+I3n9
BtSGUOBqCmoAbbmjNzB0pGN09DxHUiC3cA86PRkNMSQg9aOCI/7Bnb1+A9SgIaR4gtElqI+/vF4q
i5RSWt3icZskMy/LRpKjrreSfLkaJqytqWV81IR74yZdl+doCyKckSFtVvNnRfBNCt4VTMOAj5UR
GEXZ7Jouz5GfoLi2auPP+8+UIv3zlt/2+hhbwBj4sGj4mX+3BJ9dD/QW9sM014GNV5mQlzQfv9JB
R1tQm1V3nwE7wYg3CHYaqmHFhZnuftaF5/xWJm0zbAXIhXcxqzFg0QaYwz5hpc5ABHBYCaPMdr/g
y7R+JVNlPnLCp57dSKo8WVnDQ3//Zt56dgwQS209U9hTRw0EHOcEgyaNDuYRwmTVtnBwO2wNZZxz
GhiQf71/vddD33NNS5IdbKmNkXP0iTpZ3Sgz8SFTmqm+MOpInckiY7+icV2+fyl6M886s9trgtKx
UaMceoWUZrc/f/aafFHMGLxriqGwdKn+4mr02It9cBWxkSaeExdcpljBnGlLGkRMnkejz3E8Y8uS
wToI0GCfYZ6kIBV5P+cRdUeOYBa7ZTRDYnfWPc3Y/mQgZHHXy8i9fv9+X317aPcYWjYfHwZL9sEv
7zdWLoBMByuJMdJd8UYGaFNVzgVJeg0lEpooHILE2fsX3T7oo7uXlpQkE1qWkqhfX15UTe2oU2gY
QVVYGb5INF6RNiTNoDiH6efGJyP5YWGR4kR+/8pvPXjpYEh1HAUhxvSO7lcspeUYKfeLHAj3qYBz
mdHo3kWEWVy2BuDayZfyGqiwvBhGUF5eRo6KF8n5g3XnrQfPGKMXzUMXwj5ikYghIs2KJAMAGgB0
jRR3VIa0JumodaMhNggP8doPvtvXzx3RBywYplvTZHG3Xj534sjQMukOILRTNGSMIAdce+I4oWT4
QaQQgni1taL8iasP3vgbz91BjsRq7jDghCmOBnwfGcD8E06UNSSUwC/b5qInI5LIqTj9NvdtHpIy
WKFlIFiGUhuxv4NdhhT94pP3R8CruYSeCRVttivsdNj8HP2QmfJr2Za0tSafFOq2AsTm4LqF7sHG
+v1LvZpLuBQ9XpOrIC2jCPDycWNDG5FjqDrIK2q+uiiivWOZyweT4+urMIr4nGwazmy//mamPJux
FpEk9jBPtPFMkw5UWqZ3swGN/f17ef3YXGYs5ir61mwNj3dlvZhmL8bCgfNqqzUlJYmPm8zaHCv5
wQ29/jJYUxx8JcqGQsiG8uVjizJN8BWwYJQWiTnsp8Y2Dgh03X2ZkbLjr0NESm7c5Vfv3+Hrj4MF
DSuFTW+PudA72vXgMTa6asMPdcrID4QKWjRVsJqOYlouu15SRQGkuHP7j2ZD4HDc0Yv5ULGssd1m
9wMpztnQcc8XndVxcUASC0XqgurOozijAuhpOdymqYkhKBddSgKUOVS7bpgpXVmFdY/rz7+odYzi
CyCqlV3bi4fHkEiPik6hV9FElIabnhtZ7C77VLlsOrRfLU9WqZ17PdgG3A0bw0JCnRLXQC4pFjRJ
m6OdjjNr3y6i+sb3hwYwcbwEjS2sR2o16CevKsw23V5VvTxvrDb+RD1gpDyGer4KbC/Bd4d9CZAH
kbHZ3TysRKB1o/lDkx/CrkQUG1GWDJ15ly6df9cT9QAWp6+WdS/p6hXBaCIz3s12r7/5KZBNIJF5
jB2oTkdoA/jydzhmfMzH1BqcU3tojF8ROq5v7Nihx7GV0vdFQ/MiHzr0e1pBL1LatD/R65ky2qyA
/Dv2Gc5lOpfFQ13TltshGNI/o6L1vtot2Rmcl3GeT5CoNoRl1Nshiol5CHGsmCgxtXywQdQWt1om
W9T70gGIwWq1GMFEV17Se1rhKcVlus3pbms6wYj0A+A4zuZpTxaj0BSBQdbj5ZiSK1Up+bUtG7Xs
jHQEbFz7m7UNWwnRFigHYdYtheNdGTKbl92KF0VtoZleejqMCBZCWoBpu7czNMa0x9TwdZINh4Nk
TgwsX/jrH7oJdT4JvSYqc5zHo7PHCtA+liZGYJpsdcfxZfYzXK6YBQ6Ae0g/TaVgNVoT3Vw3ldfx
JGQFK5+ZfAKYXK1EinZW30/4lboB54Cn4mIvGwurEYJwivaa3eo3VGNjzDqaZaRFNf4QIUSnkRMC
Squ++02zIkf3W+MBJznWaAb45FF/Gla4CSq3Lnu8lgOy12z+3jaT7ePA9jW4CnpMD9OIL2jX+tn8
QxFiRQxW1evbxOmg+u38vvEor2CQI7vH1uv1koAs3ZtQbXEGDnNxkgwuIgGNZ3wMxr7u0KlRPz11
l3VxD4jrO1zimDb6wE47cUsGDtFA+dhnPsFqyRLvhySdrtKpyP+Ma6Px6sFG+U6je7p1V5OG2zzi
GYUvlcckB1ZDDr5BetQ+o5rOjNPr4gZqkvXVnNjK7xdPNmdJaVHMjclSoGY7+RBu3HnKQpT67s8E
08CXvLEdjgHt0KGgcar0txoHrAqx6PqH3Bu2GIRirvuD1Vop5gwatm5gGuS4AMXR89kQb5p1b5lx
j6SZh9s7zhLzD4+crVbfNw7SgE2VizAYqVtrjUa/74eCNu6q1rZG0G5R7CIg1rhIek9U4WRHcRlC
3VhXqrSpgyB+JDCGOSO1L13070h0hmrosJO5RKqieqRTNsRYScNy6c04qBxjIhoF4yupNn2z/Mws
/CGU68na6Q2vn3GYdfB/0q40p53r1eSzGbj9KIIVbRVWtZyIhqTUiXxF+78HMfBjIxTWX6o+Xz6V
E0eHk7Fx4ySYGrD2phndbd+zfeIum0aFmWl8MNAcfe9IJALYA84XAjfNLZylzGuUC5vSf/K9Plk5
HJrThZ4F/Qs47pLk8kSTmzBNG4a9i/E/plTkR6p3dW0wRCVkP8wnC1UBs4Bs77bup66amA1cOMtd
0HZIe2W/5tT0oFP8dvq1f+w5C9cn09g5/VnEJx2K2EycoLdGTgm9ItcpyPJ6uHOrlGiHuKeYj7Ex
q+SOJKgxJkR5NkcSe3R0A/CJ3HN4YCg7HZXAP3CBrdO0TKbsJFGR1YdzEVvf5dR6X5olMvsTZ5EY
LVfkDbThJp3vBYiPe1QJ0qXeXDrYJKRYq12cDPoKXyi6lGrt8qcE+MgVX2LziDSg/uVmmF1Cp4PO
wowPjz8sJF2IGdzBgvNfJTemp4t8b7oVlVCmZOf36hhthk+ukY9D3lKdxRzf3GQ0igZQfcjXA2EI
80oMHlqdhOM7VlDX6RBfLPbs/eF1TtXdBH1MhBGouz7MSxsfetfHJHRGMVb/lnGDFLxUX7dojMc1
oW2P4lIQRwrmZjAJdvVsFEJ94gMlKLPpnrMfoZZarc4N+W+AlKpGlTV+AZx9+KwWiHD83w4tFIyX
ywZfQBmIJnJ+jZ6fbfk4fAy7XLsRNrxGjl4weTMn85IYOHXmlXVLbz8zNjOwuRjQ53Bl7iYIAe6O
cFZry7U0aHtH2VpdZu6E4pTyGDx+7LFY+kZFiAwV/8ogqMiucWbkc0SNvE1JP/CXKPq6UHfpgrnS
qB48xypoCW9GbtoizR6XdJGQdBCtP9286pI9I3T5XA6m5mkQIxSj0Bub+LC6GJbgv5g26aN9QbA3
KSw13Lcy11aQ96WrYaEQmI0E1yXFpMzVT09FOcofQZN3F9lY+BlxLeYV3q28rN1EtkFXbLdATaT9
pm1dJ2FaKHBwaYJ/OPCNhY8yHoneRJ++3lvu2vA92YWJ8mJR1p9yjFAgyaRBOVwDmt+Q50X1YLqS
blFe1N4v4cdJcrlOqnkcxaDLcI0X+w4hQo+uLbWyS/ZW7RzIaBS/lFbmk2tUJH+abKBo8Y/Rn3j0
akVTVpJ/VpR1tFGceRe2ZTVOOJV5dJl6hGBhNO/3RbXWj+WwEHSWYEnYrbnV3ha5Ia+gQWeY8+zi
Qbn0e70UGAaS+giXLTmNdDtHLDnEfLCwmFZyyFVcA4NEV+KjVNmSuSvYMHRHhqeaeLQHx0nsL0Zt
T/RNdBpTI8VDtq/UgHOzW0r62kmJR4xMQffKtiq7O0XTCQxhFZw0eXDmVT0rQGrwvYbvI5ukH/Pg
d+IMiEH+haxTybwqwTGhBSuWfWQTBnCpHZXdEzpJtcLXVXeQGlvzrq8g/CAvY59LCyPlwzJzqAJt
o5o4qAdqT6G3/Z2ARXf5Ew0lrbpSWAAcslGDDiabQXxeAdNbIfq69btGcVOHCGSW66zWJBe0+cxJ
dWAI0RXsZ7+9m21MZNikavVFTw0zs5w7F0USgdcINjqCh/1DViGaD6mJRT/Qkra/u6nLvyBsR6dW
iAEemJnV3VeyzyjsRF3r3DNo1ZekmZpz1jkEc6Q1kweN6L6sQraDhJjaJjpSPC91qkMFTV/sTKkR
pBLt26DeEkUMZxGbTnJuFh44vQ4t6omRGRY9kULKe2PBtA1lwsBZA4kFeAKY7+RSJqaFRdHJ5U8K
BM2wE2abEi3ql9lP7c2dE2K425BbaAso+uL1urCReBf45Av/zhw0ICO7kxDWpOl0n/uIfxj4fjJ9
FWSyng4m1qddhwTiYSGj+I4Tj/+7Kc3li1D9spIjk5rzDlpWzvYLUsPC4cOMHqJiHG1c5X2hd1ZB
ovcpXIjqE9H0ZhoWqgTGlpmJdaMTyCQoZKMMHNUUM797Yzx9TSt3M+jgxvEDukXE7ko2AkjYHN+4
bbOYLZqrZXUGxZApyUJ//NvOTTZ8a780nxYRkQBaCDmeN20D6EoNI/oRdgTpRqjLtm1aOdFfzIES
wIXym/U2M6IWD1Onmt8mfAaOHkJGaRCl+ByJShnxHqI7OcV60J1AB8HVwkqSB6gqXSSEA4m67jCM
t/OSsDuPxq6hIDvjmoSo0i03Br1EGNHkHhufbEdgTIzWBKJUSyLwk80W8alDTKR2jSddQnFigCxM
j1GJutCe8i7E75Mgy8mned/RAEXKUBS0GhQeqYe2VYsVmKPJM42YTJ80wpyQvEVB7iAtPrKwVJka
+7oUqUvE4QAJKK4iehROXpHfSRRixVhqo5oIqhw7aRvlHI19i5k5qDDUtEGBJPsq011uHdQ4z8wD
7Ah3LY46rFagDMnMWbcSnLGY5ic7jegeKvyaVrB6Aw0MDMeLHaJw6K8UABUSVP2NmJPT680t1nt2
5fxtJFUOPn5iW8YnF1MGirTSERCHBVGhu7lFuDPXUNjwhFtwPJ1RCZJp3BF/uldOlx6RO2gu2Ouf
5QJQIrJgC/phNTLgoqKx74ZxRttHT+T7KDBmsaMv4bXg6pwfIynphlPW0ocVCS/C66yRh87RPeiu
hKV6jzt53ggggE57N1dfFniKCHlqT2DsqgeS1QWtFBAkJXNOYLAvqDFujPOdvVTMbJhgxW1cr85T
L3q29Tqi/d1aZfnHt/ruV57E3nwNY6hBH5QN7AdVhnCK2+yBcui6KT8NyEPvh3ZJVQBLBxsgwQt9
hYTUF2yoCPsuwhj4b44BD+t9WFmZqdG4NOv3rm/t+UK2M72oLptJnC0qpwhMi3J4UGApxaS9cJqb
GfYAQwtlR/uOPS+I9rQsD5PXbhTBGbk4TeKl/WYs0h9DXr64KVos09S9WhQKQ5etYWPipuvgI9uB
zMaEG0dqdel3cS3AirgTu0rYZexNoBB9yZ3E9UKEVfkvrP3+1ZxV/WXf1LTdtW7dNaCsWTxMCrQM
Bk7jKfM0FOHFcCLCXsd8UuSVjBLyFzvXqzXe5pQpymAKsk/aDiq5h/acQ6d3IrXqHnxVEc1uLgRb
4nKbf/v+Yi0n3tIObthh0YrDtRGUFHzLiX/ag4UkrK7JKHfZHVnBrL0C7kEhJrC1+IsvpBZ4tO1M
Y3e0875C9DXmsXVgRfTNkMKhkR163/FOE1vTwHcdGxIqX7GDMmcoLwuUcby4ZEyvpT3af7J2sZ+6
VLYXXqrImWDzxglunvz0m1yV8xX8L/OFS1BZFDRJld3g/199AE8d+ooKKdBZ26cksbuZa//ZQn6x
Fqp+jh+WDWsaehhP7HDsWvOc2oTj7QigX9vdIEq2jljtl7ManDg20s41nQOR5XA/a2RrMMoiq8De
N+UkMCWrl3qE3rbGxWzDFUXznGTMPenIOdnwWC7ZwjW/esQdOnTqeLrOrXx9nHsUzF26GI+awLfH
gsqyh6Kjlqzqi19Z57HWFrsCVk4M0lPT6nMolUt84MTY/MC+EKnt+0eE1PRwOYOhKWPv2haV+blK
M7XswViSa0H93/zdzx5a7N7fjsk1qKA70rqw1ReiAAORtyL76vSTfY+bTc2bb99+WtJpvdO2B1DY
L4B/cZqK3YbBhzdgV+OlpP6iOYGA/VmMi5xJmP+d195XwlNK/ySFMVSHVo2zl9PEgCiFdmHB2LTh
151N1uhd+lWe8sTHJDmz0MbAWbTR47L1GayfOEtoW8ja7qozIlWcMVTAuM67HNYSs2+NmaWqC0Ub
O5pNheTMF/5BTZTccDhmNHQKHznvkLlDGbYYTq9pfoH5LOxycU50v3bfItW1Nzq1KE7DZE1IKCXI
yz7A4qSkXJWSrOGFjeYmrwSEAGdi+FSu8J3AouT5PR0fTqbp1PvWWcvHzBpTS5Pyx0D8/DnKQraS
O7vlfLlzOuEABmCxmXDoYNq/mTbjYCpo0+yafjFYDKsh+y6Tnmha2rMt9CCEoxNwLOgUDElowSeC
Qt8fumbeJZxmTp181uVPlrj5shOgK1FaNhQDKnMChVnpLHJCOl7QB03HrUK7rxE7My0RNJ26dnSr
24KdTZxJT59TP8kuOFAgdzQQkAyB7jA9XxrpCsoXqg6+63xsuj7wGz9lez+Pvsg/z9xbdZgGg3DH
UWHwJB6Xw5HlDTaE+TGZsGjL8Sfr79AffCWTqxlGqHNW1pmqzrKadNIdTQS8ykm8DcoMxsBNUWO+
+U8o28KseoOXSxXxthn1ejfBzbz+z4qA8pW4K9q8uAeL0GTRPm3xPpWH96vVr4rkimKxZdFVdnB5
y2MPl6vbLlqnWtMpN2yKBaiBDcMawi5T+bUujehzlLndBw2N110crmp5tmPSxca6qo5q5KObxl08
pNBSx8mqyYeEfImPsd08M9neNApsNZKgyIJScJhWs0Rz7cAzrjF7vH//r/oR/BJaloC2LJtegXvU
yiLVvYO14kAImQcSe/UgTpbUmz+7Zr9+0CJ91WDZLuXRGRBb85mG7cvqvBxa12ht5jmbat6FnWPQ
0AkY3/dv6M2r4MejCbHJLqzthT9r43RwhIRW7PStGOJf0dfG56rO2w+kHa+vwkbU5zxBTOUmutge
67OrUDukCrt1Xge91ofKiiS6F5oO8l+/Hnpf2xOz1JYl5Ry1WaGxR9aU9HUw85eINedG6hgdKWli
6QeXeuNLYMti4Y+EgwdW9KhdtOQRVQ+99a1NAgLXtZuQ9RXZhVAl9VQwcftBEYL8/tt6q2NjUaAW
NJHpudlH92eVU9IIFgMq3BzihpENOhge96R1qp8ar3DY0WJFequKD5pjb32CPFTEJJZk7Uen8PIN
mka0lRXJB7RGOQliCyeSn1yvIcu3Ma1LY5aUyNyMjMumHS5qmjJmgDGRVD4DUvH7T0G89Rg8H1wj
eyu8j8eNK6crade0PAZT5c1d3s1FKOEZh9O8PqFMHi9Lw+qCbs02W0s/no12W5z6dkf4HkrUEFU1
SBc4bWCPlL5FgyPP4PnT/cAB/sGE+Wrke3xZ23elJCo2uenhno98pN5m5PVDjQVqnr8U/ow73DLz
0/efyFtX8Whcoiwg6INW4surOBH5sm5TYj0opXdV1ep+zozm0//iIkpsd4FQSx6HrIzkvQpzKDjA
WDlJfkIX8NBq76ORto2kF11JnpiHVskFB+BDXDy6l8Ga2xEqWUVDdLCvrWmk3srkcskW29hhTbF2
wm/Ng9vZySdoXlmwdgPuSOkQw5tkAFlKEmbIY5iNr7Uzej/efwivomb4WchvHAlFwSL+Th29UDmS
rwnFuA6a0vljprF+GBp9505rfQHBPTsvuoWICgx14FMmNVx5nl3toblN1268YCWyZ6qmIpu+v/+7
Xn0Sf/8sZBaooxD5mEfaltYfFptSex2UjSgPCGMpao2EHgMkys9XPT7FBVwysfi/37/uG2/L3obE
ptGkzOkdzQscQPCYAEQNcpet5xh57B0jSq6TWX6kBRDH+XrbiIDft4WwYCOnafZylFPcHY1Vp7RW
85J+alOQFFYsRG2h/d/34NCCMU7967qr1LXjr0Rn+KvxwfcstxX+aHjCwkDKsUkHt93Qyx9R+GBi
2JzixLElmbCw74kdRhyvzI5gXF77mVhm/5ySzvyjMXr5aPnzn7Z3BTIfKkaovZOb3OuqfaK1ukVz
iudHltr9DJOLk0ODvp1+TzNL/MaZQwkjRQLvQvT9YP16Y8BA1pAOsgATocjxi6OWupiNGNBvCHt4
wgbu3W3m4b3TO9XdqiLju6C/cjVbnG3eHzLbazp6go4S22YAAaQDDeDlE0xss29MiilByZV/Th7q
bxPh6x1iHfNOQ/X54NN4Y3J0kV4hHnHQDSIAe3m9imarNBNZBgUCwju0bMPNUoHeef+u3vgQFM8T
PozjIYo5nhfQcaSZ8Om+VrzYz6B9NTNWnN54OZDN9y/1KtaJD4H1xOLloRhESH00BmH928wwbRm0
vQDbRIQAZ5BluMBbTvsK7wBYE1Ns6U58K6lsTtqp/CbSCFLQFF3IUf/rJ6wEUw4bg783Xfb2zTzb
3jWFjvNhhHFsGyI7sTvEXA3yjg8+vdfjBmUOYhX2j0wDiIJeXsWX8VJYfENBXMzp96rlKDeSHn5a
IdO9riuKJu8/5tdvlOs5CKmQnCI8l0dTqm3kJpourmfLilQKAOQHqvDRAaj7R5lpb14KbgfrnQQG
dKzSTSmHFnoG9qyGoQVEgwppzT1SdODvfDBOX38NXIPMSHLBkEIiiTt6ijndLFUwYsYiJeSmdO2T
ZBTGB1d58135LoukREpF2/PlVTyRmPk8cUMRzUVek9NewLnxAgC9tObcfPxgA/TmA3x2ve3Pn41A
NWszBbLDXbXD+lm7+IZRk2cAjcqPpLpvXcpirWOhJdgBqOnLS7V+F02G4NaYqz0MQUoE0CTbC2OI
7Q8OZ29dioUOqMJGdRHu9pSf3VUsp2YWwItpl5KcMvZ5tLPmElgIfPvw/cG+MWCOZmU08JwoPEdR
UrKPwzpLh2iucctBh9gnfmq3Rg1rZ95t40orO9SQl4KhtIevuSQzJ++AMm7b/VtiBaMgcxqikSod
QShFYE5fpG90iJtCfPBJvh68249kUAmEa6TsHk00Zs++sRmYZN05b8JZRBG2VOkf3n8Wrx+7J9lI
u6D+2FS7x9JGCvYItKFjBBINxkkSlcWZ1i7RK7mjP7jUq1Okh9tFst9lHd6OrEeDqSahr8B+UNCb
Xas8pJ2ivs0ercdFkNS1MwtYKgHgl492sW+8bZv+HOuiB+THPCaBRT5aI5vNdEDuiRvtqjjuqO2L
/hRk6AUPvr7j5XfnDPX1Wo72eLHkCkRF0sX7RiEMJ2htTL/OIr81aax8EXpaP3jVr18CgmfX5VdS
m6DafPRkYr+fG5NIlKDFMPbZMOP6atjS35LY+EgW//ph+BzMGFNo/XkJ6mhDosvc5DCf5kFh+P6j
lDk8HZrWMEH7pb7VCwbA9wfY62Hsc4ZgKAsmSJNq0svvOmvo0OgGQXKNVfKrN1m4wNsV9M/7l9l+
98uNFhs7SzCDKAaZOPaaNGAxaw8ACMjoTpyvM6EDFvkBLNOUrDadGh3EcSLSyaBCu/ML2uPv/4A3
7pNqDDtlW8GQknL782fzV96twpclxTq20f7er4dsnydz/Pn9q7wxUthJKroQ7CYJ/t7+/NlVmCNb
9Ag93r7IGu/6ZfyE/6G8dwqWmvev9Nb9QInzBL4dFml3+5qfXWnRsZFOxojUg0CJQ9SU409l+s2X
968i3rohH5sCKn02elIdDY+1bjDkFMTmzEY77DPZ/5354M2hWqIsTIGx7d2uWEJbEpk0F8uwn93p
V+90IE5QN4HRj5AKZmRHEgP30T73rUHFsNoOYJ69HR5ePgOELBGbLgBAkLG7mw7FFJgCOhprB4GO
Ur/NURys1aFxCxR3GCI+GNSv3gHPhVHDrIyviTdxNC8wObbR4BCynmVj/jUx/PxKdVH5wVVeH/PZ
WrM/ogqx+TXYcL68zdyYio4FGZwPKoYF+XWSnGRThEavKqjquySdkKngIZIRyNP2ZbL+sCGOneQo
8fZGOvT71ijU14T+S/j38PhXdLz/m+5SzhDPvpTwR//jHyfp9Y/y6b/+4+zXK3vp3//iH38plDsb
BSileaY6NiWbPewff6m0/6JEQRgxJe4tE32z+v0TxOyqvwTVhL+LqrQ18Gb8DwDPtf5i8yqp3m1z
F66sfwXAO17pMTtJ/mOp9djn28el6aVdHHNT/O5Vndy0NZiHJdPzySa5CVmNwaybkJ+fPZ/b/57q
n5tMjxc2BijmKsp1WDexmf7tQX02X/H1JSiGm27fgqX/MU4zkINJfKo8b7yF+vWRofJ43tout1US
Nu+mK3kNL7+Z3uwjNBUkR1SUrolIaqgGSygUZtZ8VAt681JMxUJ6XI1F9OWloqGA+yzyjtwOAz0R
gS3Ozh4W5j2ztvP9+4/xeMr7+74oNaNVYjcPReTlxQh4qEUpsB7UVptfJ1ZL6EVeWI86y8vPvTEB
/yxkMzHvDe0VC6L9wfXfeo3bScOEZmL53O/L649ohxExk5AbQ/W7aIh73DELtpf9OqDR1ob1vxg2
DiuqyUGR7e/x/W4xYAhcrHa/RpG+81atr9zZGi8QTHkXPiLP9x/vm7fHZbZqKqXELUD9+aqqQSBN
TmwT6YleJvSNQkM1rWXQMdROJ98rPjgrvnU91h2caJsn1jo+VXVLk1bptLRI32f30MeuuDWnwr8q
ZaxvJknOxfv3dzxW2X4R9I4BbpuBqCQcvT78EwNg15mAY3rYt3mXZIfu/7F3HstyI1uW/Zeao80B
hyzr6kEEEOpqXkExgfFSOLRywCG+vldkP7POZD5LWs1rkpbJJBk3INyPn7P32leicNU1+ed//qi/
jWl+/Sz512sZOTPprLIfkqlpNIgQ+nuq0gOTfLKfYZZN90o5j4vdLk9hak334MlcYsGu+pd//kn+
3ZfmgRVsno60ERf99QeZCzTKdcUPshIxEq+BRcITaoAbM/Xz+z9/1PX5+HOZy3em4QZ0nUWfds2v
3Se6fp3ycIskXhatJONBmvA2e3mmeCeCRo/zN8UfrJmn9+nhnz/615WBJjTEVQohuNDUCtEvy1AH
GLenKmT/f8sT69519tMn6zit8fabGvdvH8RKx+bGd/FoMOKH++vlVC65Q6kVZpCOOZ20vEd7VC59
tg8CiwZ4dJV1l5lMLHhTn+BrT8d//qJ/u8ZXyzrLAT1HKlLP+WUJZNAoc6sdVOJWJr+BnyVOdCCX
W6BPJUhk+/ucueNZbU3wm7Xv33xxNkt4CzxLmL5/Le6nym3sXmdVYirwMXwI2tUoLC5rv4o4p4++
N61ljuTv+ViG099Zzv/+8fjM7YiC32HppXz463UHaR8hF0GljktjOzgKJaZMMX3Ijo5+4lSIc0LC
ZVA2gd0/tZQXv+tC/v3K04KQ5IJ5wDNoFPxy5TV5fyIb+y5hxNfvCZ/4Tmopil4/a44oZdoYd110
AJQz/ObZ/vcfHF5B4TbY8D9wvn8qHghTVURrdl3iF0yU4EBESYnY/QgGsrlXqA5f4RF9gJ/5352s
Qy4GBXLtr1HHAa3/ZQ0Ta2rbObCcJChCDDyEkx0YF6BGqlG24F8Jd5jSp9+sV//m26LruB4qrgRl
srv+eqNn3ypGM6xwBPpFAV2MvAPAGHPGhBPscdbZKG10+NxEBPb8d18t6k8mW+y1TgjA+ZdHTM5z
ANN7rhMJXClOCRj/rASZH6srT4iGJKGO+q5Cr/Qbfcmv2yAzCk6y3FcGd3Qxf32lZweMIBEjKvF6
dAr4kO1EbJ68CVf5ZCM8Pv/z1/xbg5HPu8okuLVgqH26eH+9wnlLtEZPqncsC3v7avLcjlE/jR3S
31mcwgVqMW5tle86U2S3aovyO/BV8n2c4DP1eYVC113dM5J5/UI0gwEzF82/uRfXn+EvWwnvOB0n
thG6JYhuflnPyzUfMtRhcwzqAo608VXsRnN7wkhBBMeSGTRg2Xj8zZVx/tgn/vK5HDUBwfxRc10V
8b88A0GY9iNpvX6cBktT7+mpDdsXWxIl/BOtaN3fw8pvltt6Ic7rhtgg5p14Ljf/aLyMXFi8jE4B
cHRZSDXK2+1q71EuPDgxkTrxBTqvEPcceF37OQWbH+3dQSPYlH3ryUsJhkafUrdvvC/GWdvmJFQJ
4HGlf2uNu2tGgEjqoEo3EH+Mmk6TtAmeWh2kbxB3q6pmSC/Dr7rfav8j2eqZuutcA8chbeWa70tF
nATUwXF8Fwvat4sFKfhtW0lx33fWgHO24VEH0uUgZ1NyQfOWLZLngBQlcMCLrKBfprpFnCezSu2h
ZLTOoYnsVbxM4ez+KLsWcKXXrJ9WtTQwSFeClgg/itQrlb24JjVCdWiJOAJWnEZW87hlcp7OVtaj
vO2q2jcs751127MIqIM11vpr5BqClzJvmI91RFlx7uGuISPcjJ6OW5Ctn2iGi6ehxw6zGzYv/QIu
qzcXNVg4cg2xj/dLuFgqnjkL1aC/Uq87llFK8guPEXYEOBD4TtoQud5OGH5vgq6gPA7OShQHul79
tSEEyE7cwBrfwmnQzn4oaoT71jio5UwOz/J1CRtzP7WBPx+IYU/NgzELLqp86rLpkOc1U50Vhwd6
ST+0ztUIf9XegKln/H393gExcd8QIvpTeqSNH5nkR9559Unb3PO9rylYpAKrE+EgzpncOrxgKOjp
hU6Z6JByYqZMRF1GFuojb1QHe7PQPBDhRxqoN0JajTFz+fdBFfEL/jD2edwhdS0S0moRgGezQ14x
OcMhOD9/CeAYuQUcjAz87oFNX+JxoahTR1TvC6nqWAGx7el1Rkqspiyx+kKNZ18Di9xPNsjvXUVZ
O50ju/XzA5379EcUWaguNNDTPSnhw5yE0oI4QXqjeZEd0ZLgeTsKcQKq4IqWADHrOCUP9YqhdvLE
ZbraxBmrWXNgplm+XKER3IZhTBVe5hS364ao+YMzFVYV26OjiidBxljiePDeb8jRyutj7RRj+DC2
W2jOkjPkPU5uqW56yq3nxceJsstaougSsaITeu7GZrjttqWXSZSRyYafdl4ZqhQG8iC+BtUQpZxL
hI+rPR+v6tj2OHnoVglG0/WJCqJAdwyxh9cJSA2FcN0JYMBsezVvVTGywVSieLV1lL6xnxXAdjMR
MlaK0uhxWlKgR/7o+w2JJJWUpKw5k9gVam3ffaXZo6hQLRdhS7Tmh0YUvXnMbLw4Tw7GyB5m31o9
uY7yraNsRXdwhGjqpMqHduRyiCkivdvvo0cOPiC5O53L7m4OguW57Ry7vBCAM93mA569xFnL5ttS
4hJiZDiZNPbCNj03+WJvAChdNPRA8wN+uXQcHImVsAvykfvJAh0plxaPDra4pEZNO+84cRgLlKav
vhcoAbZEXUG6JGG2ESGFUXaCKX3Nl99C8TBiBU0LnT9m2YDNME/xlLOacHjKavTxe/J1vYhBWAHn
lmYw3p0RGJc5mBJ0OvCEYMweps7O88QeiMm+lPXcjWcSX3nNszaIgsPaGIAnyqnm+eCtxFnFVQ2O
d8Jpsr6WhlB2ShBQDMdiRI33wfV6NN7MbOlvr6sX/qiFSaHO+hyRkxxjiARKsOB3KbSpMet22/NY
WriXCK1eDhuBdA2ugGByDv2AFX9XhoENz6GJthSuZNaJs4ND/oFg8QavLFZz+TAJd3oLxBCIkxLT
/BRhaXwhXcz/VDc1JyxDQKDANham5NlWGG19k1qI2RnJwTKmMMzjGe0UOMYABvZuXRpySkyN35W0
o7zb2Hdm/Ko+edKvpUo9MBFpUzz6Q0GWVNujgyFdcQzoB/Rh/YxnBnXNuvr2c0CEwTeiZ8i+pUCk
b+YPa/cD54kbnFtft+u55D1Xh0ZFa3mkU2302Y3K8IAbKmBP1/nEdhTm6gfEqB6nDD4ihejdDl6j
Jc/GGGVjKVkY8bBiKE0NwlFvgwJAAu1x0WNz8ae02WgxpeNzt7S4S7BhzTebdnH4QaCsIFXjodgw
QTgVk9Q2sD4Nett+NrVcisQmodA+Yf4J91pPjrfPm6xTcGIHaA80kOqcuEmfZUk5W3G3RcNMLsKM
k8XOvPGp7uq1O68m7cC5BFhVCpSX+FKLAkpcZgnnglDYNcwHdFrFUpIviVcw5cWYtfSWPdUZO9HU
tKvZz4tNzCexXZj6M1+SAerWxpp2Kqfo4P1YnXeSX/StwAv97hG63TNJb6IQp1rVH9ZuWIp4aWty
ewmv2N4VwhMcEB0zfwDISOHikjQLEtt6QJNR60N9CEQZZvzPtRs5uc5bim1fX7K2/a5Ad8hEIsW8
B9ukX8alLr9OqoJk7GWNIE2rdXGcssG/e1hHa8oyV92xC2oTl8zp3lu3h3wR9XZH8NkEEXM/YszY
dmuJVwiqbliK23zEkpGQXKXvXDvfXhSKgc/4zMSESUWHw/MazGnE+CSExhwoW31nnB/6R2tCyvBa
D1v50G5tBRvCdTb8AB5TW7Jbq/Lb2rrrefDV5Cckrcn6iMcwell5rN0YWJjnYSW+Nl82QqDjwTfl
txTUTI07fcrwZJBPOl9a8nyocyWlD/NJkLozJdzNihikOtcuaRuHeYvKixjt5fPcrc6pC8sQsqq7
UCxAd9N13K1NYyXGDtWrWgJzAHWzdsmcpfaPdBTzum+tsZtjmmvR45KTNn7aAmPThKoEs0BtZYKM
giZYq5iKKby0jTWK/TYI9UQiB3dLh/j29oG9DfYdIn2tD9XUkcm4DZJxlEMxMeE9sBt1tH0Lx+By
NSzfWLZuUORvxvnaEhzQAyJeWL0qn5jqU49CjORtXmixczazZgdnUt166VUVvc0tJA3IZFSTrrxD
Cpy3bFW0qeRokbCyiWzvETxl7CV/azASYdrAolTSOQx0sTOju7xaYmoTF8v8SwNxf4ijPl3nS0b9
/X2mEKUhhCP8pSFT+GUlvLOlwK/qjxuGMjydNIKPkTtu8hDpZanvGlI/CcGKZvi5W+VcLYyt6rEp
bVlxO43ag1vqYUSCpmYQFwcNztoQ6+183khsu/p7V9JNrdrHKVrSMwIMLpcRlobxm8sAtCXb+7D4
XfxMV1IW4+iKOK50tOr7wZApdQgtnW372ddmOnV49cH56qrMTqsq4FYsvevW5wrySL1X9Vxhd17N
/BmP8NULlTVDeEPJO+anYog2YiUQsW37zQnHr9EKZ2bnpoZ0gRyP781V6KmPpRpqKpswVSfwQ7Bm
IDMSEDsvmTxZmDDY1rE4Y5Gybf2OA8T+1o0KCgQgE3+/5d4g43m6Os4MWRdqf1V1vogizxmlbZaF
4WjMeEU3QT4GSkoUXVDpp/oQeP18f+WG2Di4Qh7YIOrnaIfejR8vc/BPQ+nZyOZYSqrcvTOWoUmW
NQ3JL+664qnoR9ZEvHbNydFsjKduyTqz4+jJZzarE34fCTVeeTzX5ZuVuRMWzKFn5cMrTchj1q3Y
FiEwtFScWd7npxGCfb3rCW0B/lsFM8z4Go75bggK+UViJ/tqSppBR73qfASkGDV3eZVGQ0Ieck6Y
loF+UNBhaSDHk/WWYN4PSjpVs3MeOokdv0SohcdK2wxOaUxg5hwHvOCwlPqe+GEdgthyijJDXxMt
hIbZazMU53Czg6MgaS0CT1B648MaEse6d0nx7MiU0BZVyDxTZXs5Z1jGGt2V52MJL+7Htvxo2LvI
ghnsgMi9BTzaVdAEDSIqiEDRJXXmZamEcROHUg92EtXrzsgSxg3M9xe1EDePWXCwDgSvcdDzxTIf
WtezRDLxag9MQvJJUJxZAIwswpMTpNHVqbG0AyLZmqa3kp5IsAuCjhDCorN8c2xtF4eWw2XlwQzW
NtsFywbNGEy++V7MdB8vrtVocVPkvZbfw3BcT65BUwD1NG/emXv3Ljk0S/2t4CnlTXGvOiGrCWR3
TTvFSu9a7HQxsbANtD83qCBkyHE7BtFI6KDPdbJIf1IkUi8NoSkNuctW3M1je7ZWgnROJqitb1xT
s+28oCkIIu44+zIONoRwtsv6gVPsxAYO7WmH9JW3zLacpXiwYCSfB4cQcXLd1XbTe9eg1qmX1nyy
YGnMSVUs7QesZJh3w9mD/e5N3I8dgL55iIPa3R7aoXQB4HPufjUFdQJ/fIUkYKDwPDLjT98sv/IA
pzIqEn840Z8mV+Bpa3p2zCTferJ3GrVR+mZLWhPgm6ILQAsWvJY1bsyYRZblj/4uOIDRyR0IAhWn
s4XXdjhFFZ7j3TaPlHRZ18AGMKKhYrFD4yyU53540CNbzsCRboqDCq7qfvDy7Plqbg4hXOXitQpJ
JTC9wi4wAYAihibVLv/aW4iMwPdEJOexQLYhlsS98pZ8OYxQwQ6TggW9E8voeIktl7DYAXSn5cwk
bkZgL+cAy1tWbqei9nXPe+VWRCpHjf3uT0s2E1jsBM+hNs1t7o5r/STqLEz3WVaQJB60a4T22g5H
J5ZBzq4naYsoMj8i/8WdABKBglPyztUTOdmrcsYI5ERIRBSxghaCP8TnhOZkUwqTpbJw9rXrOBj6
V2NHGGswreeuc2Z1YNDGpcs1odHkOjqhwgycBdORRZ8k66ZZWvcIZA5je6UgRXFF0/Q59ArkfnnX
Epg2FbWrD163dcPD5Fs6/0E6qyKlw5tYq+OJb8Wcx5EctqZ6JUuNyWhJ2CcMyXU39EWxnryNxDPY
CC5E/YrYt+2oWspr+m5d+OIPWNJfepPC/mrDaX0LRTk7B89O5zN0jizDyU1Bt1/mfPmyOZ11WsD/
XSOMCvYkkXfEGSD2uVXWtLGMuF4+3xL/nqGMzMgdwwnbajvOKTuWWxBtZGoxKEAiQbQ7g+82ZBmO
8Xyn1hmgQTElsjT9UyoWPREJBCbuoSEet995cpL5/WiBADiEbGQWvAInUKeGTLVt15dW1JMIIAkr
A1IXkMNqDavYpxp9Ruq7eK0NqJQ+ttBQ/nQrK7jrImfDK6iut0QMxEHQ9gFh6HPEAh2j6FBji6NJ
ueMx0J+xMY9hEl5pAXteTWPHMhpn57KmW/8l3AjPvSxuZvmvWLEn4osBFl0wpypQXMyon6AuqOx5
ydyBcNOJhGLCr2xso03Y0nEGuOV8a+vBTXcsxcUAxqBFr7WA+SBO3R3A/Iyk7tj7BTx8uItmK3IO
7FZEChEiXXCiGDv1KqjArD2x5QOW/lGTn+Lhq2UIt81hdkQPmBHXWgNIwaJsAWrYamENoLfSLEjK
ijMkRwvYl6cZeYtKbErPcyn5o3FRzNMdvYQATOeSzmRHA+RbyOVpBvgToVM7ezHl1zCiwMq/Lo6e
7jOKWl7UVhJVcm2nKTy97JccpK8wB5sMnDe7zjmrQ4FfbodKlVCxRBbcbi6IUnyvXfozZ+V9r4mA
foWSuLh7svhyvoFrmLhgLhue+UhvvWxR377JNhtIEPCz9Hu2Di1RctFqOaeMkyQ7ivbSat90ffBA
hbitJ9/kBMjpgVRogoQYc8SFW4P2L2mBsPZs4RCwLo8ayoIiIree2uE9sPOA9AQqsx/WWgXvYuzb
Bxf7EV2LBWQTx2ofzFFFKkV309K4yRKZed4tYXqc+0bfAcff9514G9hyProwRTLSiObyVQe5+I4L
c3Huu76hRWayfJQx6CPln7dqVscWzpt/yKq+OLmechhb0ysbd0RDf2NkeOzYbhzcL9JXcGX7/Dhp
yRm2HSjsd4tlb48+uSbntVjL77LPSPFoest+Z/mY+g/U0Jl/0ulKEK0fUEDE9BlKnneOY1liC49q
hNYQ5AbOyP13pa102XNqLpur/0AksLDo2Ohg40ZD3be+oASrOTBHIf8M1sFtb/Kt6sXOFWaScTRT
RHU0TEh1xikgOZ5qyz2tIhNJN+VdEQtZLbQTJRpjL6/pNdB7NDoBWhdwdC03M+5hK46falnC+7ck
u/HB2Ea8T5HLDkELk7EYRrH+GbhBGd6kwwLqxXERPII7rvDju0Ra1zc+0NiD6qeGScSoUg72KhhB
VcjrO7tag7mwMdUlcTIBsz1UecsuhYz4UMltoY5pxwHqo9JOenRCKE6HrIiI8wCJzSnK0C7+wlJX
NtfnQd2XqPZ+BEAcbIpeTao4feiCW9bjDDuCYozgfCpeh/3kbiujhx6HO/P7mhfGUGHAIy0YTpXc
xn07WXV/snvJeUp2GOKT3iAzg1aAapAjNkEOtO8CqCRo7z9bOVEIBz818wco9mZFnIPSdKcVGD2y
fZblbBN2T8+h9+v6VGr6eHyCZh0qm7J7U4LZ1zkyLPrPNGyGKKk316fsoY3pHsw2eeDk1JjRqY6g
HBxKO1vzI50QTu6sFDYxC24L0AoVoxr3fjr1HFyaThFzbhkDLiLA9y9aDsS2V0UcDXO7xxa/kWnp
pp3RxGRlms5tuLVA5y1Vj/A4/fo+6yZwIQZQ9Ru9HIZnoSB6OCMRLotFUMyf9DWIcSQ05uMUTcYj
jcw3xGtxDiFJEdgGgD2setxtusbkPpvV0JFUnfxesGDRVArc9ZgSoAaB3wvB0ZdD/8rVuTqlrSq7
gX5Jsm5giBIJWkqgnXYa78iCwEnGzLjD910NlikO2420Lk58XZZUXcTraHX+kDJvcYL2RGUhKC22
frIPi93ReW8onznRhEW4IHXeUBTYW20HeyagZrodyxw4UJ6m0WGtbE8fWOhNeytaFvVjuCGaPMFG
J4POUWNIRpeXD+MBylP/mX4u2cB04jwnVqbpT2vA4wKbsK3M0eqd6mUsiJI/eZ4irR75j70LOP59
LunmunucWfrJl4PX3hSVUHdce3BXBRKSBzTGktQgNgVAI2UG6gH/ERR9oVP3Nl+JX90By+L05bh9
XiZ0uYDHjYHkNhDI6kc44moChCoBfQMgqCo/RKrOOIUQ9v01y9ua2KUGks6ugo3xtuShBSty0xu7
LNOguBvD4ZOlWo7bK32HNFHMIa8II490mmKd4eZ0vldNp5Hn48uAJYHjkNFNczcWG09hG23ON8d0
OCdXiD7f/LJ3XtwtIhHv2uudCKhaIsImlVNiNcjkD+gYJDBes+I/+oMMj34f0kqMUstivhGQQ8MG
6af5ISfmRyTMsuWCkmn+hLbBvC9kqkxAolLS2PTcV8e6R4dPmx2Q/jmlBSLJcaqu/LGoqvykbdqs
JKiLCdexter8UvoBIWIRNM3wVOvV+xBxMipYRydfP2aclAnTyrV6osG9ffAiXWRJ52ZtfgSM5Tt3
VH+cWCoacumNK1uTfsiZT+i4ajIx/+ytMiL3PVoCHbwybok8oqwYRR7bnvf1xlqXInty6qCW99Oy
mPUBtmoXfWidoQxu3dLPxy9eGRHMV9oF3WWmlPrR9spa7hg8Yk/+zcT+b/NrJrRoInzg/CEum18F
lW7drT6HxiUGezSfFzAbD2JxooRFTh6cjYfyjzHt/+hu/8O+Guz/IdZl/Fqtfw51+eP3/yt0OkR0
G0RYGLDEQHZAI/sv0a1PpAvHQwwVgvvEbWLW/i/NrRv8L3RTDrItG0I54QeMuzVdpOy//kMSOo0j
BssdihO8lJj8/s///rb8p/rRPv6/gbn+5b//rH/96zg/EMBCPB9sCFp1gWbpVxF3ywF0G6OQ0Us+
zjdFIL760cwrMjrytPHg7zPPzn7D80YpcNWK/P9pPkHXCFIJ+EDji8UOhfpVa/In5Yzj1uVAaS92
XTqyUDF3LppzbYUd6saUGiE2Rhf+bZuuXXdfkG4SPGxzahOh5LpNf1M0lkeGGiOE4SDNEMok1dSG
18ZXvp3ddGYywrX9bito13FBp44z1JBF7aGoiMD8HFatkFS/A5nzQuc1tZAsuiYJesLpCHFP5U1X
1hqiXud0H9EErt/xNEig/Botj8Lb0O+AAJlPpiwyc5jprjp7B8Lf8FjgGX72C06msZm7zb/YERXv
ztNwN87VFrmfPI6A6miFPoPiAgvgVMBndgOZaHgOy74pcpsIzdLHRIEKw5IZxNCSomZBe7HGtJfz
4CYzxofbNgbVUO6cYXDn85jWS/1BRzlE01aZ6Fjb0/RUZLb94CgVItOHmvG5rsWD1S8ZqqFNzXdd
rptDRs8dzBWdguv4Srs7r9Vu+5jOQVsfqqpdrGctJS7ycZZTdSu2VEDl9oulONoEpXye7cb/uMC/
SKBUshV6Xd19Djt87qIJ53cqJU4kHsesNE5zwtSSds4jBlTB6tTvotX1nLg9RiDyzWk70BOm4bCn
revYJ1Fa/DqJ2FFMSUdCYd4LMI3bqgCfpY58NpA8yLAkrqLbp8S9Japzx2SbCDfsd6zW/fSYr6sx
z7oO+czUr/vP4gql9PsVh7rU9AZ3jAO2S8Gg+r68FtqXkCzZl8BtSdOmeCX8lFF28U3AtoJ9nvfo
m5B5Of5xkdTLMDw2F4jlWgNfP3LIqDbI3OEm04eBAm7+HkoKKAknry+YjLlqE92FSW9NDCx9E0hT
/XUbqEXbfRZAYICjWy733rg4n8DrV4xrAMrmbfvAR699cRjStCkTK4jSAa2sLUtkH9NYHtOVWDBa
oahViuM4Sp4v26spS5ae/Ixu16JcmeZ4dhw5PwqK+uIVrkdW3Xo89jyFfnn93VBbNT2T3b9+kTZq
bk4LIYplnImIvxlUW0CDdihDH8Rv1akQmIE9p57Z4jxqFBnGZRr4X1xlqTVeFW0nuv1+Zn0c6DX5
xy0zPM0yB81H8KSPIrOfAXat88S3bqTmf6quC58aZuAwBY3u9efVW1yonz7MBt6UFsxrSHeV7piK
mn1jXP68NQ2jOLYBjrtXUw28KqJbqDVINquKN6bOQ/lISGdXv0B1qxH81znrxqhR1yVFFOV5XPiF
foGJaXEGXekIxf2K2vAbFVgBVmuZtDg2Qd/8GLWV/4SIBSDfaTvvc9ZAMy+m1iYl1rYvZWkPB4sJ
+pss3BLhoafdF9XnwX072eKuX6tTpmiYixy2sOOQOjkUwFlWkqvoWMPLPBfGGb9MnAuZFBFMp7xX
ueIH9hS3aiTtlEgCJnhmCh4j1UK694TFwD3MBZODfLmRpZ2+GUCRQ1I6Vh48+U7zQlPyZ9+mV9Ia
QP6jqEhLmDbDPLnJJ65+LjkwpCME48idnxv7mtKZO+13Sk/OTYvwn6qWw8+SkwisvI+mgA3YNJkb
T5v91oXtj5r7fBf0Yx9nrs2gaNbH9RrCGDTTezPWD7hRwoTQAg4fqfVsFdF16sqcIbremIhxD0zx
/jLACO+t5XXOx2M3iuygszzbh8Qy3xn0JDwO5jhxFrNWUmUjbec7sKbEVTcsrBjfOs7hKr+Piuwt
rGWSu8DPK+WMWEqQcJRF3n2ylQ0cuWQktt6EhELtha0u00aZKrL+MpLzOfgljYBrp2yAB4AikeqM
vUBO2w00/urAxLvYTaAgDgLC366X440cKxaxqfjADga1teWVVW59cTqW0WILDyxV3kd69i+y4iA0
1o04ZRpCZupsw9kV8qxGchnRpd2mqfnSkR27R1OhoDaSBImVpKVfiTYrioaBkHt5nHLCS4lcle0U
09X8jqPmbNnMD3JH7gALrJ/TchizPbh15DAzLW8a0oeOCEenUC8ywq5MhjZ8fvRI2zKM6y4N696N
17zIyv28oY4SRoZPvYhIemQIc+cq/6LKJrqfUu9JdGbeZxCrd2k0fTQmeBJFZu0mnd8CaDyZsCFt
+8rWz1MW7iVi4uYWRyaXBY1LZz2va/XoWVkd25q5Anp1dYksxClsk2xUFhFjZ6uL3gsIIfMOOmtB
28T4gvYD6yMi/Q3JRbjYNCBDUpjm6skeNquI1SgI5R31aPZLuDZf53H7A23NWCLuFlPR5qfHtUOT
0yeY7+ajsRv8E41fvKItmkm1WRTqZBtpF0kdvvqE6wjYdk7/amfZNF6QOk3lZUiXDoZ9YH+N+lp9
iayu8xlNDhFI9rW7ZeVYH2iTNzHamvBTEDY2uoOy+ZqBNbYPdQbjF3lMOSYrjftpGVSsgA2flF+m
8GsL2RXJ1Dvhi+4mi2ZgAdEKuK1rJXqO2oT+QH6Hphy4FJkBKhaL0Z+XbLRPA63BL5jR+6Rtq/yJ
g4ZkmyCw/OAvq/8w2dFX4fVVEirLlTsoMRVsQFu1/juHktG+jUBG5btwUopOC8UClN/QdHTOzLSb
x8nfE1+aPfS2Wn5GMDPiqGVOu29XK//ohYhWSgey3b6HGguPnKO32JVpf1WJpdI3sfZTuuQO9OoZ
jmsRfhRFNd7XuZo50jtIrFBLleKJ9gVaNkug+/hD2RErBLH39Zb5lFzYcY+TgTGrOdU/oJfRx9SZ
g/dImPK0iVlcwrIMSKdQMhn0OMYVNM0KK3y9si0WTISrHHxyLziSIoHwnsim0LQ5po0IXG2V/R0e
g3xfEbXRM4TW3cEbyv65R6Rxwo9iln2Iv/Es8sWJO1uX7PpKmW9Ivtaj1IX9qe9sWbEkVtW2b9wF
zVxTTdkJpDKAzAkVZVlPo3NQxorgMPa5eGN6eOwjjyTYuh/peQz1WdRigWXLEGPX6pS+jJrdO7vo
g4ty6vY5XIKPNFhFrMEXVUgj9YlJb3Ofw77aj41/1KyLR1qgpUOjzrIJ3U2dhC0WLWFKLsHWL/MR
aK98yomoO7ksoKexd4pzLlucsRTuLIfAiDu2w5ugt4YjVE0oz7Iy53Eg6kbmpf/EIG17mgakkw19
sZvR834uMLDPHWRNoPThVYJVTQRTFHXQRkhclH1XlJD8fT1t95mTV3VsMUwVZFrX9bc+1LpOUGg1
5xDy+v22RAcayukxYCaM3HWbNK+2HMvgw2gNVFjKL9KjbUFaCNvCeqclkH0SAz6ezIu66hygXk5P
gSGvD2gI0wBGUYg1fIKog1rsF/qJP9hTtb0LiUk5BvMyXFbErBf4UdEexbmL6MibycduyE9hE/KO
aDpX6t5smE4bcSJHSEtTeJXoDTHTf8R1Ol8uKT2kQwEA4nWUktZrWVjrqdCiuKHnMx5qZ5afIw46
7Q+3TQHAOaMfTTfG38aHUkfzWycwqx86ctGHXeVaDOZXMjGeQ9OHd3IApOFOlfnAiZIQmM0KUDim
hkNauKiWftDEYr26GyFFldDLyyxsIi/CKcx++rXgkUYe63xRV2uMRo9T7sUa4ZNwh24+QOlntIXl
EYlPo0Ika/TrmUdCrO6lWd87cmuKQ1RmtAgH31ke/NkKkUaTdDOc/NGDOboUqg1usIE8VeOG23Ap
oxYdphmCSwaB50WSuLdHBakvUymXSwOUioDrkLznoPjW0S7v4220za3XXqUIfNT/Je/MluNWrm37
L+f55g70TcQ5L6i+iq3YiXpBUCIFJNpE33z9GZDka7G2TV0/3wiHbKthoaqAzJVrzTlmdStG9CgJ
4I3Ar00SbCRzmVRLI3pd0aBvZ6sJU3h7LOqlIJchMCQN/BU5VJG16Sl3ouuYrz8KBkXA/ZRwTA9s
IyaU26pyuTM611hEKvredO2XhoyHT6gGs3RLDwrKO6UYATOtyi6HsBAHpvnRRRd3McJp+RgS23Ri
VddPXj7bVz2izKBeUDE++VCM0ezw0mIVv7aRN28MTwpqgEg+2ENFT7maYyahRnzZL72lJjGtbzjg
1BPcm+ZipHt2K0It3RUgcYl/rg7aZKYXNnDTh3qsmu2sRrkhoqXZCasg88Iw6mjLGsQYn6ZbFuQa
rSTmhMNl2hps1Ig3y00pJYX+zN3cuQOLUzV+mnsCRO1Co9CQqAoJUc3CpjvZHCg3Ma3xtWmRKLwk
Htu70aj6g1b0ZovkLRTbpdtx9JjmpCseGbGviA5Ci1uM9Cx5eV5UUiEqEmKJC+1KUsIbjy5pwbk7
iXhqO7s12MTnZjlV6hBvMt5w2urRTTg6zjbHKnyZVYX7GIXT/D3xhVsHrabN17lWX3OAbPxVxdVu
/Ky3VhoUacjntOdWYys6/4Sqrw2E05bayfOKhA3Hs/i2iNKpZT1/QsNqr9uCyn6XDSK9cdyy9wPS
7lP+aqtYwCIbnSfTcz0+dtlQjqsarcXGqJJ2NYSZfK3KGfFsZ6ntFEur3g65iNstsTVmv8IOv9yQ
HDNPgzvQl1UcLS9EW7iHqSHwvnJoj2LQaa8t/JBfSaG276ZhmgHjAVEOtK4Jg1521rTRpsQwCHQB
DBTENRz/DV4DmtaGGT0x46+e7SxqgwIG6iedOdXGRlt0QLMgjwXISW5IZhX33dAwzXIKBD0gk0r/
O1L05F7TXDSeI7vuMhNbxUbTmyu+ed8mATU0nqbIq4lJSJT5rQYqszYhfFOxtxnnzxGd9ArWjjrF
s5Eempr0LyLhmFCkGUPRqiI9iKEKcdpR0wIzZea7SiVR1wa68MCqGXEJu2ue2NzyAwoOuqXz2O5J
FirJTOOeMZijF9mdn0TpZUY4633uTCk5aiMp8qqd+fS9k8vXcgyTOt1W5jTqzK/TDuoAazwbhZYm
rxkc722fddL8NnVm+pLlgrZ/hBxSttN4VLZSu6QoyoNW+xL5JWhCHWUP8wP24mi4bevQpRUcuznp
TL1u383uYPR7ZbTFU9vzpTMEIgVrSDVBgFtXSA6BFFOndKq0bDtnLdaJDn32DilDJVcTk4nbxOBM
tAlTw/mS6VHWrejZ5PHamBXRbuhj22zvGumsb7O2cb8Oyhuqi9QeZhD10zyah7iJi5esmKoXTeTz
w6h1DJTHUqCmagfqUj49Ug8uB6uYEI2l5Oyc0nQayDHx4qfYAUNGMZ9q876m4vxOcdZwo7oxyHch
hbw0Gi3q1pgd6uvRzPVnulNaFLT2EJ2QaoVPVe7es39r7BxDU74OzGZiNJF+ZXNnTc1LSkjhcYiL
JTb0R3/Lznr+d66p4hv7Qh8fBiHcW8/UewVb26kfZNqBIDViM4nJzkFig6FhJkFBqv4o8FVvYhQ9
9xJFw0YScUT96OvMq5SXHZMMyzl2FTt6WczQrGQixI6HAFfQawCtZWaHzvSKp94xcnsbzzrdNdG6
dAbSCcbKRnebhrlMa2JwYGrCr1gGJW2KGFoXgVi6/DJaGRtM3ZVLWByaGfb/PEbSY9S2ro5hAyFm
RUpB/Y1/TdGP+tbjpJapZ6LMwlPRqHDg6JCkKt1wduOHKMibhE5FldZvM+UiDw7hzW+sJrcePLQe
K3Ym/hrPpMnN6/czz5CZJ/myY/H72CiWN7r0TgyZmwdG6scoIoIp8BPHyA6o8bUFuj3U7NYL277T
FHYggsj2WYMkE/FK1KvyOo8SPgwgm7M2MRJ05vyU+f3gGoGaBtpOpqvEvCVQKSXFZ0RfQm6aT3sG
OZB6RtjAZ6Uwio2ED6BNILQmN/ITPWutfDCNojE8jr9m9lCDfUQF1iqv3bdxxy6EG2riAsehMtPL
BjJO9TUv4Ihu8nChxvxs5dC/4kMy2oRWUJfXMruIEyHtdVG5Ybnxc3NI9tqAYmTl2F0y3kIZVs/C
NvkBME75mH72dkyEcflJiJgp4NBofAeOinhzjomUnYp0ydBqbCycu8lG/6UFA9EP856IK95S25j8
/Jbvic6rUkV5TcQV3z+NNj0/VXWVN88ZKASWZ4KaygcNMdx4y3IZJbsGukV6iQOP7yrmuJ5e5tNo
JfZqQgOcXuksPflF36XdE4V/0z4WDtY+HCfarBDiu+WyoUUhJHoUgNUKkSc/LYcUBMV4KO3sCvoU
V4VJrnMOtAFFBXS+nVZs6U1xlWBzidc91zCevJEZFX0tk7Yd3MfQWg1CFR2uiJK3OGZgcgPD6Abi
I1Qd7WSHaKRurPxCOFMboKixHpFtGJxSvQRorL4l12TO75HCDk7wfzQjLmi3WXZQtqHtQpBH58Nm
lzTqmkAgvTx4ZWM//zZY+TXA+H1g8X6mBWLQI+fUQy8DJgQm97nNOxkiw9ekyV1rmNV1MZqSVI28
d8YARkktt6be5e0fUDfG316Uf7uwtmwmaUxlzhHFFNPMZiieEH8I9Uz3rkc0xd3wVnO8WxvdbB+t
qamY1/aiiDj3EPy1nWi1QJlMq9tsyAl5QsRtgyoquqAYtXw7mZX9pSK1iDC2eOBoXM0wJVC7mEXB
waUl7hKVxp1b6fHW1yv9CHhcR6LtJPWf4nDfO3v5THkyPfguHqwiqDDnn+ksDKWzfSA8prPJvV3W
hyhOwdNhiripB2u4NF00tgly7j+AnP7+werMeAFa0E4AFW8vf/7bHKjiUesl8aJBj/rhgpwq50DX
OH6LbYLUAwbPyZ/gjmdk0OXNUrR6PrgtSlRdsxYsw28vWReyAcRJG6nOs/Bqtpj0B7bwj2My2wgv
Qt+7IPLHvRZ2r46FVyMfrpe8K63zGoH1sYTtHccmYQcf39jL6/42EuO6PJ12MjM/poWecU7wLypC
YSo29CBjnn7jYem7SeKacrHWEmqDj1/sPSJq+RC8BWBIf3Nhg/M8vf8QiKBzSgSHxPfBnghJ2VAm
4ZHjf4hnZHoJmsuFWUKTVAOl6Z25dqd+xnuDcYWHs6HbTpSeJCarjPtuRSuDveHjt3V+I/NyWJMd
w2RCyhzg3EBdTLosWI/KQP3YeOQomT1ME02gnRemLProWZYmFBsDneWZGmv98QX84CS9+xqZdSIS
BLdhM1KFEnk22ZSDIUdE00xb5rbqnuImm8UmsazWYQIpomtqDvxrookU04K4SZ8Bm5aCHk+1RKy6
NYz2DpIfZjuGilco65DehIXrqQ2pUk4UmF4iMeC1aIZW1hhiDElb1g8IE4PkjDEb8340k4EQWhGD
2Q5ZorNg0sCO7dHukEFid3hk0OrSrt/afctGyyBhqUGRO5TXBr3pmpGAhcsvF2PzxYsmS56I2ZDG
FZMIR2GQcaaJ6AxgRjfZMPIl4v/QywfOFmyoTG6YDlbJyKbbIrRZ4kU0PvkGX1i+HbUldtcfQn4t
e8JJNmkZ2qfKNd1bLGn8bkU0AkFYg+l2gcWKp+8GzV52YjTrbO99zsWXBPPsWhPgGJNTM3qJ1KjC
LdJP75ij50vWVut2F+SJ+9+J7mOr5DOW1AAwHatj16Idfip8IuSCOo7jx7lu51tXTC2bqWFxCXYW
MpVCrMS8RdaKDT0D5ZhdtJ4Y531sTxM06Myiii79uBN3Y2KG7WEqe7b7piNPDX8pDv41jlaZb0vT
4+eYkk7SxpirYkJaR0m1muqYKiqF4NNs6dPInRgJgAhCpjkzAXiRaA9tPrJBY36TzPN+1CN2hZvs
iBpajFtptrRSm2IctT0p4Fp+Gt0hd1CVVLSvO39S1ab/8RM6afEiHd94si4R1eB3iYDA7Jnt/fgQ
XN40+CtenbwYLnamxic+JO/j5oZ8P/VMTgC6XkONIZ3mwd8iR3efDBMJrZFozDkmLDlXYduirg4V
mmwFiOUFYORlQwAV20qRTFe6Y3GAzJpkEsefVdo4JIR649y1AlH1+dqis/ldL1PjdopSneQkz7Xs
NZFtcwbMRGFv+fhhPdM+gGJmqaCEAl8HUdg5jwRAwJQqU8d2KnGTj6uImeIt75F1yrOQc630Kr4i
e4qv4OPXPV98dXC/bLMur28sITFnS4QxcD4MvYF5N8ZvZIViQR3hkRtvPn6dZXH9fUdBWUBDS9eJ
xML3gOLi/SJPX9UiErmsA4z07mPs6/lbopl1tUeFaS/pbAiRg2yGKnMKZ738TIZQ+P3jS/jbR+z7
FqAzlxEONE/jx2b822Y7+5MhipzwUY141Ztyooyn1eTe6gaSysC0p9c8mvgMPn7V86qCd4w6ZgmG
Mfms/waEYQaHDY62aVAgdj2ZOucbVq1l3A0h5xkCPsL0j1/xfPPWeZ/oJwiWQLWDPOGcjcKziyeT
MfAcS/8at9Wg1tFovvlTzVLy8Wud3z5AadljAM6g1oEGcF4zFYhWIL8i9o98jiKYU4lavS1bNRdf
P36hf/XlAVtxFig8Zr5zykzcRYVVW+6MQbRMv9p2KCu8HBm/4fd4D93aG19/Cjo+fl2e/LM7FzKe
hRwK8q5JbWqdR+6w6RVOE5IASespu9a0pjlOloaWOCWjTW2I1HVepZuO3/E86q82ASaQiEHhvDSx
KduN8Kbq1SiT2oDPptmnlAnitAbhld26SN8ecHHmF/5Id3MRyiePeMSSl1waWrsuQ8/jmE13j622
n2hkSonHzoj6/iWT3iLZkf54tLn5yrUx+NOLafdNtSJVtEouWJ0ZMVVO+XUA1V/tZt0YD2gzCg+g
mMt2BT0lkp9LdN9ti2ehAq0ZOAK94M79cb7uKAzESjFIyxnsYDs8oJdlu/GNlmWoCb1ZHYdytlzG
aUUv9ghuWLVjK2m7oO4EDlB8NKzmfq34/eJHc0mYnCsuYczO3o3VT/yEKIPvdqW1ZfiJWFudMS7W
JS0/dg42iU3jtQr1ELmwnHmNJudnFnFpsHH6802EHh1ZiWchVpkVr5QxX7ys+jr3tnK2WMiKIRHX
DfoAjBxLIyiO6jkgm28GLVAsHTbpa9eNnbe8EWQ69JwnigRAoeMO/yuJpGaBrkcv+u/wFewCVUof
sfFPnkZeDYQz7aKxEzrWdkqQtKpVZ+1LVUx0OIkxfJJxUUAQwKC0HxGvfm6UHB4XOxl1iHBsdRSl
aZ+KOsIwPcWJJzd4tptdnSwrU4sab8+42nNWsgzZAqfEaq2VNw59fWrSGXGaGuzTzz0B2yjvTsN8
nl78bAolliyaZxUPy1fle9QEChoGxqsfewiToMVDI23Xw2tde9aFS8vy84g4eO16zqj2hL/6DoDr
RjwL5jP3FjIbukeWFs5fkMWkp0IXJegUJQBItpS5O3sCwjSQB9Fuyc0JweLgxQ8vSRwPs22dt021
QQWS55dyQMi9ykbH0tc2Ah8cMKbNzfxT/jLDyjBQc7SR2jm5tyiJJ7ZO2t8qxlrAMwIa48eXSxzy
klyAG8o/kYg97n48+f+RgPS+zPnPfy//5lupqG2iuP0haPzn//u3bNd3/wgZ5K8XXjip7/7Ppmjp
8d52b/X06a0hA/Efisnlb/6//uEv8uo9AIX/+a9vZVe0y08jhL54pwT1gXP9e+XoDbVqF71kf/sn
v5Ctzl86uWCe7zgUDR5AZTb5X8hWU/+LkxVHHdo9BtwSlu9/qEeNvzjlgAdDNMd5kk7/P9Wj2l8a
ayqkPOIxYbcCc/3He//VfPlIPfq+wuAVOEnTkQHN5C+oyHNK91AWGdq3xF1FTepexcksb1HpVFsm
FfKYFygMAmXhk6iIa7zUOie+++2z+nU9vzeDftCm/lnicAEWvDg49w7wbC7jvL4YeMCKmCIAL5gu
HkTTiqDtDItXLcYDixIpieXEaMhqG3ll5wKsEMRofzN7PSOVUoj5hINTPeaT8xxK1dAAGM3hHk4N
BkyhMhvPJvO7YnSan7f6OyHu75d+HtXDpXMEX7iPy0ZHlXbe+nCmkuKwnFaOM4055h6pO9tGKhKp
p8lwP08VHcWtjzWJ9xTOhjyQ9q6np2k0mvAPvYf352Y+Rko0nAQwxglMgZlydi3oJJusIn0LO6st
8iAqOt1ZgpkZmqoytdh3i4gYKZ3soGGNg0GVf7iARer8W626fJEefTufJpQPO5HMsve1KmJM0lBi
c1iVzBxmwtfptgTW1KUaro84+QpH2t6CLU48+G/5kpDX9H24r/0c0d+ocjK+S7vsp63BLjCBqUdd
gv8+qvwd6lPZnAwN+tQfqr5zBDafGzx8Hku4YJz56d+8v2q6G6mj06ZeVWCEKcX6uYC+NeKZTVFL
CPRbJVK0oxZavbjJrcmHSdJ3mBkRspUOu68BIoClPBPOxtQzmDQCa1r7+PFT8q8ukw/YoRtjc40U
4+8v0/OlI9lEuhVPElHBRUNcANVUulVQz+hsGVXLIMUgwZNQemHEV/CVaJmMyDBDJi4IRqB/1Toa
maKC5y0xaxinj6/RXLhx755keibA3Sj5NAgi7gKZ/r0tx21uYEk0ypVf2lF9nVUm0tqEoEIcxQQw
zGtbTeU2731Lbtwp96qV42X91hK00rC3KjRK0ZB4x5mNGyTGUG0tNaYDXvLsa1IlhKESiFF/Km1E
vCs6kb1gnCAECC4xhLhQah/JQEd0bH9dD8QC7Gr6weEDqs/hwQ3tzGYuS+9m7SC0jP50Hxnnb57q
2uW44i79OFpYZ1+QCy6jmDriNCh1FJJVknM7pmZkLgSc6+n+lWGVGStUKclmmAztKfZ686KG8ILK
vHSKcIV+x/hTM4smy9l1geZ36M9y89g2ZNPzZlblt0PnWSR/WzWJuQcCuavDwPA0waJYVsXXxFh8
cW4oi+6U5S30qa5MNskAe35qvRu/0IgV10kJP7hYAzHfC/Ky6/qxA5p0P5n+Z7+wUcXjTiF9PO9I
ampz5W6axcvrt8WArwk9gWsU15IgLASSzF6PNcXzztTqZOOBJ7ov++K1WMLwTDd7yKLZuZrqZdKm
TagNRVgSHKLBUgqrYTNBcMEP094p1xy2dTZ9x8tcBYinvoxaPaVrepLqNAgEU5tcWdreoEezNtw6
P9UezllPaBoz/nZmJAjx6TWtBfrCvuJ6uVVdSmdtpMgX6LQvfRRJWyJEIoANXXekVvo0Y/nYRfTf
9wg41J3uRHdA9UiK5I7YYy2eL60xW4YIyLu3eVQhvcM29yKI8l4lkRlfhjlESKMOnS8spcfGrC3g
H46/nwAQ7u3CAElRlUTMRW4KqQJoE0YOO6KzggTWfqqciHRHV9xhFF8oVG1xIJYNGg2l/zaXbo3e
mYm02w7DJ+apDz7ZndeGQjakL+KWSVTTitPGTsjiYoqE+7nOR/GlBk0Sc68meOq1pJ21oz04g32k
u9K9jV1VveZtDoimAS3XpLsmG7Mb4aHdrrwwv1Nx+wVI5bjVuuLNRGOCoAO6qAe8hOEDfUtnvmXq
kXzVah2F4Ti3+BQVmeTfG5q3rxVV7I1vdc5TPYbem8IFC4DMIe6cNAJgw4kjd6q5pO7AcdIdHHcu
9gCVhsDWipNmN/5B6QZ0PJfvYWPRtFnPGm3ldQKAMMidSN4OqMOA9tbhAaBLXu7IX66v+j5hzOs6
tYUIt985/VAeTDhFawEjbGf0TvxoTuEuKmbzlEThwOx3sFDPxsILhjyz0DDGxaHto2w/T6pn1bf7
8kFV/TfyzuuOL62oX8hGqb8ag2lwgw74U2EMFnd26yfr1shsh4ldid94weK8ILqfdl2Mc1Jy0g28
RrVPgoigFZs5onADTVkWMMYj66x3kuGGwSHAPxSAHroFbL6csdAu8ySlBHilI1JWhAYjFmn61kGX
y88Rw9U7XPLhRvRT9ZWFNd0PllF9iYdFf94Pw8rTQqzDU9IzbqQBGeTSWSHIEfdACI1gnFwn3cSe
hfqboQ5qfdSJD7bsB3QtEWu582Mki3D9kFddejGl1XwZwbkLOhu1gRHLywzfDHxsywdk6Wgns4e+
IUfN2lVD91Vx8HnQDe5YJCfGeBykU297jwyOPLeyYxYON/nQP7ed1dOD9uqDj/XcXtEWtDezoQ/P
5Yw6w++JgveHVL8Fmhl/ippeHIx+AM7tTMUO5oy/bxj234/0aJt17pLxSVGz6O/lY6IVyT51e3Bh
HMzdQwSE4z5z3fFrL5zkczsx1lkVTU4euKvKq6ln0qynLb+MMaGHdTjVr/Q+0Xy6JHQ+t+nU7zHn
Z9A8+mmPPxujT0tj2grMos4e0nm8NbMkvx4Z1X71Z5zD1dR+zS37za8qmHLKFPHJrLXsLq+r9Koz
kv473hWN2pdozgu0Tv4uTES8b7zZ2WMG5Osz0ZgP6xDtDUaZLn9g5vxaS9l9BjdQfsr1HDF2ZnpH
KQBdxfPyIYx8jt+gAc0HFyELqS8cV9ZuoeebcUlXAa5EfDtdpGlHCsjCS/DNvW4IOQZzL4dq01Rt
8Wiknnmd2rhebcQ2F2bZOHs4munRCNWLDrbztqDhdbQbNe4albpbxxbpVT062OEZW666oiaUvVDh
RYbw4cCUfXpkNNLeVFmTXjctrzbwt6NNb8ogpa0d1P04bdwwy3ZRo2crKrDhSaZFe5XWeW/vnKis
7S0WbWfeTqmsrr2Ro4ysB9jauR1FbwA9WjAmGut+mksImhwkBodEY0ENxX/723HO6No4/WXuFQXa
Fae+6ZLlHN17kCgwiGEnnx5V0RYcyFtABM3ofF66qFsr5HlGzBY2mAzCoVyhHjUFrS/m717f30YM
Ci/R0sSf9MGoyUMPUzTreQajyPJ7eXBHW3usOJhdhKXAQ1ex68UhituAlzZ2mcy7TW1Ldw/iXnyr
3f5N+iXxvtLwjlT80xg4Pb+4IStaQBOOmTNQin0zcQ6g94jFvmnr7Uiq6T3Za2IOis56FY3pgzrP
GWIBYu+vJTjFSeIKFqp7gECKILnXnHtYLcaW2KruwLTI+AL4dYsBB2Jd3M76m62QDLqYjG9CK8JL
hc7seezUfKVCvbuSNjKXLJLNwYFwDM1EEWdaZArDi5yna07n1b5vMTEUtPoDVgDzJPM+eugXCNrs
+0dhRkIFA+SkCxVaTFrjDC+ZJ9MTQughmLlPaAQNxdEqzH6fjz1ywjCjfy4N40051nCHnSvbWsva
4jFCXnnV6N2jGQApUfeZsxtGA32/Z5V3PNnZaa7wIqzqOo0wsDg4CkJkC5WYrc1U2uKxtSftSpap
+4zWyt2D3tflBiaFv5rCkdZkn3IQqvTeu9fCsn6sIs38LIaRVd5lwPemczC9cQqYVkGTd2Dnx7aM
VjzNL0Zv3eEGalaKTWh0W/+OUUz9peuz6K43DOs7+MH0LfJVfCtlmG6dVjh7DyQi8MImroNUgS3C
VC/Hg+MwyZQqfm2dOT6kqV1zhRpidQx8axyV6SW9QmSCeL0W6iV7VSqV3CeEc+K24RExJ626I2q3
4WRhUV2MTG53yTjrK7PHzk+PVUa36FfLlgcrla86vYuTYTQM5RUmz29Kk/MdoVWthcAtnB4Hul+3
5LXEeATmnFE8CBP78zwgrgEfl971pl09VaWckDHm3mts2Jq3ZljMCmDF2DhGRCo3dqkajtq5Mo+T
mXngAtAtBm2BKGzFg5WtfRyXctuNU3yR92n5qSPoUl/72vSKkrXAt8VMDviPrNxng7mrG2h6ya+U
f6g29NCFdoTHJlxzsxIoZtcovxGgj+ORGWbiPdplQcwMJDR2TKadPO0D0mifRbvOrWHLcRz2a1hN
/EE9lpV/CxN0mkzuUEfF+yrq2c5xVihnHzrZdMPdkYLHkZgit0mFfn09aFNvbw3psOCA7in3XdP6
Dzpg61eD2fS+57D3PULtxv465O3lwuC5yWdkuF7fdegnk3nqWHf8DhKU65TYncABxG5XFivQKK+F
1oI7S8yekidyq2d23vhCMYTaazLxAayM9AwX+VKIC69p2TcMy3J2oZCKXYyu4kWCpEWs6qSzVmlL
fbNm5ymf8ypyR3R5Rfjg1F6DCQlvocIekkGb6wG6ce8LB3115PfZazuY3kNWYQ8Zh5of3JWV0/Mz
S/ESsm1hZcOtkQaJ50b36WiFL9rsAWqZTJHv6jAby1XmVR5Ws3QowMFk7jMOzrQhU8xs253uT369
lpTlZIPI2H3xk7YmTfmeitD54kjRwx9zsaiRf9WkV6KL4fdMwi5s+u5G7G2doS4/jRTb1CSob2jo
g5As1kPlcX8oacQXGSPwq76042y1bNfZahrkMBwB7HgPwEuw6c0pkRcncHBKrNIu9ZMvhdnFFzzK
hThqmujaHeVBN+8SEhawUvEy3QqrY52dIFMvgW8DbKIVjjnt0WsWImY3Gri9swhf4DIB9Exq98ou
V6gaBJPCQgHsNalbiLDQcveRmOI2AcjNN7rxVGcPW7fyKI6LIY/rVVgyE1iNZDDeWiB9ryB8Zxvs
knxbUDMh7ynYQ4FtVMWl6EbvGfyQGNdhx4i1cArnUzmPx8iJnZtKC42jMhLxYsR63iB+mPnAkgzv
zwrtPiJEJFK7PkrHOzus2RpyR48waln+k+oSO/BKB8IJiLn61HWR+QJ8gcDbTPXfQWlHFo+RKPdG
bLUseXFtNTghcs6cXW0MQMedtmuZBsyJAJkEAGvLpZvOdrR67LQCPjD2sdjGM/qHnsd7FzwdI9tc
JsE4ajyb3qV1po6pMFM0EMWawK2UL1ZgXDa+jMBFAelVOz9PRo/5rGBGBMbaeemT2cThM2SLUqs3
fBg/GciY6zKchbXBhISrlGGn3W4GTA5saLLtnjtjzBwsdcOC246Uy93RA80FwlJajJ6MFsKOVmXH
IcNusmNp8SdOah2eCS2e/Tao2rYKl3oBqobMGd//YVb7t+YUSRK0tmk6ct8BR3DORqdVId1S4wwd
zGUSfQOVQOx1D8z+bRrcCKlwh13MVPptFJPUs2zo0DOcWYdcY6f6JVqU5FrPpMVdK63xDwEQf2vS
cnGEDuh00z2Gyswk33eltMobWlVR9TV5lTxEoII9ZpKzn3AHVnl/MUQe6hALWcumnRMmMm5W4ccR
VsXZ7OO75f1Qe2kvaobhej6TWKhnDAbfX0rEEC9O+h4K0ITRg4nbKfe7kcArswVindh/uDnfT7R/
vhzaE7qG6PN08zwE2Sr8BhckpNBwsl5aMarH1kGeXOJXevn4jf3LV/J9ZJX6wjlwl+bYbxqBPCoF
ykII1kL68G0wqxyrHEVT6/e/0oL/v54vLULBfz9funpr47c6eylem3cjpuVf/RwxuX9xWy3jG421
fEne409+TpjMv5gLkAKmMY4nlIQYlP87YbLNvwDg4hGhKWgvAya+tEUDC5/E1v5iXWPCRPtA9/5T
PonxvjW6ZBhTGXiLItJB88Do6v3doeMQGqcUFWajKnE/NTY09bbV6EkOYdWs3bQFxQ/6s900DNh3
CeOoHDYC3Tp7wAttaGO3wUJrYOwL/ec5GYunihCQYWXjN8emUcSpg4TbD+8tk2BxnzAAKLjutP3t
U/8Xk6r3k7Ifb8Pmw6DFi84a5slZbIpmTV5lejWsTxbxraKg7WCpsRGZURuuF6TYpxKbzB5oYXrQ
0OT8YfU466//ugCWEIdOLqkt5y3myaqQWwLcQ0SQJRd1olG6c0aiHKvaJCASgJNbE/XhUaWe2Ltd
OoE8FXcZoQaHAjRuPxOBY/qoC6mjr+c+ra7p2zW7oWbEorymPizhKdambAo8y4USD6THiJVkovmc
dM1sXVq1jj14ctN5ayOPOP78qHP4nh9/1GezpB9v1fHZTZh/WqaFEvP9LVNErta7nJ+DTqbqU9ok
/lUz0u3bUkv6IAKpOq4GD8MEXAPPIxtDjbQoU45nFIR+/IQRIntxabMy3h9Nv8HWFA0ZQn+7s8Wa
Cp477g+XvCRv/jb+WK6ZbZD8crRaBs/huahnMK0+01uczS0GvitdH9+wV80bwRvc+Eban/JyCI+t
P94ZozXv3XzQAvZ+++uU9/l1b45kE8DCwlGP6XgX1m6mrmSKtdRK9eEBVZL3LQJP3W6IvpET4sO8
eoAYzaQ/8Ycj9IduC9RNu/EYsiRhQTZlkVRbAVhyXajG3JH9XH1Nx7a+1H2zfkoNc/pemr74VNF5
OLrS77ZhqIAzUi6tLPSJG7cf05VOPX1SY+Ne48f3Ngg+ijvX7v1XapYHCCLzY9lVxVOJauNRuJmz
7sCZAE3NqpOMGn8xu083eJ4yeKIM3hu6N+MxnxPnSk00dsu5KK5r/FXYgHrzyayN8MLW5xFQQvoJ
8lyDKFEO6bp0c7VN62y4w5S7gExEeKhG/JTBzA8LXCK+L11XXHiGRURbM8srQJ/XfUYbp7Zn2JxR
QMv02VAATDhPeC0dYjFGQUH9tLEyX7vVJYB0Tpc9VJjRjtY5fLrLKI4gP/cSs4Bf8myTFUYDgMEb
4ZTqyZuEv+2dpU3lNghhte5YpZWOvS4vN3+4v86XHx1dv8sYBwwYhYzlnC0/ilb2WOIOpD/QDwSY
jMpfQfnpq52hVP2dQ4G2n1pdrAXOm+tBS+vLyXGfWmGIHNJLT8U5VsLR1zp6qbVjRkWGgUZykOTp
N9wcCKHv6hd/uOr39TFwKpYrJsK27jgMLbVzGVjBkMvFmRmvciW0Nd4aD+nwDLoP3/J+5A5yc9m/
6bhRdhlUj40WTSTFZjJ8/vhC3o/Bfl6HZVMNIfOD3H++do7kEMUzkNtVP/bVPWbBaJ2QarSOu0nf
GnWFVAcDxZ++s7+/KpuF6yIjp977X/bOZLlxLNuyv1JW40QYLnoM3oQEe5GiesknMMnljr5v7gW+
vhY8ozI9PPNF2HtlVlaDmniEWTSkRBA4d5+913YxN/zxNqazHzK0QWoYgI143DC2N6+W20ZfSR2a
5LOLqJQ7O52pCCHVucPoVmTYGzAAvY0NNJk+9q23Zui6Gw1HE4Kw8E5OA98KU/Zf1Zjjlv3lBsa2
gIkA/Dr5GJ+4DFPEz1NcK+FcoAs7q4T4/toe3Fve/Ec81aa5ygw33PmxF4gWpA5nXwblfnROY2xE
FTEkTqhdlwhQ5MY7fpHqasM3uAAKgSPdGjij7VwE0grbj9LU9nDOk+M4ggJnT/JikrZcW6IRVIV0
4QNm1OLAWVBnEreeMNxLEcxeOO0sHYZpGNXeQxvGflDJCCuakCWCBmbxC+4yIUF4OcZKgIDa+dig
VWwQIrYK7NKTN63mZhxeOsMcN6EV+1dbEI1sIVvj4A0BfM/6HH9JfHc6Vhwqdin2w03nR+E2izLw
uoBF7C02aeehY12315o43IEYw8eGnLjxIWWtuia23vDyA3mfQUiu5lQ4r4Q75xwfAYIxi1h5Q7LI
0tau0x1b1N+rbTfdXa+V46cVJQTiizm76LXBXhjPwXwEE6mIpdbshhmzqUdXjXmObeOu6lKgqjS5
vjphU62jMLIvdjckVy01jWMUlnRLMfwdVJqHG1VRT6Yq+jyMrIiPndPOxzaHSF+YPjDwekTjd/SI
RRJytY7nx7UphHNN66Nr6IDsIwdWqca5fGOjGVXbwayTXUnzwwp0m7meLK3bq87j4JlkSRiUZYvs
D7Ay6M2exdKcHoooGS5TQo+wl4TqBjf6wYOmuC1C+5WuAfMEsvcZ1jYlMS0NGN2YnL2JSbEpjMV7
XHaXXLOrG0jE/S6zZ/8DK1C+K50G3MuYVz2tiVFdBeY48DnblXeGmfk0s7M5d1Xv3Xrox8Rpy/zs
jtAoQhJ8u87VrxjpvsRgH+4n+inwbnQhTQDjaARxA5sSaFjLJW/saPOrSfmHr1FmVndSOt4t59YG
KTqbn9D5xDNjtHGootQ80Sx3ME1wRNR5YRH1sumxaHKNjtq6vmf1np1UCYS5Tp2XkgZ2XI+WvLZO
PV1HX0uOWumxXi4YZ/PKAzILp6cees8NRrguvLcBaikriJIrzIf+mZQyiDrVf+EzlA+53X8J6zw5
4i82ruNIGxqqR3XkMee+NpkNocpwqq3jFGFQROQs0Am+Tdqk7YiYKrgriq3cKi1z4zg3fgfqRoVr
OB30vzXxt8rqjRLhxU22KrMVb0Y8hiX1d0k0N+dBZzrdtkal3fV8Ye6kmLOPsorOeE3VpsWA8JVZ
jKo6QrFcQZ4Di94qjHsrhuoPi3p4LhvjISXgeSyMDg5QToCZOCgX8pxUSEQGu+YA6vi0z/kALiXV
Fu+Cm/4LmACw+tx7nrx8rm/rzqheGVXjZVE23XTk7JmMaetJdyDvchJ9OUS4sktg59uNu2T8UmGg
mvtx+Kr1sAuyNE2+tW5rFkEfF7RddMtmtoLRxx7e2HGNNR+aar7CEvPWXmt4a82d8CzFvrMTWTSd
3Cjq2Ukk821H0Pjk2rRXee78YibO94pv/DbFjsaj0d9GulGQvk2vRg5JrvCVT3sZOdEB6OQ7lbQk
VPCN6LVq90wzmftMDTjL2ZFCVAa0GW8sCNvGDJRv54FNO02zTbSsv5VNFX2dMqojUK1ILeM+BSde
YoobItjJrY1Dwq/7cO+DxE2WUeAS03jLNy+T2kU2Y/kQA2nktgAfZZczOzBfY1LAhIRGhctmNYqe
yh+2TR8TjQEn9kpohImd1WsvBwnSjyr/TLC2QyqZixevBEIuW8f6GMJpeCB1w41/ssA+EjRBJ5Dn
1GnaPV9occGD7W+kCzxgNdrIxUHn1aVzHFVpraPMxdYbLRtkrN9q4cvIHLOE4VjV29TACWDXK9uj
4D4GCsIyNL4By3e/rmuapvJE7fVQL27p2jTSTQ3+39+MoWlQ0KVKQz0ljs3pjkq3HrLwsMSWUFbI
yc+VuB1T3H1/fyWCzc6ZiDfKJARn8TgtOe6imXR7NeCCodfHnaRx1yaQvz4HokowJRwdqZj2JHj/
eMsoLNSBhQExgzbU+BuS7B6rdZsHcEq3HQyXQV1lOXXeGjt68mPlciFF5gVzC24stbn5DgU867VU
Ql1LtzK4EYdtbJPgitp62xH+NbdyTBoZ6ISdxKlKhpzrtS/47VKWvZN0hO9U4Xk3PMf9Z148b+71
LE7Tj1CVkXmlp4mUJH0BOGucEWb/NkGHptlNoCSj6Bb951jrkkmmE5c6hSPz462CAbcO9RLxmgwp
HmnwajG35OJSwMraizYSFzo85MoHHmZyeGu9YOp5VIU8ZW5EUXbOCs6huiZK+pvCyqZ7MGdQHj2j
qp6qecbobcAppqaYUqlrby/Rq951xnulFeISzxU0asZJ6z1tIFmtBN4FoBXYCsU25UDZrWQmk12H
6Jqs9DJv951qfegsXRTMppm/kTPgfYwZPAhXb+s3HzAhKe7Kq++N2ifQTWFBD8ttTLlgq9g6DCxL
abQsZz6Nrk5dWtaokiDaVYMu5+MkHmh4fEh5y4mIyhUZbSZQo3saL+3bijmxXOfCx0QPBa865Uqf
oLUTaX2GDsivTmUpqezW6D4t6vWe8STFDUZxTzhMFMp+z0Ohvwh/7KYVqXBFNVNljdcUSeT77Gnp
mbiat7WNiEhhDR1kiFVAm8GxbkOozgO4pStVedqmxNwXSNeSC4O9x7maaPGmG6dpy9bjTm9n6z3H
r3y2pxYKRCmwFHblHW6f+Bhps7wA1iGWQ/EJpiXlho9mnrVqQ2r+axX3AgY+p6mjmefTnqKc7JYd
aH035IZ1nv0lt5GXC7XWbBGyWaNK319Oap3vBxaTxNZzQ/dDdA1sZ7OmrZZiqPok+skIMK/lnx09
iTw+dlhb/fTGnNhP2PVQ7AWrqO/lVKlzQUXYI423S/Xq7NBx7fQteNCyqYe3uc+XUaXGrSIrwROE
qCmk0qJhDT2b5bSjJ3GPqkIBp+HWIKrKas5xCcRsx0z6Oug64THt9pDF0tyiBMepRctvW4TQtWpH
hHtdle4p6zT1jUBTF1jUkxxa+ARHkY7iPl1AA+uOk/++subobGV8s9f5OD2HhvXCjPngxtFdiwMA
aH5NkmHSxS4f+nuCNxRdmdMW8af9iCqTNJ5b2QC23ei2hvlJ+Vah3WmSIKmC87SbZpavIKLWfsxZ
kjzFtKFFAcPSyIOeAhp1G4GlPFVVWt12xaz2qAjeFzMujWvR+xXUkMy8TSOvpDm0EBsqy5K1nNro
TE9XeFkQm3dljNA+auZLXWGUMzuvupjl8K6NYfXc2jWuIi2mRBG6TAJ7m7ouP+yeKWpx3gal0WWP
cQDPCgWL8+x1XAd926xmZyk3IHKxM7R6SyrT4pnZ93c95XnkwOlzATNiursK6zifvvmZlPaTb0zn
uY8rViXt5m9JFVXYS2EdgCi8cHiJNpW08g2T6FPJ2JlM+q2ejZhrFSc2U7QfndPfe4P91cjESzly
T2/0+r4Nh4dMSx9jyPxRlrDt0p9+nFX/r0ncf4hd7L5Vl/fiW/drGmN5N/+IY/y/kbMAWvvToX7J
cfyez1h+gP/4nw8AQ+e/C+E/6+A//qvfOd06nG6BHGkC1Sc6bv1DB7d/822SpqwoHERyDBL8k/+d
tHB/84jj/TNQwSH+dx3csn9bFlo+heUGergO9/u/kLT4+37nnwZpRAikEF3nXRD7W1T6XyQcE2h9
I3CisEqf49cMuwDG7TRyVpjiuUr1hiern7GsBh7L5BO7TSCk5l45PYSHeG7wSsU+DSMi6i5+19cP
sam+1N1QQY4exG2hiPRkWo6RgP7Vc+QBgwyMLq3OHOvxgMyOdR7BDNm2a5Br8sl00jgyHlUycxbL
om5D5RPOEGMU8mSb2rAbiDcd07bvt6Kr5jflEolWo+11B+p8p1OEVeMkUkVhfJWcFf81I21rwqMd
pYmLL2pfoYqoTUJLzxaV6i7HKQF6v6TwKx9HhuYijihPkfDjwFMHmTUk+Ogmaj7aBdfXGCasM6po
FiqLTiPvAvaLcDqxXG6snWmlNQ1tsP/yiGKSpTjlq8zVsG1N61tLIHhDZYS+rnyLulMW70cnL6aV
1HLihWY7ngVi+VHkDZJLyWPiIEdkMNokIWauBKI+skYXv+rlpH0YC6VQ1Pg7xgILjI1WeFQAf/qV
K5T2hrPe+CiG1N33vUlhKqts/y0SPaDRZKofusGMggl5eM8xO/+uIsqHMvp0VcjhuEOC2o/YSQ5w
AkKXCcDc9a1e7r2irp8kzars/u2IWXOGzBfbjb2ihmrcV3FHHxQQRvsEb0YsU9R8yGmqvpiJnviM
ZNXOZwQOJuCKdOmaBV4UBh5n1eT0zlWIr8EA8hEiCDJOy3NqDqv5bh4t+86g4JpHWOEdqgFupLcQ
JH2/606cNxgfzMw5kunLtzw0AJ3IAlYQH+qTwWAThJ3ItoSDjV0DPGmNEzgNbJrBg2YBWYK0yI3A
gnBnwA1dOfbS0KvcHVF6erTMubzIot51QCI/6Ezm36ogRU9WrqN7uC++UTRb2WOTy/C2YVYGqGlF
0jqjG9lEI3h8525SMBEwXmeF7R4KuiIP8cLlZPABpwSqs4B7+cy+1Hu0HOqtqZMQoAr1kOoSJ/c2
UFJR6hbaZ7VwP9se0tMKFGd5wtQH25x2bphfFVUta9Lw4hUEAFW4rHW/snmf1mFkYqEiGm4EeB3F
weuIKzBkJvEuAkbMH8tyv3QTSALAOleJa2NYnep8ZRqZuRmqgb+d+CzBRjoGyouSzgDPQH0x2llf
d32sPmCt2o9wpb6AVkdCE7l5Ee14yvGJg1OCt2Bqtrj1Lcy+Xc7RXjrFuKkIAm7Lgl8Rjz5xbhDP
aWUr6r2jfExEXGgc6Ds7xhlSYyJ/pmcDMFlIdmwT2sMrR+z5yRiXwnvOatsOrryuVLXUHWJo11p9
7YjstfI6fSMtN3zhqwq/IfXyOySEZzf03T2rF3Pj4BAZ0Oxb8xae0j0wV+q0erWUAmfZNUT6DKys
93ChSTVc6Mi0ho1fpTisS9gUz2Ar1d705HDbI1R8Y/QUp8nDglQIB5Q5CBpYhU0o47VQen9TWLrS
NpJ8/tkYYAxRPyRp0FOOX17A46SnOC7scIVYvqsQJ1fhMH9QGTadY+B+n4270HStwpl2nB1jnG+O
wuyoyZVAe0G1pjvR5/+307KpP5Z5IU9G1lsrPPnbOs+eoMDbdZDIlFEQ63Mhj96QjP5tUk1EMDVc
0i8YE/RLxXIppT+tnO8QMc5eRCoA5IRx4FEWE99RDcdHaG1coa5VPqrKseoDsZ9yF4cQboPUUBue
NygUBWAGN5J4eunp7G1ud5gZaqDuMO2R5rRnZkYHimKRPhoDiEZfejeRbLWVS3AHV/ri/quW3JCD
+gh7swvA3EbsBePhJsL9yZrVYgSrabz0s/Gr2eCO9CnuIyE9+Vsh0Otw3LmrWNnZOnchPNp5nq4T
3GjnxEnHDYVkO9Dtyda3Smpo2re8Kw6uP766eX6x9PjBwUIAKTFKhy32IiyXhhADoZolXJvV75zU
p7M2VRFLouUiMc0Ww1rebQaT8X0dKUig9cydMmVzNPmD+QpRLtpEOYiL2AMUYaqwfswSd/qSNIVH
WbJDzVc24DQbRlBykFffjLx59cfpkkn/1uu5QbVj+8kQ2m57YxhIIdUb7hYY9TJXXfDtoEnwsR5y
uzv1y4phsjyM3SIiyCY/SqmFL31Xx4EJEzsgUDDz2AZ5jzcjDRJ8/NzM4oFiHBipK830/PsIzOht
juMxGMbMu8sJrcNeyW6GjKUaOYylF46LsNhb5LAfahal78TpUJchN7preo/DA473ZkflpOJuN+Qv
E+5RQjdiBiE2cXIED7kOPbd6HdBsrCAVA9Q4t3IOwqjND7TResuRFKlj7k33ZLOy/6zi3Lj180K/
a+sYVK7GW72FtjmhX3ZHmpGnI2af8JkDuZ2eYJHmVxWGXwV2MmjbPMScSt3BrTUfNJAa+GwJAIKW
tFeNW7sHP0tkQD4wfmumxKYuCTPdW0bjwaG0USI2emkf4BjLgPuyxx+2DbsXOGNa2QrYqXJus0kH
pRJRXXUXqdl9x3B4HVkEjVvGqhnFtOjKMx9xCKXencqrxB75bGb6S1fxjVIeeKgEGdmDpR6tUpq5
txXcmA01juaTEWI9QzRD1S8ZPfHFUjAZNC1DxArXF7JbXjuvdQJmPqrN9hTqTXiG5UdBZpuO9y3y
7AHUNFh9rZnXJN8mkIMmR3rW79pX3iMtrQLjKc+V0XMvi434FMWetvUjGG6d1SOCAkIwowKYfeyY
uzjXQINKIycKmCEbUEARzlt/iHca0PJ9NRZn6ljEKnPpuj+Olkv37RjrlGlPMyvzwco2tClk8Hva
LNzIcLC+9B51eCsDPs6KiD9EWOG4n7AJ1N4r/elShXW8ozFuPqpWtI8pWjSPEAFNeRSUeEmhN9ex
0ep+n7NfgsXopDaQEofCFZqCxRfP8LIeE+WyodGo8QKvT2Vo6GkPWawWaTXEIYgrs36e27R5a03H
028oxwq/0QIyiIc4LBWnWloNtxVlkSHty+4XoKUsVijHtoxtGSXaukOP3dlOioW36r5Dzv6O2cl8
kHRsBx7snBVnRI8ml74u3n0KjXV0sbRhndD7FzAZ+GXNwnuGNYIwzj/VjuCxdsKLcyaSuHqgQ6Dd
EWK2t82YUT2Vcqk0HiJRL8d1OmCp16cWexm5EToa4CkGlq36bc8HfmtrzgsLrGmLtT/cFhGlg7NS
6TfQw26Aqd88UBmL6APRZq8Pcb3hk2j2apznp5LMFBigL41l2Hj62V6QJP9khMhuSp9JjP03o6q9
E8WbS0p7RcvrjWXPD1Hr9Ku618b3tLcv0OrbK4f06MCcctdadCM49aVt429G5W/Y7d+TLPlGGvw+
UdZXMzN2WqW7e1AVxg0a+yPu3gN9udcwrwVl1OJAASi2xxLXbtdo3Dlj59BGDs8eFakNN0ISdjYz
vdSD3Ip3xpTPHyoNY26bcmJE8/s03Yax093DhBX+PkyoJD/QwYFcUbm97d5pWfLVZYK9M3DzPpIc
ZmUa9066Ko0putMimB2ujg2oco08AK1aPISFSRmCrwBwNb13pMku2shZzrc+xCeqNfyWtNKchM6J
xIzm8NSLosCONHkn9SGatn6ua0HstOl9NPCvsAryWzGddUkZbOenyR5GPqeFOOfpWuhWfNCiXLu6
M+vCNdaq+WLlY/JNt5BDSM5XaxrCq0scRuOa6l37ai1UZrdOKBZUYtYXniM6P1MOTcC7PO9cfp+5
1m3iAfccKeOWak0r5y5c4BmnhLrc5CHKMGwvONAJ9x+evSZVSgshWngREheoCwzIrw4CM5kC+osP
JRswZm24k+GgwDgTeeKElYorxWKUIxnefT4TYCmH15IGcx4mw0NB8fzGHeZiD2+SnAQLtiiyXWjf
Pc3yptnjGIJvHTfGDbCPq9MM86ZzouZF11rzvgGeuyKr1AU0kcdnZwFlW3JBZqc5pm3aeg+2oYW7
SvfnzcQIfusmnnGOhTK2zULfpseugaPrNndpweU9G1Iehg4DuprUebSTO9wn4sbqpXYgQ5Kfwwlq
sa6XfrpxYgIEFO6Mxf3cq88hrcReDroMJqEByJ3opmXiHrRyWQm4kqxEhyU2VsmTa0i+slHk34tJ
Zi+DYjuwIbZEolhKvXtsSWBzfCiW+HfCL/EmSiz+yIg+gFouid07UG2IIM9BLLgjaDNEg4gWWBAx
5WvECuYiCGxRDx1p4NHLxOsCWG6vKFfppviBUQefffRENR/ncebAmi+CY10SzQO+Dj4sulKfxcqn
KYt7m6JjOp/0mc0AfuCidNRHSxwtSHuNy47+quYT5bl6sX9Q3XvFfQgGNRgYchzxWtqh+awaT+yq
1MkeUPd1ZF/bphG2zQ80KWVn+jQfuRgYfoZ+0o+z1mHObmuL3YXSmkM/hMnG1aeK5zNrNiumnA/F
nS51fhbis6FStwX54YcW0+vAKbXzXgsujFMHLRO9o67Pg7kUD7fT9OhBbVy7aH8f4cwSrWMx9130
jvfqaFN6yHQw+H+r/tFylti0mfHtAplfh+beXrrOEkrPhJfK098GN51ThA6y3qY/7vUGLZaGIcVy
wrnQ+x6yd2fhTQ/XHcfO9CKUmK7/X777AVv5C0yKYWH8/M9trE9l0n/7/B+npIw+q+IPCt7yH/6u
4P3Gr99DIQNEwmnBF5jsfmeleL8tYAmMKS4mY5zmPvaV3yU8R//NIxDmerZp+nhYrJ8kPJ9/xJXk
Uf0Im8K1/ysK3qJH/mTxw0mNe8zF0YPmCJzM+BWWMhdhZQEELNbb9KE416vLen+6OwXf/WAv/8JP
SIL3X14MNq6w4ZGBCFt+uD/aceash3fNKnENCG1q4pVTta4HKijvyKfWmq/tpiz3TxhkuirI0E9o
mm6SrafV1iHXQze5zHjbvxMtFN+hCldHtJ/oMOWTu1Vs8B+9SNYb1aGNP9Cxo3Yum5CrTqndyZkM
67WUDYdiH3DxMi+RqsV8pn9JVJ98cURKRTQPReeF1qQyDDyrNAgpK0XhQMPSB4tcgvNr50jNepBZ
Ovi3mV9W5J6hEOLYc5UiWWWO9XigB9UhcZel3itNrBqNOz0qAzuyaeYEGBb+t5rZUO77yI5ozgmx
U258th/k/LIFW8N6lAKuViwdb+XY1M02agplA1W2Ru+eQj/iuGHCUoxOwcJ1GfK7IjvqrkYrb8Ym
PJCFqXZlgZv0KaTTHTxE3kT73gfpsmt9VbxhNs3ZpmO0p+DM08Z96eXdeja8KQxqT0Mpo6STkCgi
F8TFOco5+Rbsv7DWWOEmBEDAsUFG7k1aISisAcJBiSDb6hA/G60uW/u5NX0Su0eI4BwxUXQ9Vm57
jWlLhEmZ6uCFrRK2/SrRpvyhkr5zaxhLf4Qqq+xsTNxtVwSQFEa2xtcIzidW+YY0m9THdqFdUb0L
jr7rJvND9IXDidJnY7Pt45Q3bLN23lgzwQWKFbHZrPosrm/d2SqHx7lSFWcSvy6bje8WfnfomYo/
dDFMlJbEpOjsCaoBdb6pK09t2hIPsiAXrNMwotZk7qZov7CDn2bRJs06Lar+jkZFsw1ApySPfu8C
JXDBC36VtS0/RwqCXqtJ6mfLzZN9Q0nvidheAbs6Gl03kP7I8B4DFDjQbK09grwp7n38fEMgJ5rm
zSJuTtYQ4RpIctd4qPOi3RKym+ZNT1yTgUhG2XOFg+3aVrR40Xwlu73HWUbHN81Cf1XOY/huU1D9
tWo09u5wxbBLVBUGMYTtgmC88p1mg9CLX7UpRLj2NEqqGMCzvZNq5nMjhqVQltDaN6j2nYXJh7X0
Kq4KtLtWuu8Rzi0I8SKs7hJ2YbuW1UOzEbHr3vKoMuhOAO1PG3biU4UCRdaNNpSs0JQ4mGH67mko
LLsYpWjbSiXPjrDNa+YMpdxiOVsah6DnnpEcfQn/qxugwuHpsg8OyPGzRvskCiBfW/oqMKkgkLLR
/wvn9oI5+WnFgTeVuywsqSVzguPTXu6gPydBSM3qgHLFKm+DStf3Thvtf3pq/Bsb/r99BY5/2MLh
85p0p/7hFTrO0e0AswcXLpXp7l6P0v/DV/jlxuvXgzQLlrYrSsITfga37/47r2DB8+RrBS3GXnyj
P/2WxBwRH0ejhRZMjYa1b/AR/Plv6Uca4Z8fhGcIe6HwEC1cIgsGjs4/vkRUU4Vnppxg8r6y1Dke
av1hJk/7kkSWJk56C42Vn4wtB9H98lxaSbiBFJKfhR3ZDXlbylu3jRqKF05nlrvuIn2aMVWNerFv
EPvFLrQTXd3oYJqwrOcZjR9//iMsdtM//ARcPQKUlQ10GuSA+4t5FueGapzGFTDExY3ef3p+drQq
fVna/sUrLR/or68E5YEloEXLMn/zx9+VZoku1nNNrIypfgy9Nj0x+bLGLubgz3+kf/9CBHUYQA1k
rl9eaM5Luu5LbA3wToIiaWmpqp4Bcr3++cv862/OJfSzxMwY2omL/PIlVA461rRoM7qTY4iEGZKX
3psqnb0ms794rT9anLnOMIF6gvwQf0CxM395LRCevaUnpB4GTx3KdNuk1UrBeTG6U+xu//znEn8c
iX68GD8UkzurfP4qlh/8p+9N5pSdRSGCtVIFQQ/nWTfp3Tv5kKEa791dlLajV9yY9MH9xQuTWPqX
a4S5jyWyYxkOV8ivV6O0aFeoy5bSPcMeECNGsicc93JwRNgyb0uJc5Iivdz9ZAuWH6O+nO9NOVab
vlMADSwWmtWeB31ym1aWY6wzpy7jNSs/di9UYGivNViZ3WjjlVobPBJPiLL10+QbXC32kPaP4ZQI
SOOd/4VeFnaMHW2PeNHsJkwC4SxnZg2GAJwK05FTYEV1q61TAjw3aT33h8pjuls1cHU+8pq6RBpA
Dfnk1PCa120jnA3qtXdvs6Po7qOeLcM6aiyivQVeOfMU1VL/6Os6uWLyYOuomWEzrKWjzUe9dqkb
NhHt780hwtyCg59S1HLw2Qn6NYroBNc28NhlPcjOSYzT4NWGc4RUTyvfTMD6oGq73VKk2H2Sf++v
NqjSQ0Exxb5wI3pVaHFpqFCc4oqN2mi0uC8d82xasht5BhNBIt/uVdgrxwoWWO+4LsA5TDwfaaKx
vpmHuWbwnIid3NYzebM6NJriXLTT+B56Q3VqItyTcdPodz5elStu34q0ieXcIADRZDkyTq0jlrt4
ZW0dvLqPvLrFvK4PD5Fi3bhKm6YzAPB0mIw6rYvkKXLgzkRrEUIEWadsM4ddZ8SDvSoyl75U6C3y
AYJthGk+8bI3f/aPi1Ntb1cq3MZea94xGPoPEieNuRMY0PMidtf6oFGywGnnmRhHeAMEsenXRThE
NzXgE3nkwzS2XeOqQHnheBx+JDL1lp3IyqrT8hHQ+9LUm7HEKoEIWjcDOxwK14zYtW968lG72XO0
59qYWYD7w9BtQA2xWqsmp42vDA/uuunShlh86lBNQwdvex76EfFHI5EDFKBNDkYdxsAW0Axq1tss
YE4Fv8pbkgNgx0Kfh0dZUpT1mHHtmDvJ/w4gPnnxjFklb2DyPgLNzzeDEc2nlibEQHW1nPZ2V3Et
Q/HAxxZN1cIYyRO2kL3u5sdGjqysbBxYJLyqxNCNW4mbIf066ibe9VCFvbafbJ/sEOaQ9L2jbKk6
sQhyD3k5l5Rx+XAS0eV9+9HJypYGVLPsKDxIpoK1NXLgFxrW07oPrKHzwbXxVN9ZnMkWpH2PSXmF
1wulrdWdIaiYL1/KzG+tbWJ0MjDZ8W/xePoPMY3pWxsbABVXutG/G8iiwO8Gudcm2V4V+TLGZ6v+
bghp7VO9MODha94+bdvh3Wt0ubGBUfDlIm0xBvCgFrZB0rC4R9YYgbt42hN+dewlJPt1TNzREH9W
g+/dU0iLOK7Jcn5pTVPmK1Bu8ztF0LD67JBWWVeO9rEz6hnmGHfdLWuS/pXKGe99mhpRrlw1mDs2
wP11HFLeh0Z9EW6spjgmTiu0dxdos9ih22ibISL+GJRWqPKgNlSkbYgFEQWOucmNu2zOOyz800tV
1vF70RbljSjT+WuaOKG3k0VBOypHYTBlVhHrcqc0g1aptg6Tp4W7DOmgw4pg0zTUBkvsNNnouV58
lxABA0jw0r8f0QycnU6BpH2CSKaM29hNOoxqBBZojbJpCrixrQSfc0O3tb4ubOU3e41KOfRhlgx3
nDBlc8Y9zg4crzmqawDsHSRzQKOVFbDJb0FucIvehmmMPZgiUfXI+y4Dy/Dku56qke4oTkvrobC4
dZSOjB16FIDmn8zULa19rDGMrdoiHXdlI+TOCKVodq6bVp8It/kEPspo8RKDNVwPkzZv2OIkFvW/
nXYf624RbXVwPk9zWNhPuGTtzZSWNVlM6ExBRfVrAOFxevZq05lvRJfo7EtnNTw2rZ4ZZPDK8tpr
abwbTBOTxSCgqA6AZIytk821iWcm9syn3GORXpKoOOVt1Lr7qieVdmAxJWmkrhbKMX6iqaZmGu4y
tXeUQlRbl+4K6+r2VGFh/GkWgGNiDMmdozvFRqfI6siquBJf8FWIkhiI3VhXOqCAbgv0ZE5gs7UX
jTTCvYFVNIhGI7oIC8hEWWPrW89EJAwWU+EYgq/Bl1Fumgkm1LvT8rleXGuYyhXCAY14KZXW0V7J
ZjKe+6yiJq51pDq57Rjtq672ozP0LjNajuHtYTK06oEIjI8PSNLWflpSomPg6ZV/paPS8DfKmAoa
31VBabfl+jQuiz5aet/DtgN7EC4tqOtocvJt2uU64TygJ9lJs2fMDSn6xf3o823ZjxnwhD3PhsXS
i4Pi0vpVt0v0yH4pqDOBloHoILehGPv9LEXxwmZifp25AbjbCDL1Fqv8BMpDS8cD6RTBt8Sxu5hw
Vix2kd4O135ORveGdYGiZnScIuqesDY3uH18897qYecZnBt3Nfvo96hPWh02QJg8mFmncyQIsWek
BmmLwcM5MDFV7Nwinf4Xaee1XDeSbdsfOohAwuMVwPab3si8IChDeA8kzNefgeq40eKmLhkVp4JN
SV0s5YZLZK4155jwH9OJ5QieAVoGZmwyg9mkDeziBcAQeAtbP7SqFOKcudbYd56owvIeB6ldb7JB
qg9FbCrlrnO57gB2Wte+RrEa3dPeZe6hhm/gbo3vmaZFSkC9HJp9E5Jm/zXLIne8LhQUBHZXNtdN
rRiQt6MOBkvV5i0yVVixlD1wI9A9LHU+9QIFkpepil2uqFPFD+d0OkpiifxqYWk1QXUqvitTTnS0
JmHEeTPGiHxT6gm6GwFjZkO/sex/KISRbopxUS0KVbW6JzCNFnwRginakzqvZNiCUjwGXhORHu0p
bjNTsiEyma5CSPeZJkgujDF9HnuR8Bprc9e5tsSSAqKcHPr/JDlpeP3CMjqkocpf0coFDJKrUodw
or4i2VrVMubaNhP7qCsTE4jhkJVH8g3TwGnGnu5Q0WXRvcCSQTgzxaDGR+4E4YYEqy346IUVVE19
nYq6fFBN0xdEmBydqGmDktpMMEb6vlHN+Dom3HoXjm68jXokBmTwRduIp5+I+wHdXU6ncg+nT9/k
jtkuQRVZzjkTZGq9Ngp2IU2iqRkbFHtdrigl71rAUSt9rJB3slgz2kKJAG8/mHZ/TQafCiVoIssN
c0q9URY5nwq0UgY5vrRXaJWp07wdrc7Iv47UTwiUoZfakTM7i7PWdy2r3sSQZ3XuK+3KzQyN1tDg
wojl5crCYBWslJmVgVzNRus0ydG6TcOluMUFUDkvIzD66Bm3Xo02EgwIrzTL/hZGdLpiHb82nCI8
mY2iflMm4rbQ7bvd3UQkXuYVRWedtEI4FB2clBg7l8xQv0ljR9s6oaKTmBov06GWLBe3VVVPcMgW
JfxRaPDDRKGVyje2UcPiG8CglAe7jB0wPEsCn59zP7/0aZjNvzTYSc0P0VaI0wdyzwea1ElbPJik
6a50NMjNQ+vGrLUo4wYVRKAioNbnbjSdnAGvkxNKJa3TH4e5YJ9Q1Op8nCkSki6fVIW3BqM4Z94Y
wORjFzCtbTTNa2lkrKCpbBIBnB3mLAPCQ5tyLjGv02SOcQcvrXKghZNt7SqO9ilwrJspUfNHQFw9
S/mOytDqHOUBwHLfFzdQbKhUi4wEdo915LIE+hKFbDeg8N+NWtpgCFhQYjsNsTrsMszrgZBcvDHF
8JonZv7EI+fsbGAGp4480a1CeNeriHiyMBRW8wERezgezTBu1NMyERW5Yf6PfqKNGnYNnADlCaGi
PpEE4cBtrFJREjMHTnELFm2eaAmmpnyuSV9hF0Z2ASSBnmArU4GPwzarDdo+y85dvgrg6AngTSDH
QcOXj2v5kCxgYQ85BrTEFx1W1QLBjfRHzHrpQbFGBLZt2kTl2YHppyM4b+uvSWuXuU/EYD1CmoHD
dc6GZTxVMUb8A9NifGBThdALKSwsGpGO80/eBmnpZ0sB9HCKVVydzbrvSjocY13Zx1srlzZhvD1N
cLW2un2dRvF470wGUbstUrvbOc2bH43dSfLfHHMX2hn2ssodcGA3WVidCZwYv6qyl61no3sfNDrB
wOSQMfaTTe8cecS5oopuH/uwTotHcjAoT9KEH+xNo9fZV51NMQzTsMB8I3OduOew++50yFk28WQt
6FjU/iTN3HiZCi1q/cgo1PJqoamK2oQQhfjeClUNy1NtEH2hD8p8UmQ0j5sG6d51ZvflvjNkO657
E9QuiFXxZdSy/VlDKr5RlLbsDoXIsh9GZDS9J8OgN0sXi8AsQhiLTbx8MwXrc7IoW3rieoLlZ5m7
9EvaC42+PK9dmM3U6HHoygVNTM/7p6czrLmBYrVtYCHm5RXQ2fVZTzF+HlJ37TF3JmsGd8iDOc/4
o+vKbZLJfgtZOb+vBdmkqtrYyNIcvfTGUnV2royj78RemI+AD4AAlSHCmabPk7uq7dTnVrBlLRc1
uzGpRW0IeuhUj6JB+E1ra5sCnWhOjpa0q72JYac6IobWiEf5xbXq5DWv8pE1OeDynWvE8zUASPbl
vdVOO0PwTgxKzLY3c2VgkTEt0T1VhjkfY2LRg4WEgGXLI2dGfm4Yll+M1k+r05SrjNo6tNMI9w9L
0urbIAW8k4SD94qlYwFk6CGYa5JqoSLI3mSnSVNIO+imAYFTTt2Z8Nz8zB2N+bsy0i0fvbnTtUo8
4rx4CEuWCSbVDTh0CZaUCPciPFK1WV6ZaMQRroVrbInpHg8z63cgMcAivnTtgBaJv824zmI9q4Oi
RTjBTlb/6ah2tgFnUh3I20VqBPdiRPTUshcJbcP95jSFsq+mmhoVwWjEgOsYxQlQ0sNl2thGXCP8
7qsuaJgPnhUgfluNneRXK+6N6qB1SrNCPa3ymGi48Nw8hGkjIyu7UxJn+qa0UXGPexEAoRJNp5xm
zXlsQ8h7urDFdeVYxV6SAo6DpLc3cKnQ39p5dUOugbu3MrifnsPm3evY7xWB1Vvj92EwMaDaGjDV
lB4+ZR3RmMM2jtXM3tSq4u50XiiKN5J9y06kAbrXEPq+htYogdWGgu4fnW4LtPgpTrplH9EkOLQT
UECvcvWepBfZHYvZmB5RyKR3MWERhTeaU2htEuCKKypVWQJJHf6BDG1rt8huKtE6SAhfTTJn+0oL
qVhUZL404bDa9gYxbjEt8OIB0oltmP9bZkERo5o3WnW2MQu5Kdv07h8hSy6mO0VzEEfiRDsbg+wD
p6Z9GMZzsgMxA+NHwB/waDnwH3VuUTznc6oRM878MXuC8OytXs/gEjkRDr19TZ5L4badL/vW/E2m
RYV2EDj4YHYkEjvpPfJ0XV7Vy2AG6+L5yZkz+6FAdTSwbIWZ83Nx3PrL3CpghpXFUfNbTgePz1TL
2UZrVtV+Pzg535dCuSGXyqLpt9YGWQdMjroztMqe90kK3+hcRsJ8qRJDMBlTFw1anY3FNoGxMHqs
X/EnzJnqBnAU7dSPWzieDQY6aAYrRhp87wYMyK0hUujKhOCgoxDKKCEH8ujYigr1jWfqtitN57dF
PODNXMCa9nstXoCyh8bXsJvHe4pg7CVdxKUnh6dLUK7sBscrm4wtdDxoNOMWGjabMVmSh9BdyAbX
E3vjijJMtjV96dRDW8YmtKWfpONhjkmKVhJhn01JE9V39Da6s9oZCWNNJ57VL3eex0Zskg/h0nr1
M/7byE6LnSpq9dBVNPm3WcZGrTurhBht3EL51c8DsbMt+/Hf4WApAug7zu9SjPEWViBc3tau6EwK
RwXBAin4xTYKY6falRE0BDvPK/iEocdOn3myVdkiGavFzQRmD52yOmwQSeKBLRKAgQU04mt0MG7j
NQ3p7b5akmt9VSfdY1UPL7aDM2RxtPnekG5yXmZjYZYVtNaO5i6+y7j99nPY573fGqzHd3aLOH5J
CEA+qoT9MdtWTXVFTX5meVixaZq0KD4QN2aU7J8a65m94XgcnXLcaEjc5T4i2+ZXzaKy90xCpQKy
nYFJCwRpgUN1KlhCcPeUTzL53LMO/pFXFtehtdg6brJeB3UaOxWUP1tlT3ZVOlXp7tsWqQtqyWlA
8a6VzVU8Osy+LNmwwqTLXD65GAFEkNAmuZli6YIFHnQmjsaAQOulbiPta4ywuC5lb3d+1bG3QHRg
jj+0AabcDq3acNDivANawlr/hQhwcpLhoL8oEGzqgJh1cQxBdalbNg/zuEsa94bH8i7DIe/FyKGA
ZkxmeHDbwTC3bpfkpVeyTna3RJnrV3XWaxFQjhqQO15mtLXS8Nuuowm+Bu59adnyuL42OONE+LnT
PlsUYW06RWmn3+sVzeJQpsbBKvj8W3VUoB0gzGTZpEutm4MkDkcIlblBYVAfrfYqjGbnFwXN35VW
3IXxav7sJke7mdd0su1CKz7fRLhKHvTeGHZJqyWvmFtnor+7kIWnoxSGhwGbjjPJL25xnlNwfjwK
cQTkuDNL+hRWNZNy6RSqz7ZnejZC9BZErGfpSeiYC3GN50I/ECOv4rtalEH6zti1xQb7wQAY1SC1
epNHRZtuQX7P2aYVBf1JRKoyfMSo1PaBDYVBbmkwhyuwUw0xErio/bCsZ90O8oV+VpJe0z2XwD53
HxfU969jeFb4GFtzaugozMlPQXFc+hnU+XNqlA3hjUY023us+qmyQ6divSBxINatZuVkBTBWhh0a
8iW7i0TjPNZWAXxt4M4+DzY+fyqNkZodALIroGJNiiyRV8S1ld5qrq0gfJXVQOmfU4ZasWvGlyLu
Rs1v9KZ5kZTpll89Gy2U3Kx7DyVz4LQvEQwgiq417Q5bsJURJlOKR2Vd7e4jQxfd3q3QB5NkiUVV
UYobKGDdwyAyk7p5o4rfS6LH26nEt+W5Zol4upv0mmAVK07POed9O+mtRQVaqFvWJsmVIcnu2RF/
1t51kTagiDWBH5AqvNz0oZrcsqwbr0u9A3KEGaymoKDa/JQ1hb9IBIEvrqRmpvv0aiOcqmWKKF+t
itE4EY22qk278BlVuRoUYdk6Z2Qz1cxOmCr8/YAytweY6cjnAnIDqT5LDMwJbmrx3A5zNm8y4P8I
iaUycgNF1E+9QYnS56SlHMDcbCklCZVhgCCuO0OpY2KGqlZ5Ze7QAaqmFwZDAI7op3lQFqV9yova
pLPGG+u3UcCkyAvSelbTUL+TluPgkLJ69sFOFxeninLhA4FnxujnVaZr58Qc3Ne8Z+fqqSF59UGM
vnIk52OZ8XvYkQFVbgFM7UW9m++nMkP7Uk12fCiLzFA4NbLaQdppvhXmbF6Fg4LJhfiSB1XHHdOk
OQSb8Ldb18pdQbjaNnUJEPSIT2tFQKOTysHEAhQ7QqlWCu0Yof7uxAiGWU6pE5ONFsJmyeIi/oIK
uW43sBDYmsEsWVYjsPtEVfAGcvRjKMwMjowVYxUYo67mKlYoSPppYKNRp6cinvt9V1k2MhW8YKe5
pBByJiDIjbagV5v2WPdjXx+GlDi2wOBSXxt9U8pNOYB/9dwwk5rXaotClBwipWpDOmp/NkIiWLZc
8YT6GVsKMhNLdCk1DLcqQNMSh3zIOKJAP9O1QlHS1nuVnuF9s750oRFw51lunbU+cb/udxp9IkVK
qbWQW1x45eR/TCwwy0V7JMGgvCF7gZVgRt2RU8XuDUwaXNZdaue8F8gIYns2JgiFj0JI+6vItOSE
5aSbb+B8D8IzJ70hDCEWx8hNxyQoCJPRIIcnIOYEQNht2y4A+euanoXXuGOc7Noa9K3awordSCWE
F80Zde/qUS6n2E2n7K6kPceROX2U34redECbr2ExeTpXSlAQdfq0dDUe7QjYjKcWlI3MDEzUpgS2
yKZOszQWOq41XRX1Yn/RUXRHQQTOBedEmVtn7qVwyzpK3bpzPxC00gtYJKwTqWmaom739Lqeqg7d
MxdA72GBF5297DTwGMDioijV1iAMKFWaLgSxzAjUGG9QJp/GUWTRJYC871mOwnQNWUl5rkIU/KnN
K3X1sM4/uHDiKrG7NPuecdirA1JTHmiK5jRXZBYvFO5s/WEkpHgtOoZdkAlQj76ZtiOByEMniRN2
o2y/RHXdEntgLo+piWslIMN5eupnPQnqOdLPM+XqO7rooKZ7kCpQ94qWcIe+zvZxW6ICm0xtg3aQ
GmURznYL/65LH0oxNw6ZJFmFfH4Z3Qeo0kZ/lfcwiu4JmrTJxQKvw95YOhjckDCAA1mBFhQSyyhX
WY3Y1quC6CU/9GPd06wpmB8hTubdIR5YQ/yoaeLMT4pVivi+C4sMcIgb6UCzZ4OSvum04xPBLEVC
gEVSPnUj/IKN2jlU0emuKwrCd8rm2wVMUnzXh31N6yvJum96FBUH8kPivRFDQPCMNF+ek0430D1O
2QNJ9NSVjJCcR66dhYOLOgd4IXK6ptanHFOr5x6YWHKdmfC973H2c4en3Ft4n3hlH4qCVPJjSpeZ
PWnM2fdmRxtekIv21yIb8fTonWvdJRrzsD82fXGLEat70Nn2r4BmWSfHEO77XRSJaThjDS23eVZF
3ywWQmT9TCG1xlRNdDY43fzSIPu2/SHqEulHLS8XHDNJP52UBYKWL4xo6oJqgvOlR7mO5deE/vWl
WdLxOk8sIhHKKMu/lCoKBE8VXf/Ym1b7CAoQtrlh1QrF/qQ6OktD9PPiKlrhufqQEdSzsIfwiybD
TMBCuDhT0Mvv+OyKCMCC9sbPbB7akyzN9lZYLEw0o1me62aOr0iEcAKdlnuAL1IeLcom2MhNOgeW
Z7YKAUWzZRIutJL62xL/cWpP92na0/m01Va7S8tB+2WotRsHcaLLLfmZjvYtYQ1I7XNGFwGqo7f3
Hc/LoTXT4UzPzf4u6sE56Y5hUlZv8WO5ZRNmu7FVk4KNYKJvNSNV72SlyZ2WWDiOi2Q2nsKOHHG8
FUxIdk9g+35gT0zXEoDNXhsMNllJ6fbNBu2suzFpTrzyyhIIV1dITWim+Us3tO0V0sL4tgKClQKx
VUpMgdT/qqBUUEJ6JYLZ4b7RGu22S4ZkC/J6uiYlV/sq2l6crUmYm6bmr2ro3od+mZClukkaWog5
MPPt3FUzd4lBWrYcVdzIulRS50jrZ/pCpajcsnJWF5iCdX9q9Ti6ss3aflYHK6XNoA3X9Uh0aoI3
YQ5yetDsV0REAZ/GGGD7kMb/L56lcCPrzr1NW3InyLLmA0WWvo0Kod7oyYCEss7BERVMJ18GlcW9
yq25QdPoTEQZxlrxGkas/c7JiNbxGDlaF4OtYj7es0hHAUtKgnrIR/KhUtGN3/UyiXA3WiO0PEwW
rX4bJ2Hd7dHxlce0N6z95LLOXX3OFXe0qhT3M/oG2pkEv/1WtXD5pnUmnRHgLkCGKFfOT82i9upV
TAeQc2EUdXgY9QHF7egm+m+dxxCeIp7eQO8hGMD5zPL7KHKosiBkEfe4yKFgCqpuAK80WW5JdtLZ
FvXAtgj+cZ4K7PDmxpKDTcRNmiByk0UxBEWKSf0QupESgyKza2XLioKcu5we4b4kvCx/nBMAl1Ip
xrPGus715oxZblvxSjuh+xsAtyxFeUuirXk1hxjSqLyCImB7o4asW9YLtw07FtU31Dmd6LtcGo0H
pQXDv6h0EYIIgvrVAJKsDPS57OWzRSI8uMO5m8iUUMzpMGiLQdXZoZDGI96wicSPEsAko13RdQAS
Y1q6S97LjTXXO+YLnNeTnSXHLOqz+5ikiDOlFZyVpr080W2HN5GoIkypH+rRnv5n9FgrCc/VOKTX
kbAoUiPUi1CUsE5Pt3apsIVlU89zsXDCBl9h9RxMi9KQ3UBY0s+WZBS86lUvv5MEzKQVNnFxC6jP
BW5Jfwu7c1pWG4euRHk/MOq9MZfFKWQau2YLY90M/dSuxFZMOZpa0rGQRbd1Q4X9itNn0l+G2l3X
9LmxTavOsDexZhb7gURfyye8Qb2ncUbhF8KEhbvJNMLDzMtGHoG/DTcjnhuuEgaraNuaTpF5E5WF
wsM4lmkoL4bqVk8N7WqCQKef0NZV00G3EkpcTqtWt0pfZjR3JI8KnX5QeWXT3uDpNnk2iKlIWd+c
RBgvRFxk40MLIoMO/GKO59Ydlm5TFxEBMqbNAmtbu4g8scvk8kDlWnu2WHl/QXI+U6E3ddoORiNe
Bki8Oe+OPKxuJ4K9NoaZSYcl2mwcxyxp3S8ApdpzaS5ThoFuHvRtaxRN4cM2qBsPnBpdLxUgUyo5
QVuWCcKhtgSFi56pY5V3dCHi+QElQd5+ZdnTdkjNmnhvtnH22qmqAzzQ1WV8y1beITOE9Uygd7lF
lrE0XNtrjcopNmsbF7ev5UxU6ZHh3DMNZCiX1Ir3x1xjDVt67ckWAPFDCltQiWb1G9I+kJSYvqAZ
kkcRsuDnzb1SwReTcgQ905xpuZBpSH+oo6cL8cLZ6FOvWJTWWQBkFPrOaQIUCLdAQ5YYwrgnHcTg
s6GrdpDZWvyLqEYXFJcx1bC8BwxZ7BYFlSk+8RRDF+imL6AQEmubuFarbphxXYRYvAyjL67TOr+i
edGyQ4lT0rxCndiWGxbwkJPNuhJXJJCwtBHOOH/tSyP9kUyl/tI4sgMKm5UO7Mkq7UEW1FjFDCsi
74b2hcsUT/+FEuoIbAyan8rUpbS0iWLywtJ+xgoBRY0yomvP9bLHPeHeUcJEBqJFTvIgi1atr7OQ
wFQew9RkwWKMtbwpjHg5xkJOP1Xeq7/1qolnoJj4mykHa+t9Tob3V60WxsPcKAIeNSEs4X5dntl0
CyktbalnW0BUtFKkZ7RoOOrDwhFqkBBmgZstC08k72XtATIxMJOBiXr2UkkzGaOFts7UEXQZr+gj
3Nu10UQkwxm6mW2WJaT2nUVK96wPk/GD4HE5+3oO4cCPebX2xyTscajTO5/u+kwZqt3/9NNSEhwm
10RysJyBIg356gyd3nsxFej7bCiBcFpDep6naHzR0r6hBquqn7CF36t6yTq10X2skGM0xBdC5WoU
coW4QKrHy5qQ086D69rL4WMN6l+EtvQiVYdGKFZsw7gQdKt1Gipzn9KNBzGgKvckLQBtvKaXWxv/
cbD9f4ON/6J1dQ0SBdDYm6aqORcHhD6rBstARXeJ2bGp4WNWhXcfH81fzplrA1RybZ3jUS/NTaZe
K9NAVryn13e1/VhiBXU/EVu/V0E7qqGq0KdVE//XP2auP8XCcYUWJm4MmtJj0Ci6l2Q7FZnsEuuf
yIOdd9pgRyX/mbc5uGdhrqa1P2XJZWPrLvZltCSE7aaU9cZEZYsAWeVn4RwTLIgfn7yLTJNVB80p
0zTAVA4qcqDzbwescCG36GwNr8sXIllJShXHst0l7lWaXEWE5NHutT4RX7+/YqvsGQ2bRpCKpV5q
17WIpqaLNg5owL1WDXtZ9kDnNh8f2T9y8bdS/JWL5VhcLkjd9OTeHtlkKxVCEtbQdQA9cWPtZDAF
iqd4wks2lc8iM3B96o5+E0i/30AeCITPSfcolfiQ/b1wYwdmMHziEHj/RPCxBGUA1N+2ZVzerrWT
D0lr8bGEezMNz73zCSdd197dQgzAmdU0yGACy8Pb4wbaRZXawbbTbNbjloEMNF/zqQV5i/ff48a/
5tMh9dHHBP85arSWfhRgaw0I+v7kCRLr2X5zNVaxPZ4e21JBp//jq/zzxhZjnYdOIYjNnQ+QuUQU
0PFMOx8C9lZch3ulOFnewBV4ir2HX5+ddO3dE3wx/Prc/fEESzUFl5oyPPBdPG7anWP75eH7DYxD
D9uZU3rJIdzW+59IWbzSw485e6+jB0rnk8v/Twr42xPhCCYqDCkI2C1m+refpKPsbk+tBW6zG/xG
qL6svqSm5bcrOlczkInXIAPli9Y9d9RTKEkfktS++vjheDfNYE7BycM7RrMcQeTL2w8hqgI3gLtQ
89SBhsZ1MKj9/QxI2B8Vcas1aUAH6rP4pPfXgEEdFVeiajo8+BcPpJW7SHZjQW+FDI62+VKPLCI7
Y7zrlOo8l9pmGK1r0K6Utk2wRZi/bicHFKoOnKJZ9l0UXdXRdP/xmfjb9eBTgdTGeLIaXC5cJ203
0+zE/eWF/Y+qNk4qS3czNRpPVleONcABglZeDhAg8xvy3Ggt6T80Q3ziffnrBXFV6jwur2XNubgg
tkaTN5qQWjcFSl2CRVw398YGk78j9hmVO0RjPz8+8nergPUe+GPIi0dCa2d0HyVDttz4JoUyqE8j
PdqhHSHCfTLlv5v1Lga7uPaEYCCMHxlMIqpinUf/22YX+vERvXuvMAhPlm1qBi8zLubbuxod7ZwO
JVAddTY39Jp2dYY2my3Ex8O8v49xf9sYwJm/XQdL9dthIlvpe6Un1Twyndu5VF8tx6SkVnRP0KKq
548He3fiHACPukspxbbRB6rrbP/HxKWZrezMNAOEWH3TjVNqfXIwf/v7WTlx+3PamBEubv/aRVoa
VWjW5qX60VPSWEb7k0N4d744hD+HWD/CH4egpIpEz8IQKpIqtqJeOtq+PQQ9QomPT9b7G8CFPa06
rJ4sg4CTixugLnTwMaYdekqi7gQbkkiXzzzynyxq3z+sDONiN9Z03cIZtx7wHwdU9ZEm+8Ul6148
9+mWkEUDrhTJE8Xw1a7NT94Y759TFusCo9pqi8Mhd3FQI7il3m0iStaM6hnJcJCh3GRTcZeBPZHl
8sl47y6XzXgQGDTmaX69nIqShCj2jAxPCB8/wPtd51N/D/qFNMjo9PHlejcSy08eIA7K5SSSefT2
PCprJ7gkHdaLO/uOn4SMJVu63KnuBDFEpY9He7cCYUWk6fa6iIftgA307WgqodkDalfmO+BMxoMw
X0e8VqVKh93eFPIrpNHNxyO+ux3XEQ2bW4S0NMO8nI9A7xRZpDIiqDHfTEARmL9Dssr+9Shs4SBK
6Mx7+EEvjotS7qy5pYWQY7qe6m9mG1L3+mS98JcrxRgO18pgp6AaF7MEzeLawY7PxodYJAplRnu0
YcENzx8fyhoU93aVyJbAYIVIt5LMLsu82JnKHtq2AOPtoaYTZ/z+fdDYzXTIJz09zYP5GurAdZqI
em4ty302Y2ls6ZButDScPrk73z13gMSERT9inXVZrF9MWyN8cHeyhQnZyBgR56BpcQpDf9Shrx6W
HghQZAzlJ6t3nq/3pwAH42rlRp3OfXpxqhvUkFJvsIQGQXAKgqvgdMXvtuvXduttDwfP45er7XbL
77yDt+u9w27n3e/49v/+sbCf/PDuvR3/+sCv9/wcP7tZ/z3f/PXL559g/eb7XuDf3QV7vk57xgrW
b/zP52v9kfVH1z8Ev07Pd8+nX6c6qPnT6cTXr9P6n/A5T588re/vON1Qga2YNkwSqMkXp8EYKB3T
VkXh07te1v7U1GUbZufQevz4lnt/lXVDt3h2cB8jW740bEez2Sxtj2q44q6TtcSLaJ4KxF114tfu
68eD/e2geEgN1TJsg3EvDqrQ5ZgIl8pjlte3GMUP+KsRGY9nqSn7j4d6fxvp0KstTeXALFYQ63H/
8Y7KIj2VS1TaXpGTeBY+dw3MwI6unNZtyv4nCoSPx3s/1+km6xw4DRY9ax6ct+PFItNrPYXXCfW3
PalhkQdIFKrjpACM/Xio9xM5Q7muqbqsV0yWsG+HSgCEGWZHWDu4jewgaDZ4iYQDN80WNGK6n9Yx
smd5QobzbKPC+WS+/efUvdnBsW5W12UGk7q+vsHejg+7sVSnHFKx6VXe9//sqvUbRFMewR9espNb
fKhB4f8et/gL9E34gKttN57I2PCe60D1Xn85PsjCYD4qnzw165x0+dF0NtqUPNZnRluv0h9XfUGh
mdod6MlBh/2mQQXQP1tjvR9CN3lQ1reBrRnvHphJzhmCsMFmjwoZWoGX1hw/vr7va1Jsx/4c4uJe
qoUz2FCIuXcTsSIolTkw52o4tAhs/WZG56KL8lemyMYfy/xGH9TG//gj/OVBXScedqugmdgfX3yC
Ig/D2JB8AkFLDpSmOFeQoo1y/ppDUv/3Y6HYAgNFPZat+MV2AkfGTNuErVHex4EgyNu9KgpWW93/
cZz13fvHvdEqwF4nwTgoDIJRXIUoiICp+U3+yWLhb3eIK1bMPbvLtc78diAIw1k0CFQvTSXumjr6
mdqf3ed/mW0wNrPcEZRQ1lv97RBjnKEpzikltAh/vU6XvqlNMDnN5pOHXaxn/+0TxYX5Y6SLO2EC
IeDE0Cu9wcDhmNwu3Hjx714Bs2oWvtJSEx5eOnT+QEc/vi/EX6Zwhibry6YRwG8uDhJy7NwjYWRa
EY9JBOr5aKj7prsdtZ2KkMFIzpU8qtOuxhPc3sftGWHV4G7NjPDsl08+y99P+H8/y8VpMNI+AX3F
aeCzzNUu6q8r9XsIE0Y3zxi+LXOXTA95eAIqiSBlY2Xbef5kafSX24qVoaWh6KW8qV+uCIS09Mpq
OR11C35WH2re1+jVPj7Qvzz4FrEPYoXAUaK7LIwNCPJhT9Avw2v4qhHSh1fiNyblTWPF/36oFSWn
M82QJMg75e093ERjY9SZbnk05L/IZL6rO/OEtvZnmNWfTdrvLx87BJBzNHt4K5AZ8XYsZdSaBoYS
d7Gu7JrGWaGsUB3cb//27DEMG2JNpecjxD/L+z+mmFkiypxNhrF7eY4noLUG7o9q3lB7+KSa+Le3
8LrTp32BJIgt63q7/DGWa8CRrGVMcY5ygnNX02E9RJqujF/yvm7SrZ7Sr97QiXS+GHo/pYgrFt5W
sOHH2afjkRwwxVvPORAM+yps6/E3pDt3OWPzwntkI4Qogqow2ez0C83bLcqF/HUOsZEGFtEFzxqm
9Fu1zd0jt8zUsx8ZJZlALZbBifBc6rt1me+Ap06IAOOkfbKtJXrskj79RuO4P6TlNPwO7bQ/4A+b
0n892a9tj/8uBC6e136R44iRkITpCKh0kU2Rn1bquF/AR2y6Sp0eP77y/zSm3s6TdLk1wcKMOpVN
l+zt5SB0YskG+M4esknP0utjnQGFBqmrwAXBh3FCV/UIZOPeSCffifEmVeWpwppv43oRWnr38ed5
v6y3aDgCErAxarm2eXHDu+2S5omthJ4ojXvDiHApt/AIun1KXIqziE9Wv+/nJo4bkw9NLfZt3JJv
jz7KakvRBlVBlJCE57SzX8cFhu/Hx/TuIaavs25USINh6WVdHlMz9eWQ6jDx2BIFYjguJLvYzvxv
75yLUS6mpRlE1iJTRpEzXiP6EbB++5muma1+MgFeHg+zESsEl10+Se70RC5GCuswjcK86XwoHbZP
7JezaRNcGLE0P1mRvHuL/zOUYLOg2ezy1MsqZ4GNLLF1vFxFb10l0S/4AUcNd4QaZ5s0e7XN1Fcw
ktjacKhU+S9vjn8G5+Gw1p6+YFv/9uZwRKqjIWPwek7hsJj3/0vamfXGjSxZ+BcR4L68krVpsyTL
1uIXwrZs7vvOXz8fdWfaVSxOEe6L7ga6YXQFMzMyMjLyxDkROOW/c425idnukyFVELOxqpyGk9dw
pYMYg7iA+vuymbPMfG5nupodBV0lZZXiBjthfKv4XzsYp3r9sZI3UXFN04MTi6+CV6/4yfxM/o9R
qiHUYLj3fbCbHhlNCwu+yAp5CL0JHNRGd2lIsxTSPYLp318e4JqpmUs2mj4Mnoop39S3fQ/eZOhA
BtFwZBh/WUT+z6gMQHlc0jmZZyEjinur9TSmks63JHyu0x0KSrZrfC2TH5rp/as5/GNtdh6UXgQH
QsjAXOlON+mlC6/o+7cjbeXuNo+781HNfJ1cBxqlgVENXrLvfVDV+W9LrK57/6UVpL+8pc2Nzbw+
82kUQK6XKay3QWzdofRTu919teb2k1cfn21zOzOvl6EjpmmhoRN0CKxN4bmI2ST1Y210r57cfWrg
SYeyRR1vYj1EHP6ySy4an9IqlTcgXddmxltq2kA1Ma4FzUbI4cT/KVRXVoI0VPUU57+9cHfZ4NlR
/jHcPxbnwXLUJHpym65you/qVr+Wt6q51T5DSb6D2B/KeiL0XrzRVs6djwrR2SwfmZ3O2KNt7kGb
q5n5ZPY528b+Rji4W/Wue1Z/JXuIQID2N075O6xsbWUnLp5DhBbCiyRppE2nhknRaY2ni8+BO96S
aEooNnQyrA1vCh1nwzuyMgstglwHdJRhJYR1qrrXvMFJaGEeq41YbnJQeLxXFqEFPR1ioF8uL+li
WDuyPas7ponRBrmAba9Wb4YYI2JxC+x2XyIKfNnUYgA4MjVbxSRORdosMYUe9V5IaHqB4gh5HCfT
IQtTta+Xza2t3SyK9rmbN3GKOcl6y6XHjNeVbm0Hrs3eLHZqdLeU/jDNHv09Qf6Y1AfPoO1hZaMv
DsWgUsvzh25SjT51w6pWagS+0e0bUjr+N2X+01dXMsjl8xseYF73eJBS52yxRd2ixCaTimj1C1W2
667Ly003vkHKf8flf9uO+SstkFGaPV1epykUn3n/keFZqA6qlN+cTjuaKSoa6bKRQFK7dDyg3Bbm
21DXVsoFi454ZHEWN+HQDgYwzhwOIuheujx2IcSlbvsoFQLYXXFlaie/vjBAfVaUpiTs++10wKKb
4OSN972lqWvFQ9ZszAJVWnLbTEKGBIPohnQWtbFBXANRLHr7n3nTZ3FqiGtNbSqMNA2CY8CrHVc2
t3BgkDOgDXjZLc7QNx9njYm381SK68+zoKIqIJelzEVT5iEb90EGv9KbC7Gf9wXMNZRiL7JG++ND
7gNYflsxPs3X+Zr9MT7b2F1XZzC/YBzp1ki7AYbv6S8aTS4wkcVPfkHnAlSgK6fN4nluyRL4P+qK
vM+cbvOxyCnQw3tCgIQQGbY1Mww2NHJtcw0QJrwXOQwOYiLs/s1gj+zOBttXvtnTJQHd/ERFECDG
rns0jQ/bPns2Jhag4Tn1GzgdnrVo7el9+f51ZHwW25oqVoxxSuFpqLAF9S5LPxnazwEi1MC4box9
AYd/eXCNx8uDXvTlI7OzqCN4o2f5LWYFmcYb87Fo6CJzi520BnFZjN1HhmbBBtRwV9Y+hnx6kGGe
RVQt3amgdv6r8XyE96MUKazRicrhwnL8HvRJ0fUvPuLTAt3FUrMGmVxbs48/PzLmR5SpokmVL5R/
S8g7KDA5XbkepznKykO3E5sdJfeWPXJ5kMuJIIgJTQQVArBhFuayJIE22CPjrUvakVvXoXq1UeEM
MOFHVcrsIENsCVLkShVD+vJTyFWMpxgsYWw9D8qvPFl72/x/puLPF81iYl4mwjgAxHLa/NGHy6q9
b2MnLfxruk1sg5bbiubMemutEdQr06lxFqGOpmKWuKFLrmopbQjOiJCZp+zpQIa0Vb/XB7h0E4h7
BA9Gxcc6Ga7pEXJEOuU0HwlF8Yl2h2tLc78U+o/OfEsrGc5fGTfxrxH5o9NQ9vdIjP+qkLP2vGh6
qhHtFoFuWwMZ2xXG58uLungaHw1klhbKuhXRic9A4vahra+88GchS7Yqbrx+uLpsajnA/lmsWYAt
3by13OnCVMg3tfxUuZAk5I9Sfa9ypxDo+jG+XDa4vPn/GJxFVo83KF2F/cjJVUBTkBNWouTofb+9
bGbVC+dBNFUzpW2nfZHcm3Cm8YgMCZ8nOl15FUWAz5pNO9odNLArhicvO/VCTRTB7NJdQSmVx5fT
Iyu3qriWRRLgPLit3GDvqtc6Hs/1pQl/QEht9KHTprfU+0te293uecX++QRjH9iwrouSBTRoNnBB
b5VKmW6GXlHbVkVRZheJNxDCblzIeqF4cIzsAdnYMk6dsfqsCcom9u/FId1d/pBzJz79jtlxAllI
2fgF3+HTw7ujIgBAHC49JFXKe5qZUFOTjWHF5uLY6dCjwASUA2G607nv6AfzIk0hHbM+xerBK+ig
OVwe1vTZZ8uLLgKP+tywxTngrx0rdBcHsN+unjtD6+1FLds2JjhdyZc3lntboYW2EuSXhsX7EHC8
D5jXHKlJaz8OpTKsHn45GrmTYef1vy6P6zxd5gQ5sjHblyjzoo7tqVyofMRVcJsw/i9HMXPMYEBN
vZ8WB5BAS2F5+FTEr5cHMX3kfHGOBzHzuYbKgIVAKkXy9F4wUEZzt7p3W1d/Xfg8natZAsMrM51C
bDOnL+6U/j3rXtzk0VRW6vDLK2IBG+EVd4J8njpzMuidB70XzizTTejtonplyZdn6x8DxuwW5gaD
OYgRBvLhqSz3ifHsu09y666s+/kRw2yBj4Vsz5QAjc02pWcEumpNs4WqHyQRMAcQeMfc1d5hs0xf
PE2I3kc1r7+MEHvD/4TUwcotQl6cSkuiK42nY97bZq43hmAIhxHNlXKXfSr27pX3TfNsNAiTq238
DB+go3+6Gd+VJ8SOXkF308pS3sJTdNk7peXPAG5PZZLzYd7fpxTKqHt5UHOF2sjX/QZFr7eGPhrX
Tm4j2IG21hf4iC8bXbMpn3oRulmIBFp+PR1HevsFza7Lv78YmwAI/9+YZqtLK3MowesDU5pyCzWO
bn211p5n10xMQzzKrRP6COGfxoRufhJgYzYj2oFW3oQW94IFkBRQ/1TwmW22FjVZUQ+xAf2746Xf
uV72MEhW5u7ydC3ZASQFVhPy9WlTnI5FjJoeL49qp2lh+YatvAUIYsLT35iN/KOP/CxbcYClc3iC
xFMo44mbG8KpRcoJkVKXAnrhcUZK+9vTRah58XqjtTW1f7k8viV3o1mK3hy6Fnl1nc2jZSnFxAZB
laDP9glsVyjg/ZsBUQrhGQgkAzDr0wEZoxgqic4JLMk97KpbWK/tEtEo5adaP10ezceyzw8UIJoU
HqZ22fPlqmALiasa776yDvWrfKdsenR2XrtPkeP6tvzTvOp24yfd/pre6ffDw3D/VjrDwToAHLNr
J9te/p6l2T3+nNlmLqBFB1zO50yL2LvwfQ3Ply3I52UejRffPyOe7WeYqhXZrTGh7LRP7l22Fx8A
ax6MT8l18yZs2uv8TrcRzGGUyW2KVOtKfrW0QY7tz9y1liu4IUTsqxl31BgA/ScXGqqMi9blkS4Z
kuhvkDW2BbC1mRulodqJmYqnwhPpNMVVghgdrH2JenXZzmL0mgCLUC5QR54jFnujSIZqNKgi+9/M
trVNN7YHfaV2s7TJeSz/x8jMMXTfEIp6MqISVMDddU9x+8xNBHbDamX7LfngsamZg2SeK8UjDGyO
6d7qFgz+0BFfnrFp5ueb7tjCzAVcuYcuqcVCp74mwaEP7skVpfwrbLxq+Jp1K6F/KaMnINMOR+uV
IVuzAdV9VSJsb3Hbzr6kSmQLsFyU/ruf/1SNb0G64g6L03dkbT44FzkcakK8zw+HIv4h5CuV/MXJ
M8kZTZru6BafpTqREnmd1xLutfal9ugK+RSB/dOtN0N9DQen6H5eXqxF9z5KraY/Pzqc01YcEnNK
rUJEiCGjgSESYWVl7Ta5ZmbazUdmSnRdki7HTKxdQfhnE67hifsXrn18OM920VgonkDvXY1s6Eub
gy3+enmulkLO8e/PPG2MpDxpYcNwIMvM298d7PLWsG9XO/uWooHM9R9b4DNh/z2drEGSQpr98QGx
38Dla2vyoRWvoDXlQrQSrpfW5djUzJ0FP41Vt2BdcoXy5hhtFP+lMIPN5YlbszL9+dHqowVWe9D3
1I4pXidS61jRi4743L8xQkusLoGXBfx0amRsAJ7W1jQU+d1F4l6VHaRaV4wsugC4tP8zMruhlh7I
Ks/HSFDH9ghxoI6ObRRJtt98uTycRUsGvCgg5YHCWbPhyDnV7hBZUAZCI6R7H/YHV6QD0rlsZuGV
lCsd9zqF+x3w8o9Hq6O1Qdw0kAPeK5zWUJ1CM55D1bBVBQpqS69spBcR+NL2PF3u9Ep4vWx88q75
SXFse+Z95lArWefyCizT2NlAkDda0sotfCme0mkAOcTEyWLMs03PH/0Uf5kwOh4hp0nbjQod7QZt
ZWBwmWZc1RCIb2QT9TG1a1YeSpccn5sVDoPGHW11s53cGrJrjAGnhRGSOXgZlOfmLUxbKxfkJV9R
qDDQoUP7pWJMk3C0hk0swEvTk1LriJHGMe8F2ab2aOkqdpcXbHE8fwyZs5JDMcClmk+5uyLCEYt+
m1s/pUneiRQ5oIBb2WzLvnlkbnbbokSfDUlGJqGjlxRBDhOH4sHsOeTpTLHDIHVquA+N/r7Jx7U8
aSmtoBCJHiiFSAQsZ0unpJIL86tJ2YM6rGp9znMf3pbi1ofKTJXea4g1Ls/tUtQ/vujNDBqIi6h1
OkV9rSttsfY9x9MClKegQwxbXk+Lld131oAKDo+7Aphhmu3xUGUWlsMY/GHVtbVDBHoV2OnRkG70
XkWdzt3HCelaU8MTF4jbIv4FJmQjZsgNXh714hojTc83UCWjrjKLc7ErjYUKUtwJo+YaSrcrlLaR
nmjg9EWzL/ZgDHsIfaRy/ffLlpd8+djwLJTzGF9Q4sFwD8ViExxSobDrfiVdXNqZkA3Ql0j5l2eF
2RTDzVlGSB3UjmDsR3cvhntT/6GNays5+cY8kIIqQKsBzV94VmZmoqZTVegmyUy8B+TonAyFPhRE
Dq1UXbVRfQi04UnP3yKpdOiTdCREQuTUX4FDLo4VhggFiKcIfnUWhQQBcT8Qs7XT1ROH9jaEEj8p
t0heXl64pZ1p/LEzr3v2qViZIGzwmDT8rAThtpDyb6MrbtC9s/PifQjW4HpLhwhMJSK8WBNtlDUb
mTomcQtFee24gQKjsDImhzLjHhj27oOiZHc9SpqOnAmuI0tytjKtS3EBFDeNtLwLAaiexQXU86qw
HDJu9NqPsHtok19j5/TVrl9rB1qaVxO2AGDjQFeV+Y06gNndi2Su7rr5kldXYfhWBT+j/K0Rf7qf
Ly/hwvMeQHiVtg06aBRSsdmgwi5tBsIcM0pJGe74gTctBFD8e0nbmdLOhKstl1/ktavpYgn32O4s
4+ijSEHnoiLkqbv33nkUDjCim98+C88mzObVtnxeiTKLq0d7JQ4LUy0PeqdHsz7GvMbIDakvlGOm
dktjnSJ9F8Ovfr/iJ0vbj57kfyzN4lmsdZmJ2AkJI43klmznIppt0DevJFQLKCaW7sjObDPQL6Yg
8YCdtAYpKx1aGxKpa+WRBg06Ax8K19G+XPaWlZF9HCFH6Q3agf87hwEVkdqFSv0lQ3bNSta8cnGx
uHLBWGbKcDLM8o2xMrJWzXqKV3vdkQ7Slx19sIi33EvfvKfRCffFQ87l0h7fLg9w6SiiOvmPXfnU
SerYFerM7PDK6ofXXkFT61m7yybk6TfmR8SxjdmOa8UYzQIBG/Qsyrb8XFy7m/7KvKo27lP2Rerg
Q1Mc0dY23vfYuQE076wh+tZmd7b3YK8WFBrXameU5YdoFHd5Mjo6gI7RRKiivLo84Hk04yCcmAVl
StbQz5HonM6plseDUgQwsyfFj4BcPzTfi2DClnwKwytDXtkV87F9WOOqLtIPxj1z7qKQOiiQltc0
6JnjQVHcR8hzqda3dyrtzcroOpcHN98RkzlaRCY/lSCwMWdTKero8UqVZUImM109t5rS7YwR4ey1
6+HcMyVz4pIjT4QGZWIzm4UvyArdzIM33lbb70EmokNj7AQlW9ng57OHFdD+SHdS9zq7g0Y5MqJ9
QMKbV9LPOk/3LvKbvWAgE1Z2pCuVub88f0vDUujdhOOFQ5VtceocY5MOdGigLmlQM8wR1wwMR9LX
Ju8M3DVxEhrkDBMTnAoZzywti+W+TDIh9p2b18SObM+GpeTni7N1HldqoGfnGpYguONNxUBORMHW
6YB8rvcuBLhkIftyA1/Kfn9bbWIbKpPLE/cxM8dhZG5o5nmdIk8VAwTeKbV/kE0CqYY3UN8q/JfC
IKd/Ev66eX3d3Fnbu/udfdVPA98//FTtW9UuNto232rbn/YDQns2xKz2y3775Bwe399v1viCzjfK
6bzMVgCJtMgrwUWSf7ehEzRpsE+lHLFsL/psaJ20Ur09d+TJnMlFX9dhpFRmZzAE9bLUwVHthE1/
DWf/TiwAz6OL3ff1jh7VlWU/d2O40mDlUOCngIpEnpnLGzkF0+sHDpIg11UhovQ3dDe5LKzUF6Yj
/XzR/wxrFgU4nozaLBiWb7q24r6i9bGNKhpsm/6gAPzUtViydX8t7T4bHm+QE7nZBI4kUzyr6AFn
Ucy+iIB+cVCAttIi3TaVFTTIkhWLZdMpGcJDq8zyGdn1rbKr4Z3uqlttEskdI4TaVvbNtC1OZpBG
U0nlni1BbqBCAXa6P4uoyEUlJR8zmuagIclBKDxc3poL42AIOr5AtKanYhYCmtFrlLhkHKPbPiN1
uKvgMxNj4+99juONWwI1EdBp8wYi1dW4OU+tsiHv+BoyeI14G60Bgc4P7+kM/WNklhChoDgMMSwE
Th8wZ5KHKlAVO2rH+U1Pf+z+9vvy6fL0nV1JiGywUdPSTBhVpxLy6RLRNNSh1NEHsGsEj34n71Sw
6X0p/pQk77GPWqR0xBcUbGDkKjaBGq14yFnooNcTkDx1Shq4qcfM3LBBiTluJ13cTmwpRHTGTys1
tO+F0kiOBBfnJi7S4evlMS+4DBtrutUCPJ58/3TIfTcVePQscMpQLra6lkUH2saDrdetornlqTQ4
2wFTGoY1ehDOi01+aNJqV0kBhdgdIvM2TSTbdHx24/ZQRc9N3KMVdIs04o0fT1PtJAhC9Hs9CXd5
JF4JzafS/WUYV1q3kieegYtAWfLIQrchXGwa/z6bhLEcuqhQ9cAZUwRdIXIKyaKstOJi6kl6chcN
WaA7iLOgERUIelMfskzWHvxYFrZiUDbuIQlMz78uORkGHrZcZYOeh/zYIR7Sbsp2yJFOFnrhxhSD
VHWkCGUgB7Hs3qNVrFBeGyNA5gIS1rDZXF7ec5cmgE60MZIowkTAhjpd31JzUftMgcuGqDShJSv5
zqhfianTjjtDTjdFk9tWufXTFcMLfoVdFcIL0YAHef5mPhZ+6go5ciYIWDpKpG2ySth4hrS9PL4z
sANLN50NPCGQC0ukw6fj06ve0pIypX0fbIyX+xBePFrmV7XcRghvgiupg23hXivevs2eaT3uzSeQ
s377Pc9v1EkmY9s39yB5L3/WQqwnL4cAetpUcGbOZh3FyUIL0INCsBD0sGVLhK3LFs6Kph8DPzIx
fcLRjbjpCziJKkzkP0MVqiYHDej2enjtfvRvawxHC4FJg64J/0EJjArjLBZbY9EXcYYtE2XzAR2m
6r6WVRpyN9Ua8+KS30D4MAGfuXNA5306LM+gTQeBUY4wLz+gHrgBDXxlZuLK9J0lhfw8ORN8NLgn
Z/JZOiO3vSCWoZPDR3VbFOa4yTs3d8SxFQ9S4K21iS7ag0OMAw0Wt7PDPypH6rA6KhqWH1/L9ZsX
yDuP3FBduYQuTB9E21Bw0jzNQTLPl4IYhTwvqBjXUHzixPpZu8XeE8wvl71vaTgTWyS3p6mzcv7a
RBwcfVJnCBDCb5L23rY7XXnP/dd/Y2VCgZMCTnJUp74QBKLkN4EcOp54VY/vI87n9Q9B+37ZzNKc
EaoMKG6545LUnJoJ45rk1rUCislBsxcCLblOCjXgZT8Is5XXwKV49UE+TLbO1f38wQX+xcwIotCR
/U587hPDau3UD6XHfhDR/BmQHJJtUZDFH1XaGbsUzZmvMeqktwmyUMYDetx5QuzmpryHylZEg0as
3PfKLfsvo+/FPw2j0g6GmaKKNLSm8abSxPj97+cLGieRVIVqNC1Lp/NVNJxTnegGTqMOG9dHG83K
DpZrbS6bWfKxYzOzfDmV3YjSMWZQT0Eb/uDVoqNFEaq+z//CkApImyco4rU0iwWWWsj5qJLvN4kB
J3jaqyrNwlHxmaKN8nPUfRKDyxYXPI7nfGopxB9YX+eJXi4m0mDmQYzYWnQlINykIh7t1sH+spmz
FHqituH4IXIzPCLe6UIppeyqde3HjquWKOQh+wthzPVgNUgIQ6mTF/WmaX7/G5v0dCOtwXV0fu7X
bukOnoFNK4AdssVtr3LpkacSW0keqNhetrZwMOnmxPsErbI20aSdjhDuR03PlCh2YB25EUkSk9bY
6M3voIbP3mh3l60tLRuVFbJzEzCGdXaDc02EeDS0r7zRvBY1yJZMbStXKyFiwe+BuEtUcGBz4nY1
G1OjofhrCWjQipm+n4oIYZLbHeq+dtqtnBYL04e/c+0F6EuMnTtIZYUKAYVuJsisEFkVW+GOIPKj
T6saEUcx3XaQtq3URxaG9x9qd7izePH9SFiP8hbBNYUClmD0pDrlNiw6JxEFFF+Sg9slKzWLNVOz
tMUclZDSAYXfKHvO0bFFQgzhtFdfXYlUC35xMqTZPgtEsdaUFDuocW28qtoadXBoRvXvowaXlAk1
Ta2C++EsTomBWKolUnLMnLlppBJULU8RQbni5Sp7ZnZLg6cKYm2kkggcc14GpQVLGTaTwHD40ukl
F/ynv95GE5ct6MaJ0O6sBx4Ki8jXsyZydL9jpya7TAltZMj+3rknbm1g+pyykKLNzg9Rq0xf0D3q
LXF2C4Md5J/idZO+Q6WL9unw94tzsmsnXzxy60BFhtTS2bVKaX2Jy1yJ7Vwbh02pD+W3y/O3sECY
IjyA8uHiM++oD9osIH5gSiuEK3Mw7gdpTZZpzcRsNIPmt17uYqLMe+vz6JUhZUXP+3x5IAv782Qg
M4f24auQRgsrZifYI7FH5QXjswL+5bKdhTCHnYl8H7pmib6G07XpSkMcU4S5nKBQnyaWWxpmD6Ps
b4shulMEc62Os3TuHtmboxMGU/Fjz804A3N0JavSz5ys9Qzbk4s31zV3XuDt/Sxa2beLVnWJTJm+
UZDqymyUsadVXlDEzpjF17wL5fEvGQEgJM4SRaI5ZcXc0gWU5OWPvcmHjjxe7lKjEgrsea3sDOVg
C5Vm08AFNdRTp90n1Im1YWuF28uLeQZZ4mZ4Ynd2PqpS7omij10JbXn06NXicVC+dOq+ZrRwtWbV
AOcDguDVlb5Wblj0pKMxz/aF7goJerfY5lUJz9E1W+yFhyH27iSNN2Et+fvC9MlYZztE7S0O/mwa
q3zrSYldVP5OR8v18pQu7sOjUU2edbSSYx56TTl5zmBZ216rv3VVg1YZ1Ad5MG4u2zp/EJuWjwor
wHZKJHDenxqL69hrK5VSbq3RKec3PDMXxs90qvUF7hdYURpbHW5TqIcU8UrU9n743dV1p/Ve22wl
/iy4EskjFFz0IYFAAed3+i2iiUhu7Haa3ZWW8jkdJXF6PdFuem0sgU5atd1kY+xErswpkib+tmnc
xg6bsENjMzD/zWKbljq9VUMpP+eGaWWpNpoc4FQfVL8SE9nsBs3f2PRWDsbF5T6yM3NiBfZJSs2s
gCBLkCHJ0MmhRz9+C/7Vkwc7gWIENRZAU7OQ5BVkennfsF2EwbKVzEI13cpWovtC9sVdCs07DQWA
BZ5kRewT0e9iiDt5U/HyWy12b5vafL7suEuzxpXG4kWC13aAdqe+YuSt4POajzeEevpFF4f4qnS9
5tanHeVZS6KXy+aWCre6RbFNwhUmIomZb/ptwBNIAA1cLEQbKCQog2Ttm85lbrhuhNgujLu421Tu
7rLd6Wdn2R9jZItSHjNoopxtz6xL0W32RM5KIbg161zdR9Ug2iJkVg9mfe3Hz32Tlbaxyrg9/fCp
YVrxJYrUMiUFbnQzw4U1DjDGNZrtVRYl6bE2bgW/fxUqRd5GVNrtpDFfBEQeXuouHzZ1CCVIFQWf
PUX51knes2KW0SdBH8Z9hPodUtm8I1yemvOkiO9jZiD+5XQHBnjqAbEgVsIkMGYXypc6f+nS18u/
f36An/7+LAynSeWriS9RV5X2kfBsyF/6+DFO9poJX94a3c35rjk1NnMvNUzVMaccZrvxRvR8O0aw
GcrAFUDaUoSFY5C/uaFPfI6zOZOruuXBi1qxrKq2asC19E1RvgppbxfabSR/Lbqbqt2J7p0crUIv
FtZrqvHKaOtQR6awd7peqdFmcaHUmi1Lb1K0iUFrFu3WUKG/dQDMlFXnaFq3tbqvblTtXOtu9V35
Q3Nz5tR8AjCTSUsIUMBs+IKeIdrc4tRoDW+lfBNBXVQE17WKWAV6K8J940d2G7KNdZgIJCfNdr28
HZutMG469UHOnco/FGTgg2tHcufU4b5F8rV/6hBnFycx24iGDX/XmaozuC7CS09qeRjSwO4hPU2r
74hYbSLhrs6/JeqvqnyyzHvV2oeDuPdAvlBgjJOnxrhO07VL3kJ6OIWQP0OfeXMQGO6YxgwdoeKN
DxlizxXMG2xfRQZ0o0C2NoSftWYNFrWwiU7MzhY97HtBiDvMtsOuASQLNkV9ogaHs3m3lNhWUqfz
cHkyyg9Co+PUqesis/Iwlw0petGDLcbXUd/bdQsO2Lf14V0017RFF7bu8RDnz+9BXre6kLYaMuW6
4+WjLcPzHoxrNJBncEGUXrBjcGHiCj1p6pzuH3cYEG1vsDOMvQMTH8KJT2n8y9KupebRMAQ7sja0
i+XDS1dGG13ayco7ZQu703RbTjp4zyw7V+66fl+J9GQKazS1H0fu+e7684GzG4iboIuTSUy+Bny/
Nq9DOpZSNcEce94AmvIrHiS7jOWt4T2MwbcsR28gsWsx3aQ9nF5BaovWI9IxaLrcm61nl8YnudJX
yuVn/LIf83iUZc6CAHVIcRgq5tEb5Y1g0Pr2NfCvCoBa4JFCC64v4zPQY59KulW88B7b9O/ovm8v
ny6LXnP0FbP9KBdub0QuXyGiVKK67wWwwfXG34X0Hqehy94yUSpA9Wk+WNEa81TqNTsuHhN555dX
ihrbfpDYhrVprFcjexOZcG7G/PNd67OtaL11JfiRL5fH+xFbz7zj6EtmA0bARlGUii+pICsJi0MD
HDONihtTvrZckt5yIylTDnwvVp9FceeNn/rhqyrAzBceGh4gw3Cw5ea65P26MreJRrNBoNg06CAx
9WroAXfNfH/5mxeSvmn2VKQcdbSWeM8+3XJCFHeG1Q0aoM5XV94bxpug+HZZqfse3IDbjk4NngBZ
C2mtCWfRPViySVkcIe75SeWZrZ61wajZTdwBx6+rbJMI7bta82Z+eZDnifQ0xj+WZuvima6rKiWW
ePHjYoCojL+rtf5Kh6zwv7M0OwvkhEVzIyx5irhxOSrHlGeI+EFtVpLmD5Tdua/9M6b5MaCmhWkM
PmEngNnRRP1d5l/j67wZN0nw2AjhViY2eZIzCp8kcS8r115wo1qkIc+x9arkz4Y58h/fuuGOsjuK
jfeplThhsc3kZ1LNwXq8PDPLMWmqIE4kWAimTYt0dG7pSuzyUsgH64L7qffhhyiNR08yuJb3yi6S
1V0vjlRyjE1iWd8i92dZCmBzIUMbrXaT1WsaZ8uef/RBs7gx+mrRA6HV7FQfd9mQO5JY274FF5fs
WEJOReemEh+6WreNYHN5MhZcHwjJJBTDfNACO3OTRE6ELkgIFGntU68S7tw23tbxWlv/0hCn/lOe
/CYI4BnEWagiBDUMInCvCTSeerDFhwNa1MlQg5l1K2HH/+vuXbTkoF7mSEuigcfh1oz/zYAnwBM1
GML0/IXJLVDESkOiDOIsV7HR7YIx3Wb1GgjmHJFMzk8x4x87swQiVtyBtj3shGX1vfeUTWZJz0qt
b+Q+c6xMe3K97soUo1tLbKEo9h/1TroPVHWntdHKo9ry5B99yyxXaCIrRtuNRW6mYoe2h05T1O8y
dLAt717pnFJMrg3ttklWdtr0u7PIoCE0jGVC3tSYe7rRYp46pGCyG4XXuuQ5Vr3yGrA8siMLs3gq
teoQiCmznFifPOOlV66q5BB1L0r/mGTXoNdU+bbLVlxoKb0/Gdds0/A27/mqybg046s0vrgC7aLi
tZA+lMHvuAZFAbbl75/N8SdaC2XOKGN6gj2dS63m1opghWarOvvCVQ+JUNtZaq1cWqcJO1uyIzOz
CS1F2M+NyUzvJU7e7dFMcdOt0n/OFB3000pV4ayZilTpZFSzmSTLlmsh55SKsgcp2QnhHaDxwPsV
+xaVhm2ScjI6WfpO7xAqXSsZx2Ls+2estKeeTmkcJrFUx4RdpfK3nSXet/QytrG5sgvWzEinZsY4
osYVM8Zc+1zV96H+Oq71Ey5utKORzFKnLBB9selZtWgUbLErnFb4/C/OiSMLs3AWZbWI2DAWGt/f
Kz2Xy967trJqe9nM5MVz9wOVBtYOpa8Ji3w6V16BhCjNteStpbINihDS6jupqAE23gj6Gg5uKUsm
B5iQBhRJ6JWaVu4oEfBUM9eqkJWhH7gdfmu+fEjrQ5H1tGWFHMD34tg4RU9OYsQot+1Fo9qb/ZPV
HBrt3VI/icp7ZrzDQKrKD1adbqos26jdjWB8N/XSiWp5JadbCncnHzzLXLKQl898cqUwkqt7ORyo
gGT1T8VCRI4/gISvSIJnzwvTG38YA0foxHvTb1aJCabVni0TMWiiSeN2DAZ1tkxGk0mu6kuaXfd5
svVNq9jISineSi6irK3mWTY6DZ2jWuGTHyeJo3cjHTOBJnPUA2STjLUNsBSSaTKjwxR0NeCUj5k7
WkqBRSuNGladMX6zYvr40lcvQoSi+KqbV0UPA4XxJKjC37vryXrM5oESG/fbjPXwC0ogsl7DTVc0
7VWU8GgMpCS3vTpc0/acYuLZ5B957SxEe4lsBrWA0WTcppTQunSwyyDdgg+Do1e1ReWraayx1i27
HrnyRzVPRp3+dK/QFqqkes/OnNgZquswNgkyIDo35qfYuE+H8reqJ59LXbi6HBGWqqj42j+G55wb
XqvEMbM8Xaq/NN2bJP/2LHGTm1+y8qoO6VUZH3Pjpmh6u1kTOFqI3CduPptpX24qCpiY1pH/TNq3
jtaYNl2JrAuoSPPEynxmdb1o3QErIUdsG1X7YHhGhZLTdqOY30sTZt7UpkZqZDU+5YyRvxnh7s6G
pzysN1Gwy+pX2aJSCiPPKrPCdDidOdsHgGCSX7Tm9bYqTfMkH9jpWfO1H25i5UqJdy1tL/148Aaw
lzeJ6kRrLGNL5TfmZMIR/Mfs7ECLRvpcrJSLZGdRTIy2EXEliINtTetQWW2ggXAy93sb7iW/RHmQ
1yDDAT1qD94+Fj4n8kY2HDd2QsqQtXlTrX3fQpY06ZQDHqNkwHE13/co8xW+wKzABb4JByiQ6ta2
mgfXuKqit2FccZFzdVhac47tzRxRyLw4CyqmIwz6AzUcKehsX9rl+VUsXAf51/Z/SLuy5baVZPlF
iAAaaCyv2EhKpBZL1uIXhCVL2PcdX3+zdWZssolhx/G1PT6OcYQLvVVXV2Vlmg+UHrpxG009k1yY
wQSYhB8JOFqVe70SCuWy6T/bFUfj57asvuigsUrY8tCXol92Tbb4ClxeH38nkpP2T7NGkEx5rGd8
kcDn/g9X/3vyeYQJk7uZQMJBkVXtEFPts6Dy9eAQoPCV4/lU/bIiqBALshy8KwBhJ3qbgWnE9cJk
CtjfH90vJTHNIVIjEM2DwDrQa4eqz10qahzh9xVvhbvfs6bQ5HSCFTl5bxWv7d06eqepN6eg+xHx
0p65dN4at4uphPZcCKpDMQNidLPh0O5ONiAD07t960al29PKN7qnOBQlr0WTyW1n0teyRAHqdLp+
Q5LrKfuYIhGKSzSV3Bbt1LlU8ho2LGKPy8uY76BPZeIt0xjEX3QBsJP9a8cHgpvKr+6vo+1B5ybu
B7ZwuelJvQf1Nrn4JQXJbiGgGrWuJ2lz+Vo8uzV4i9yrojIh6RU3WLxsByomcgWR6GrfXVteZseH
1gf3r+p8m/3v4Dq9Gm0U4QSPYP7JwdvnPDS1liAClhGbJ+280DAciBpeHiLbfudzSlEhNXQNuC7u
yTH0EkAPJAFTZ/nURzvDuu7qpyjzDFUwFJEhNtTjxZsQPeYBDFWzX0e/FvmqQM1ndHtdRAHBzu+l
IXFeRB+AaJo0WJLL93K0dcNBBGmXIsqc9bWBbixgptC051Gsc4IWo0xPoeaCOkcOiJ8pYoVdP11/
LHAneJYjspg645NQEnuOa3uMSycwtP1QSjbAeG47GoJcz1cD6vnk/bHJnWiTRpFVy7AZF/VzSowS
tYiiRgkly7dGW4GoxEJsjMReks6vca/lTtrm9bWeGdJoF7GkvpF+ad/7qZT2DdI3e3mcqh8aegS+
DVKiHVC1RZbBtIZ4m0O/yE0qvUGLYGd+Zuj4eOohv/UGJh8w89ST5s5g0kEZrZPQ8K+HITo0jMDP
gYUubbOy0oMxhMMBmZRwF8v69JR03aHt2AtoLrXJrS01fh/MudqZqUW3oL7VPqDTh86YMc1rR5eo
l6jTg1wZ+Sat6YM6SdZWQ9+l10jxXWnFojB79QygrwXnjFoG4OmnZ0CCmkWDdnrIbiivWo1WnBha
NxA42U+Gd/lYn93fX57jyBT7lKPjpjejZUpSDs+ckJ0u4aFtbivrVdKgDW1cp1Fly5qX6c5ls2se
GigM1rbNqKR4roC6HxOp0HAmQCiFEDLz0RjqjGW/a2ixiVD2mnN09HXy82Wza/MK0VfAvRndhsZ3
GRRA3PazmYFGr8VhN+4HmqTYIO1bAsyFrIj4HtZu1mNznCsLIoNK8gRzqXw/Zq3Xmt+T7t/CDNgC
HhvhvJjRmNZSDjASlh9o24oB0cru60axs/KaBLrAO589AL/M4QqAGg1rdeU55OJsGQHErsCCmAKq
E/wcAe9tLFcFKmR87HH+0LBh4Q1szZDzVN4ur9/qhIIVjFkHswCP4sskrUpMpqRmkF9A9TsxIFi1
wLOtOVOwlvy2wS1anYNGIJ0g1JhGBFiGzQh+TiNBBPFK+l9CqYD1EaF7ES3+gIPzD3lTTcuQjjjp
haraMhSutLeJloJ4aO0G+lL6+8cI/2hPR03WpLREuFy2T1FB/aKxvL9Zmd/j4Mmq9GqRil7CONoq
RgoKcuwzqNtE/ZH/I0j+fevwI5mDxWj0FrdOEXpStdGmxc6THuH/Sw0KLmm/lN8NIL2hXPbvh8cu
8P/c4fzwijlSSF8iVCiCxVaA7gzgElPD/v9Z4aI4yciKpUzhFevZo7RHld2Pgo/LNtanUMX5AX4Q
Z4TH9oa1paXFDCN98hAuG3n8vtBNiqd5EG7y2Jfatyb6jhftZbNrpwoNZL+tcjeaJpGyBR0I87w/
4/opVsBcOFxLw05NH1Iq4t5eO1XH1rhLLTNiYBpUWJOk1xhSDiCQWIQ3J5+M+efm/DMkPuqCpEcY
WDCSVPdBf0usm0kGXqG8miO3DZEdAsEuIG+VJNiLa5cYVKl+Bwds8Ec3dhWBm2PpcGMbTbBZpsnJ
4+imH8Obxph/Qk/yLwJ/pHLRssKY9lTe4VtqZ8UxyqbOoDx1qUN0MBctiYtkvW0Monrw2jY5NsZt
E7VTF1KmMGYND4F+pwCxNtI3MytdcCNH3b+EubMVxDyiTwWhAHw+92oL+qIyAgWybiqpNqHRgEKT
ekUquLTYN/OR8rEV7lQnckIBWcalVVo3QdrhnbFJyV2SCcyshVTHZrgHWj9OC4TQYSZcim3WaZt2
6O1GNcFYguwPUtDFdCsrnSAeWDtpx1a529JKg9AagdFxQvJq9Z+kuyLW42XXIZo/br/HhqW2aEiA
w+omqF1Yc2RXJnkFDOm6Vb5dtrU6HDDWUpbrBIKacxyFkeXdoA1Qi8BOAFfb1ajR1wYN+JfNrA7J
AhkHu/LRWMuZqboymYHgh64Cnm4gArHu+kr7VEOo3EzT5rKtFXeBKgGomHDJg0+Vh1g0SazVRdo0
DjW3t6SpnHG4UWNREWolxDixwh3cYtZKVKDaxsmabbV0diMKy1a2NwwgvQuKPLAz86H7rM/xnAYw
QNPWzRPDXhTNL/vHpQGOMJDeIwg4tKaIX3TFH6ERgIDVEMxfaBfiFsoKIl0Nm65xagNRkxzYk67d
G+B2SYp9t69ocn95sVY2xok9/k4JqWKCfrNBEhD83nbSltss3y1CbpMzQAxc34kh7vleRLqetREM
KfWu0nYU8gQ6+iu81HoCCocgeZ+l2ynZ0KW3u97EI3ARnIGVo3b8BXziGA8jOlYEXzDPhwxwZWJu
02J7eTrXXrcnRjgPn4c9Xkds/VJp9oIpd7TEsuOp3bcAtaVG4vXwJpEyPpR48ggG+D+MW6YCkhUC
Dh7uTKSLscwj6RtHRdAIOivQcfpZDGb/hxZ6E6hOoBZuJyJhuNWDYv2xym1ZMB2RUTaGxjF6Xwnd
goCPqPVlcK+UdpWnPgg/Lk/y+kL+Mcjt2TFQC4j0YphNe6jNW2tCkV7wgFmdSvAQKIy2Ep3gPJZ3
1oygCqsR21WOu5vJiiZXrufACxQ1dyerqGxVJ71tRQQyutqCyh0UW/9inEC2AJ4HblD0KHL3UK53
s5SOaMcL8bwNQuKQ5SYSNR+teetjI9yekTJ0Ji3D3EDjOHSm9CUjGzlwLQgDN5vLy/ZFJsLFJeCz
+TMebqN0stU0QYbx6JMXoumjuo/pc1Q9TN3GmlDIrrwsPUTZmypvln6LrrZFRbc6anmvlz9kzecd
fwe3f7oY3VhZg++QcuA61adCnqGLhj58SyRqsLZT0QKEVzAFX8yZOFOKshGNaoIRq9SZQeWC8lhV
+peHo6yO58gKFxJFVhVlWgYrCYVQQOtO8xuUZgb5OoJYJL0ejNwPyD5OD4rhTP0rTT+D5Q3dtJc/
g83a2eoefQW3W8HzJo8dqBkcNfaMGctZOn0NiEhk2HqDvGX3N6eDCQUrGpQTVF7aBI22QSYZjNJ/
sSo3aynqOwb5STsqeiWra7EGYNugLIIZqMtxd1eW1FFaRZhg4Evc2ptcAJTsGRyw6Q0KrbvFrr3R
i6/6xM4+0YLkx/vk+aPy8ltyE7vKBpfZc+ZEe3n7b9th2KV69GE89hq5VAAfRnxYbT6kUPRTl10q
IghdcxAEYtDwgyAuRDfm6etvUcc5ywq1cfLmqZbhI5JtN1/RxVOIqLC8Ns/HpthGP3poxrOlTIuK
4XStJ6NukRJRWVBkgXNBed1lY7rAQpnPdqvUdiqqJq3eHMeD4LwLurDyWBtgIk52tLmONG/Mf0by
NtG8XroK2r0ior5f8zKEyChQg7rERKb0dNr6psjnRGG7QPNl06vjvSUy8VXB5E83VBHwIrfQvg7G
zFMbgHvh5QDKHAcYs6vWbzeW5bbv8eZ5dqEBa+du4AQ2KpG5Ybfb0pME9/Gaizs2z+0Mqcwp+pnY
pFaNI8NPIzI2oNSy/I0dxPpQP0fTF/b76TBNfZSTNsYw5+k21l0tedPLW0oeLrvK1QU7ssI5bJlI
I2PKg8NOZHQhbCGr67SixowzcC1zDio6wwFQATsU/nw6lpFkPWsDRWrDzG8kedOgN898CsKnfrFV
Wl6n1l0O+5rpQwfREp20NfMErcyMjhtPKMLnOrJZDyOlnKFuNd22wMlMxr0RPdPpnRSP0JqJFrfV
r8BB2au3RCSGtnLMWfoIiEDgREA2x52I1sD7E8zxLaDt0i+zqsFMRAdBtL1mg6CpjKJVHFxtGhfp
9yl0NGaIhDl1BaCfMlOfGqngdbZypwIGi1Q9QgdUH3jUtzwqetoMUQf1TdNeYm9ZNLsxP/vYa6fG
jkW8Jiun7MQc57p0aL/L8QJz0ghONskEzcdkNwNiejptLx+Br6uJcygE9GwgUgSNj47Ux+nujKCj
3UBNEnI5V6WNLl4ncEubRnbq9lflBt2Bi116b6Zb2/Tb4ES24aCx3X3P3XTPhBqMVxH309pcH30Q
f5dKVqaNi4YPAuiXxB+zEblw2VGT2RCkqJpZwESx9iDGBEDAFaT/IL3gS0tDSEvNKGBPUWzLltAE
AvJd5719ibZWar+OuV0aoOQQRE0qO/Xn8/7HLOd7SDMgPdnC7FPuTbId1na/QUeKHey0u3i/bC1/
uEbDsm151g+k6HP7p7X72W4DiFbaod++3ZSL2/mzE3iXN8RaFIv5MNAhhKcr5Iq58xR2MRScAnxY
8F3yq33odu99bZtusA89BUwp0DVHDLITEcCsHeNjs+R0HwZhJimLCrNhq9qKCp2658sDO2vVxfKe
DIzzw6o80qE2YGF6H1x1q3nxTXmTvLTfYyd4oMgB2+GD9lIhnAQcwb2KvNT+/H9+ArfoeZXSMAvz
zpmd1u697k3Za275/S4/vL9WB+gbPgcOVlpyTSigzNemYNOtoZVOpoCLHiwC9UGLTbK0PUy3+Sfg
m1uqb83d+wskmgHzL2zpB3rVH6yNcT/bvy4Pf+3heWKeix6mBjgiLcbw6e2t6eib4U1xJxucyffv
ilM5nac6zWSLmltWbnmonqGRFcuP24j3cFZaxZB4YWLpgddWPnjVkR0Hw40OPmhH7g5SeIXSoZw4
JpRvfsSRN4kKAat3MGP30VnfEMgmuHmfK6PSjRHzvnR4XKudnYL1Ak7Z0eqNqu5K69Zs7bAHSqi4
WcybSvT+XbtQQOMCYUY0WBgyf0dKE1lKrYd9EAuZCbqLd4UVIh/8dHmBRWa4MzyiSYG0MtY3AHHL
Upd7oujvUhN9U7pA0CB11jTydZqBTAY/GxpUNJlzU1ERdQple8m6DZzOjTbBvellu+nRfFQ26na4
nr5Jh+Lzgf5C1OHjKvFbF0p+TvssOlXrHvPoU7hhN0lrjKGE2U1nHNsBb2A8TRM/d9A4M4H+wSH2
sJH95crYXZ7vtTcOi3nAMKKAsR/Ji1OnOc2KDLIWCO5ZHQjHjGkDchina7C0U76g432+RYL1Z9ep
oAgdBc5kzWEjNQ5BHhwtUL1xsV0mNWoN8roOyucA/X4Mol6StWOrQ06E8d3IeExx/748U2sM2QVJ
onmewKteGqE/KWGGXvg8rL3LU8n+Ne46Brgb8R2yxgpSvtxMgissKgwZNd2ciXtJ1kPdmE5MM9uM
fwyViGGcBVWXrHGOsAmUBhTjDHtVhE6RHfLGCQLDLfVvKeSV0/agqYKtsm4RiRcg5VnlmhsfMDta
kbZweEaceW2Dd6L2nEAUqs/Vh7H/zILQGVJRUW0ttmJqSogtUWwF3ou7chMtGTqdAhyidE5LQWwR
2oQUNpjx5XFHMlDMQE5DQtH8J+1Lu0l3tSqIb1fWlRzvIi6UTsK6nesJuyjrul3R6H7Xqt5sDmiD
0uw5er28i1bPBLYs0J6gFQXk8/Q8toYSjv0IkUSziwFNbPeTnAlexmtzStAwzURikOVDZvzURphA
VVNWoQJZlrMNIk4bDNGQTzC9NCivh6K4CsYQzQfx1mhAAtCib1PJkERWHUJFjTlkzeED2wp9aKb5
e1abI0MeqkMP/cRCMr1qgmKdhU6UOdtMwbRVMuIXReYb44NS6uDYVTdZP+8Koti1WdkNTfboBnQi
qdz1oMnpgx9J8TNFsZL24JRNs8Mcm2BwgZ4vSHwFzmvVc6LfEO8elYKYms+jpBqJpFDGlyv1izHu
Fcsm3Wtlbvrojlb2VFzr6P2/vDnWEHSMCOq3Te7U6wFtZLmFzZDRvwJ1UKiSE47QuZd8ubydrIMC
1WSrBzrR7/8iLXxinNs2URaQKZlhvB+l712LTnDzsVU6L8lyewIllDa/CYa7dvSOh8sfvcKk7dSx
4VbAWiLHFxWvKRLSuubqoW6Ptas2WxkMj6qGtEtnZ/ImluANP8b52rA+BF/DXA3nck/GzxzkUU4T
dbEslCd8jYFOQGvafyGGKWgAvCVIPSO4q4sXGSRGRfoMmWHJfBDY54VnWLxiIHkLTnJNQzGec4UU
orc1Otkw/+SxQZSrRU/IvhCyozr6Wn0rBdZQVJtfe0of2+SeG1qsKNWkQVm5zR6iwQed4yxBlFP1
h6myy1DgmVac34mz56xF86hKoYVLTTXKl6JFV5TVkUYQ961sqhMj3D2mxaMUgiAQ6PMh3IVh7Oj0
vgE5PipJfqf9BXgN1lD2Y4I8bPtwmybpjHxacGtaUJ82CKRT42cljh8hk+nPCQIEpdpd3ifs+7lt
emyRcs3wCNuUZOgZYhN43opk2wAqCmn2Fxl+mAF+R0PUgzZdzhtIoGIfywRgXglPMruSlh+y/PPy
SFY234kJ7vgHRK1GwrCnclJskRi19clnsAOwwU3QiiPSy2V7qzsDNH7Q0IDGLY7Y6VqpUwwAWVlj
SIU9SKrfQqE13phgwy5m97KptTsYbP9/bHFbfSisGdR9sGUspXw3d9XBivX7frE21QB0tEqkB6LF
ra0go2xPbTbfBcj3eKDJu+qzPLntzDz/LvimFQd38k3cybCGahysGN8U5MmTWrY/crm6ybL0PRif
chQA0yBwR1Bk0DSxFw2dq0H4TvRQ5HNWQgLLQjoWr11wLYIG+nQZqlAFTLwGtA4MkmP9s+9cK33O
Qb4mGC47evxBObbDvf+Qx6gDuYWmUeeCHir04m3g9ihm25pNNz+lw+y2t4uXu+GDtNe9y8bXDumx
be7BN1hDMhsls03SDc0SqFhZuxx065fNrE3l8S7j4oWypH1iMsR9W9wMjPKuBVXm9GT027+xA9Ex
sK6C0p3v8FraokTJD3bi0DHljRGmuxItbEJA6ZdX4dcMpYDfhrhjo9FhitUeW3Qw3+Wo3+hzh+xy
YHwPo2KrZq+6ZW4Vc7LVuXPz9rklw11PrecKm1Up0ptklt3YygUed9VPHX0Ud25KYCEmcHnDTzHG
vr2G0AxCr7kBqDKafqZZsKhre+d4DrhFlSSplxqCye5nlBE6F+JsJaBJf7OiWE0gGdEiwlciR3kq
mikBcrKunMio/KAsbAocW6oIruP1yftjiP39UVRVJnowzEmLnonil0aXOwNMY6YPmcB+flcDkUje
+oH4Y427jpsxamOgdnEgVBVJAFu22o0EEQoQEVyevzXnAtLo/84ffwuXEOGhkHRrnSh+bVGAyGQ3
73Kno8915Bpmej2JSHDO2NAQHyLKQIho4sGsQQbodCbTACDQrz6KJZ+2Uz3ZCpAhRVzZmVbepOrk
SHrlm/QX1HJo8UHQiYzHly0Xlqv3+eby8Nf26PG3cKu6UFKDpBJXdzsmYF0BFMMdazVytThKt5dN
rS3psSluSStaZmaiwVQ6hrtsUOww7nfJkjvLRJzLpgSj4puD576ayIRuBIcq0qGsUTxRyVY37i9b
WY0Njkb0lYM/OhLYNVlpBDATSNmmj7VnqQR4nnaeFKp2BuavVAEocNQ3k4Hy9pB4BgjuW02z41HE
t7l2OuFsCZi/qI6sM3dHmvLYSzXFNm7D0clAma13htNadD92b7ECBt9iEd1Za1EY6F8AUjGRlFT5
avOIgK+JTHhTdVa/W00f222ZZDBa1G6tEmjThIrgsJ6NUgE2kEA7C/RBgF/wL6tBHiFtLJnQtpB3
NJmdEToFdK8qT83wTdjTe768qCAwHUvAgmXkYfguGqbgNSxSGTkv/pu/+7h7924eQldEjX1GNcEK
FejcAtk7k6iBFuupOwilSu2jJY+dJ2pDSNu295Cuth1vK6iOWGcHkFVE2Awi+YnEp8XdySQgWUnC
KnbcAxS7Xw7//PD9g3+wYRa/8MP7z//wh429s/ELctr/+Tvb82yvsPd7x93e328/77fu9f3T/dOv
J4Gr+CJBPAkfUJxl4u8oE4IEBXH+6ZwANES1oOyhTeu0ju/7sfP1YxsJbs9zkA0zBMg8QG3IPWNf
nRqSxzJP8xmT7167ru/6GLRnC7zR2gqD4x7SD9Bh1vG05Bx+o1p5Xsd1jHrj9fXTtXv44W+e3zX7
2RMs8XnjFxvOkSV2gI48klyESmBFsHR9OGDZIPwucHln1yUMsBoEQSpQha/hhhKXFjrkYhBdXR9c
9+Xgf9gbbAdnKzjoX0l4fgMc2+EGogx5GaUl7Bx+/Hh7fHwM7cV+hKo7gkjAFNjPR5j29p6zffis
nIfPh9FmPz9nFK0j9h+Bs/+qHZ5/EdB4loluDlCenE4twC20iJicsMuOy+52h+llcvfOdus4guF/
/WOXjHGh42gUgM7XzJiL3W/73zY4mbDkbl2BKZ25lzNTKO0gswofhyzz6bjkqQ3nzmqZqQM7Af6O
HXvmCDA8jM9lvy7vovW5PLJJTm2GVjr1bd3BZg6MA35DIR6/P2G0qRM7H5vnzd3+br/3BIt4Hnqx
7XtkmL2sj85HXw8kklMYhgcsbd9/3Lw6NyKnsnrej61op1aMUCEQ02DDcw9g/IT3vNtgp34XbZPz
NDM3HG5P6nHWMLA8DL24/m5j34gsnGNXmAVd00AKBWUQaK+eDkVNykJKIZXBVurasF8Gv/dcf3P3
XnnvX67S2bIzIHhrrB//I7Pc8U/VIEd6DGbZ/kjtl955eWq9EdfBjCxA6w2ua+BU2LgpNbvDzwx/
fAaIBsgCMInYuo1eOJxOV3AxWWe5XW4+uPvCLCJI2Gj/LC27Rt3D1284OOzwsBsV1yg7rOw3/I4f
e/z36zDhOOGHy47x5fOks/Nydob/TBf/iJHqoO7lk6/6+jbf/ef2Zl/BvgW/cCOwH6IvOMdrY14A
wQXyHiKciGO4eSlLEN5qDVQmmGFEFF8/4CK/2c8Y/Y1zxdyke++LgpqzmAb8rOCYQDsfK8SdCdyq
TRupgwm7Qz83dq+jx8hCj0hKPTUTCch9qYmeTDNnjPPKXVJISWSquPxK+za0Qxscdc5gf+BPC/Bb
7P9B5OZhvDaGvdnfOd923zY7z8PwPz/vf2Fadj47SE/319t79/7p6fp+29ufoTvav0Rps7PwHPEx
mxQEBOhLgjrv6cml6ZgXoMjAgwQ9bQARz8iYeouiIqFeT0FvbNC6FO/CpsgETnZlSUAbQfHKBcgO
9ULOKaG3rZ4XbUydSQE3OdCiYLcqlxc60+QqLUBaIdj8/N4HzgaxM3Y/9L0UjX+ENX1pNMMygScQ
eKYaiuyWRywmlupdtnOO/WCGUPkELTg10ArFjSscYxlNXjCkoB1R0VHdmUCME9kLlD5UP5JewuB7
W/hT8UyMDbQyZvKQSZ6pbwTfwW4PbheefAe/C9PJkvsA36EngW2SwM8s38jvgPfVKjRnAdm1N+A4
Fa8uAK0DMl0SsFsz53vpA7id1S7oP5sJPkBTIuBPzNCmMtQdKCThCzn18jDwGvDmXB72ynY+GTV3
IwRq1dNkhNFuirykumpAKpNFvjRspen1L0wBbQSRIPSfEL79og2snkDuPgUTfAni9E1FvKxBU9Tg
BiJsE9szZ1OJFIIOJXBDwfMdf38Uj5hpaWhhA723ybpdOugJPy8ixu51ExBIxisWABsePZXI2lDU
BDya0VwDY+/OymcWvlyesfNAhJ0NaD//1wgX0EVNFCzQHk0duYVCOAQ/5NaT1LB/yQcg3XXkfbZh
usgPxYQUelZV476rwOTqTb0U79IspqKH0OohOfogLtBD/XWpYlD7ORGYXWSniZBPN10aXBsgHYju
rXhXW37cI6VmHGLqNIroA5iB85U1UEsEGtDEA/N0ZUmXaouBYggrQjud4uSSp2o7XT5Q1EtobJeS
a6F/c4QQ07tGd4L1OAtTvtbjj3VuPaRZm+lcYwuX8ibqbhYjsEn8Zs7uOD7L6FBt/LYRjHh9n/0x
yc24Nab1UDQYsBr8yNJvc3XItc/Lw1r1AeDK+u+ccnF1WcuLUjETUNeRm3cUuXPzdlggUiVS+hYN
hv390bnU8hJV5hLzpybzTdn/kCzZJ9G/Jp/kVonz5FYK/pJmYFYA64uAitU2o+kYoL41Gs+wBG6b
hWCXdiTntkurSClgKfA1y9042pp1o+v7qdjEEArrrqAWcnmxzktA3Og4j11DrzTpJdgrwMzyEny2
trpd3rK3cFfukm9ABW3SR2zINyqIhtfWTkX7C2TgkNgH+8fp2ulqnTVBaaVOhW7X8WeYQGVDxAsu
sPGFOTraHz1JlRw1WJCBpwEkjlKboHsWshaXp3AtkjoayVe258gKgU7NqNewkmfqIxlVDyVWeRhT
gOYFh3ftSkf8Dsk4oLugbM8dXihqaY0VQbMGolVh4+cQxphf+ri3e3o9BpvLw1qdvCNj3DFWMqpP
gwJjYzB6enifaBCuHt4uG1mduyMj7COO5i6AB0RUCCMGrj0yHHLdz5B5lwORq10dDcSTWMcxmtb5
l4/ZFeEyt7jCK8B7yvdpGO2Z5i5VvKYmnhk9ZJADUko8EQqnb9xZvY2mn00v+IzV4f75iq8859Fw
ATcYYqnCVxTJPh9/TvRKzR4CSXC01qyw9nzIUerg5v3KFhxZsSzc4XoKqeluudFS1zJvpMk1RSoB
azOK8JrRPEOXCoic06XTqyFqR4BzUcuYIJ792kJ/dEwEvEDnKTa4JxO1BKjcgOTu7OU4jwok1JkV
RYY+Tp/VmQa1phIMFaSGJhX8P3h8oMfbeGFq9gfTXCp0DoxzeZh0o0XPtZmZ9ccoIVcKTcUytIiz
JFHvmmFGPuQ2owkU7ELoK5a0kGu/nSHg5Wlm3nX7YVAneZPldEJk0miV5mpqEYoqm2uLhQZqQHFV
pPbOcM4Z0JdSH0Pgt1aIWwRerkBOzLT7+d+CwdhEUuBUAXVTEOlz90pVKWotGZjIugnRmJoYn1lF
RUQbzCfwl5cJkgAIDTAJIR7yE/RaJEEoF4+esr2OoSAaFpHAB67OlwVVLSYHy/TQuG03RH29LDG0
aIH1cKfpR4MeKH2iYCqoRbCiteGgXo9eTQZHQKPGqa0AdYd6BtUE+ghy2yzvh+zusvtbNYCMnQJ0
FAH6ixsMOFWplGUYDJrzcTntku79bwxAawjsWvAFX7mSY1cQJlNoaREYI0bjl5XJjgkdG8HT/uuC
41cdXcHosMbaU8gtn05T2ZC8bhIUFac22CixZxG8aHNX0l2VPoXJ6NbSvjAZK6DA8vr0/THM/v5o
dEMVgp8jSzPHqIufYBR1tJAIjs3adjseG3dBKW1mQkgaYwOrFjqTXXXyJJP6MxXctsxbns0hQxlo
uqHgocntBLSRGyaq7JnTGErgRPX7xJpGxudmSO6sCaQgWpHt5VQUha0OD2Jv6DTVsEf4qmaO8mMX
DDA7D3oE6LXqponxlpXg/pB+Xd6K69sE9wQji0cdjy9KyUgWFzrTrR8q1dGDvVHezvpNFO+I+lHW
W0rvJfJoDNvLZtkZPZtYHRcHytGyhvf76R7R4nJGUIAR6k10R9DQWfyqIT5qphtt9C+bWr0RwW7z
xQaggTLo1FQdaQRt3XDlUm3djDFxlFHdd2HqXTaztmZI9P82w0XsWav1ZYdOVYj7qoOtjqAdBOdz
DMmypM8EsyeyxV3yWgoebbDgY82KVzO7LtJDVt30IpHrc/A/u5xQdQVCESLqZyIqYR7PrYrb2MFj
5KNvE6eWe9vIIqSKNTuPmru0yNyyfosbkSD0qgvRv8QLkJWEGtvpmpXaEBk1wfaoOzzvWqVBQ68Q
9i0ywr3zE9kosDNgJB7TpzGQHw2w0l/eFKvbHHcVWipZfMk3CUuzYU2LhJtklvqPOox31TgDS2xt
zfFH3QyCnb72EAE46rc1bkCqjEc+4MqZ0ysLAmm595BytcPxpxlJz8Fg3Sj0+fL4zmEe2CLo84ew
L/r+IVPOHS5qqFIeSzBZRtX9CDySUsXfDVDgg6TIHiFYTgvF7YqqsgP1RbVml/Sa25uVZzQiEoX1
uf7zKdwBDAA2zbIa145FR6eWcPRuutrrgSjKRH2iKxNtQBUSSXPcDHgpc9uzbchS51/ajxME39tN
YrgRBUYKMFrzhyTqIBRZ45Y17s1uWPICxxDvZX35XocvU0hQp8GTybrSRZxwK84FlCmAWgBCAvye
zjmXtmroQsYe1zc1Nsj79dIv2n0zl9q9vHdW7lYDURweEAx5edYUpU3ghm/yIXNSqLI0j/q4pdJV
oaEfqrUbcJX1laAwujaPYPMiYCvEyHCvnjoVM++heBzgpsuWu6l2omK6Jt6uT7yhawVsCSt7Ee0C
yICj68siGOKpKVnSm1CucOe0vXk9Ia6wpx7S6hRQxCA17nTt3+otAtAFg2h2U1U0EQLgfmpwCcsp
SCW46mQkm14y7Q4ljRHn7PKare2NIzNfFd6j0K5pSUU7ZibAsyhpD8DnBhXxJyLwZGtRCWj9ASGD
ahs6gb7+/shQbdG+qxbGqVY1UJVF23BqdwWpr+dMu5emNr4341l9D2od+MSiTP0o0fsI3UJ6UTuX
x7x2DaIsa6EciLVkuKrTuZUik+Sdie7AJdlXaECnIxrUAxa726rqSzIcGuopVv3zst3V7Xpkll1f
R1MAHbx8GiKC+H2S7usSBzHSn8rI3EjWclcbCZTUhFKhbChcWHYyVC6upsEUqG2hZk5FPqbKm4YN
0XahtTesnaHdWt33PvdrdPvSZDcGgifkmj84nmbOqaKpTDFAB4nrePoRyz9G4mcL01e+orITWq0d
i5Ksognm/OrSBnVc6jBYzhLkn57r5XsO3hBSJs6Y/1Ci7eX1XPUJpq4DsKhajGbodD37sVvKkDWZ
djIaT9ttZ6DBzHTkIbTHVpCuPmdSYP4AOQU0hKNdG62Up8bScAoGKcbYVL2SkRuPAQAZZyiS5Rqa
mZXgXQuTykujkVyBCfBBAk+kOxqd7iABbOESj0TtA2ujB8gAyjgoauNpzTkoa6zqhBYadlZgegat
rrVkk7S+KaWbGlJHl6easKXj9/GRNT6jVyZq2FVoS0cb1W2vgK2jbkAc093DeTlRqbljnrhFQw51
5FeK+3+kfddy4zqw7RehipnEK5MkW/Y4j+0X1kRmEgwAw9efxalz95YgXrFmnyr7Vc0GGo1Gh7U0
zz5Y6QvLjnDSpHxSgDr6MPrEV7OND1sJOW3sDOrgSJ8tXLLn20L0jiClhlUYURfNG/YFV8Phuu5r
LhqoSJi6Qn7BwSTluQgATicAL1y8VZ7auT9h0KoFXRbmyNu5ScN0pP3z30tE8y2aGgG2hpSMZGui
QcXMqcBfN6dt9oXHHfJkypzfNUJN/SjuO/e6vEUDeXPxGkHrCnokANssLSIeHyZBJzMe5R3xI36Y
YbHJr+syVi+gUyGS9wVxQqcMCYQIQqk7sswbYxIUpu732eDWYtzNyKRUGX0cbZoC7OrnxgesVCGB
1PXvPi77fOL+Dd7nGuJ5BPM08+rmm+Cv1hwMKpolvo7aXZngIfFxXeaqdcIxwQJxSA0ZfqVUSJxn
LUynGACwVHbHIdoahV+1TrS+IrGKtBQaes+1UiM1n9FYg0n77qgUtzbQR7QdHR6vK7LqbDBBjG5+
FYgftnQGnFpvG6tenE1cPeQ6uWmS5nly0iDm/D6JW/+6uNV1sxFVArQOszByr7vSx0NfgjTZW4a2
bjurpkdrdt6uC1mzepjDP0IkewCvC8icBISY5ohZwcYlWe432rfrUlaDnT/I7uh3sLULcMYCwWyV
5Rbs3igf20H1MsoO6ZDsScTgUow9Z/R2MH/Z9D/FWUi32vCQMD7dkc41ADASGqUUDw+OU5Z+qBjC
TlotFEkEHNhyV5qfQz3u0KW94ZUve04BaPZH5jJzh7hzOYsnZ00dOdAVzXkJPei+rgAuMNp+nL7p
k7YnxLrp2EsbJ7corfjUAHKkZoBLC1OGGQKU3n41smRvcAMtPT+u74Z+EaL8+TCkutUlh4sKwfmH
tXEmarQzFyCVI51PeJzfJGataF5B0+xNi5T5w6EFPWBccABi55T7Le9RnwZueO7F/Ry5DQhYv1Yt
Ux6qSMsiH6C35jItnXPDrYexB3kcRoJBz2rpvq0l7CfPRDz4GinHn0WVgecratOwM0ZgywyppX0H
QoB5qIYpv51ih49eFLfzE6et+sJ6Jf+IumZpjEu6ENzOXXkE6w29yxVRb+To11ZGRfbQxutgraEM
LZui7GCnNsi/dsSatQDV3gNjbXvQ9br0J8eJFvYysfGKvDjsC7z1AlJl2Jg8QUPb+ZaMTmJn8wy6
+Z69RBXSDPpW8+HFSZckSPfpANidKSuTEglLhqj3aPGbaIuv58JDLjIM1KuRZMMQu4xzU07oZ6dD
Bi3UozL6XHwIO9TzwzRsuK0/Jnp2W/+RhCIa8GUUAGtJHp/rmR1PEaIDDkC53l9a1e0Q7svVntPD
7LFHYE1tvCQus1KSzMV4Ts6zU2m9sPBm9MbQ+J3fDoHjz7v6WNw3B8BshOZha8su3i6SQCm6Lcy+
tWwBgcoufipf02N+GAPmKU/X/cGK0WPX/llLOaw1WZpYQ7sEJaEdAr65C02oIzbCgC0pkv1lVYLc
/BJfjT9mP36MjsA7Jf5fIy2dL9mfEP50j2ItArgxpGTHCIiOydfOF0Ea2huVossLTZIj3SpcNXqU
2yDHeFRDse9v2wB+4b3YbQUdq8f2ZHMWx3Gi0KzZJeIDCLKU/Rz5cXuItNfr+38ZlSLgRdVQxRMS
Xg9H+FwGKgxC6ecUadbigwGdGaFMLYLJeors0KGgzfltK2Ftb2SzLoK2P1KXx+Ryfqk8vWMmPLJA
a1560UJvnfZuGu0bXAL11rldLEvyFVAP8LsL9h/yWJLlqQUvOg0zZV5n8aDWG7Qdfq2Vd9z6LniI
AkcAM7wjfIcOBz+eN+EHV3YQQY8DqA8QqAAnVxLPjCijRo0QC4xpQ8DCal8f9cxjt9F+ybfugHhU
7dTn+Ov1XV1Z3jOxUh6iyHrVSNjyWO1uZuER/Sf6JEATvfFsuuwpQzCBCQMMGizKAc/k3HiQ9BU9
qmFIkIsWzOxJkog7hAfD75QjHaEYHM3IVs7G705l8PtqHBgY90SONAF4yW4Ge2yfCsytxsB9m8vX
NjXyh6Yg/DujZN643S/zF/hW5DFVPCiBxHZROElLZi7dJ4WnPfI36paBrrmJrxzmmzqshau8dPvr
m7ByrZ8JlDYBDFRL2hgCafeoA5DQ3gLDWNvlU40kP9Qbce8QBGueqgeAsa4JSiKp4mWGf12RNSNG
EhhdJTbyzhfDJKQRDU9VxCeOheoHz+8rHbl00W60AK2sF57HCNMXFEDAKkrXelWKJhswJuFxZ/BT
gsBz9K4rshaiYLIXOBv6MvspP+IGIDYOooUi2oQW40CrAsE1t0NffqtuUZesbA5yJUvXlIpqFvL2
50dDKAYrBAbRkRxyRfXZjl/6OsjyLateVelEjHRFiGFoAC6GWGja0WdAymhe/WTfFl+ih9Trf1ex
m6euBjJs4jcbrvUyI4Zr0AEZPFpz8LYHJN65hoae91GeQ0P12Xw2boyABNl34/G7eY/8I2D+Dk7l
crDKul560L1pn4HXc8MBrZjM2SdIRyw3aao507LI1Yfl3GVbhElrt+OZAGkXMyUVZkohwPyhp24f
uakrXMNPNRCHBvy7tZVkXQuUTtdU2s4kLRKRJbDQ5MDvaozNAfx53hncnW8qV30ku+krKKq8N/2l
3wjRViPcU9GLFzgJNggp9MLQoGr7DpDaQ+r44qvhNrWrLobk9U95+PcO8mxxlyN0IjFBR6go0sWv
jJWrkCAe/7roL5mo5FLAA2j15aJTpeUHS2T7mm3osH7M/z0Ey4ae6NCAeKaZJ+jQVHFIdcDpjV8t
TECq4XXXtSoHAPjLRN/CbCUZoimQQAfsCCbc1MfZRAne+dbr9zRLNlzkiq8HacC/ciQDtECuCQ4S
vBRj8jCJu274SviWpS2OQYrJzmRIlpZbkdahDgWkkfgpi1CFK4MKxad42PfzndY+ptVBod+m/3Bd
nomVzA3pc0pSZ3EWhscx9sEbBVREt/rWVm0toWx0SY0Bbg71IufZZF9adM3quX/dHLZkSGY31XNU
aj1ktPHT7OxrgHgam3PTq94Vw5wAfMDT/SIJyTHHGRvo9vUaQFZz06dA+gIEfVF5tvIK+jgjfWuL
5w7Q5ZEKFtbihWxFHqtPLUwNoF8I8BPA75bMvu6ashM1zJ43oQ7y8DKsVGARN4BaowAhGlxlPBab
dFJrq4tCMbrvcRKW58P5oe7NxGqnJW3Y+qMfHdj3GSPxjUsxyRx/MT12pzyBj3iLymgtQl3q0/+I
lTY1I3qGVQBunrWz8a4cw9h129vR4+/Nc3O79Yxd8yin0qSHn23l89SqNjKU5Z4Zd5hJdTr0/QfX
DXX5Zvmsn0iRQelaWjqAC4cUs32vmG/Mdw64QoD23I1hVL5fF7YakpxKk0ISlTTj3GiQBkz33ejH
2LLsi32PEChzyx3eP9p7jHxR8vSs34A3M/NBbye2+BTWcr+n+/hnPPzkTqhHzvoIlMHe/OUzdfO7
eQ84q2ca/NIOXRhh0Iahcnh7uzUnuW616Juy0DQNXHDJamem5rWjIBQsWr9tW6SRPZs8XV/h/4+N
/itEstFhRtN3O0G3PhS+uef3yCl+K4+DHwFpfdjzrQhvNQKDD/pHK8lMOYA+tE6FQG2nFmG0G1/i
x/p9nD3VchV3K4m5uobo0VcRugMYRk4XYJzAoM0S76UVgudjn+2HrWfOuoh/sr0y/Xw9tNmQjnBp
Rpm5aNge89jtxMY1vuK6z9IeUmAs8lwhToq0R52ObuXcq1vR/4r3QPp1Kb5raB0GFcC5iyxscP8M
DhI4HZxwTn6PKLsld8nWBbCyWGdiJD36RO/TlkKMHh/j7CiSvRmF1016dalONJGumFkjThPnZemB
qsEfOsVl8ct1CVtKLF9w4g9IG7fIR0AJ1F3QX/c7Eb1rss/rQtZOprXgHKt4ozsL5dO5lBmdzpg4
gpQsNlwQb7hRUgDn2q2qe6RmIG80/bkLWP068tdoa0JzOYaSnz+TLgVXOdFFhuFCxKci23XUflYE
OqtAgR3rVgBgNj9DQ1PldLvrWi8+7ZpYyeelRRbj9Q2lZ/2pi46FeTeqH3r7qc8bB+pyD5E4sAE8
Bghp1DDlFsYSmLNWp9ggYq8VUDTx5r60CICzk43E6OU6oo8DPWEGCDuQNLiI83ve9NVkYcawwtw2
v2PAimuArKYflB6DtQ/VsFF8WlMME+/LUICBUyC3+Y2stDAAbudegXZ29TVPnkj3cX2TNkTILX4m
tyoa1RDBTL5rjXedW363NcKz8n51LODfAQoKDJXoc5DsP1JpjycSRpJmkLn8dphX/qYuuwWnUd+6
9ie5s55zv95fV+3SeZwLlcx+IswehhFCGxuzk8A3H7Y8+UpMAxGAqIRJoMkJ6fLzc930fZykTQQR
QfUiwsIrw2xXHeixOHRo1/WA31q92TvmPQ4uPWY7etwaX7/09edfIDnh0iBWpaT4AlsAsPpgaoHQ
Be6st+truSIGSDVLghEEDoszOVcUxwvoBDyFgvzVpLf6GNrKC99q0fvTFnbuMgCVBguhIKTFfOif
6O3EGyudRpuyKBGRuuVT/qYKNw4y1UNax01v0l3kF64ee9mdCOKwfKab0eHKaTiTLwU0TTFrHZig
UL28mUPVL0LjQ72fQs0tXp27n/bu28/ry7pyMZwpLJf40DjVlpkDgdGnqbqD4uVv4haMa4F5x8dQ
/Y22T3dD5KVbRsGDomEMLe1L7lO6UzNlIq2J9mE8oMhz9tDci2c0tFtHiyF9Nu/op+qh0yTywAm8
VdBcsyJngXhAKX/J9EpuwCSTpebgNMOQdlS4cxM9FQq/H2bSHVSQ1m+c/zVFT6UtX3NiTLltZjPR
MThYpU3uGuzbWBUvWvzhzNp+6n9fX9YVywGjC2YxcEGYmIiUVzVjSdQ02Ehag4RW+TZO3LXY83Uh
Kx7NWY6gCgBGcFbJOfJRHfvaphxx6dIN5aI4aD8iBHQ2rHJNjKUjWgEiEfrLL7YpdcrMJgOe2Ej0
gxCGOX8fyjtIXACGGeCIGFWUuwRSmpJSy9HoMledr9lvGC52k62xurUtAUQoulAXWRgFO99/wy5S
NjgotBHnUXRhwX20813fkJWIwDEAAQBUV0wvXRRop4SWaiN6tKVEYT6/J+3gZpj6QZlWDTE7huJC
uXV8/7ADST4SNw6qJBjWglZyXS+ZSUmTGPMhOrrTZ1cxoskrIyV6GHUbdm4nyKRhMZnh2Y7gPh2S
wW1UB70rSH2BXAMrTzrPGAgy/uncDYdhIMZbGXV4jaSKYPuM6fnsCx0BlQKW92THhwJYxwLB1bFr
B35EubG9b9Qp5rfMTo0Ha7Zw88zTHGr9lNxaWql8alONUYjU6Q4cBzH1VBUTnK4xG2qDwZactG4T
U+t3qdRjOBvO9D0lk/lYd1H5nJAu/8owSH5rAPwwNCHjkTmxdcuqSkv8cqTixigs612gz2+n5VOy
zFsM/eSrManu69QR/qwUYIiYWkV8Q9yNzmMtVkGoY8He3HYABNRQtf18i960IXqgRNG/ZCMF/9FA
ddqD6CapD7aZTG+Mt0lop4LGbq32GIIYcmuXpPqcolhdMwD38gkNojN4c74UQA97z5s5eqz7LkXf
mG02gCkimW+zaWhvhAE8MaSjk+q2Ynl9g23U40Cn+fRLa7S6dOchL19SrjGkz0xFCauuS393fQPG
IGK3FZJAts1zpNsAFqQZQ/9Rz7FIXJE42Xc1bvUAQ+UGmAOrQj8aSYesem9FW+O+SxJBNj8IV5F5
xKAeJkjPT1WKWDUhTY03fzl7BhhTNNLv5gwsNT3zMMX6KyNbeQZtzSFhuAalOgT4cBiSTFE2TRL3
8HvkGQmq6vheg2LCLe8MgJ3ei1vQnTyb93nQ+Pyh/J4EDsIwbWEEvX7YV78CQ+gApwXQMQZozzU3
o9g2qhKHXc9DC6jVfNyMP1YuSAdILP+IkK4sfYjG2ukhgkahyV3tbvK+I49su9oDrXz9sTmkx9al
h62LeUs1KbxjVWHX/QC5sY7mnwKzfNXh/7Z4Um6qn1QOlJHFU+J8den9qD1eF7AWSiGkQFyBBuA/
jenn29Pj/VFX/YTYsdbIpy1s+6NKYiQRG6dC1YfOXRGWEQUeglFaYnb7JEo1H23X5c821jPYb9rd
snQQW5Nva4t7ep1KoUERR+MQG7hOB/5KENJayUZxfs1qTgUsH3AS6Dhtn9ca6Ny8ZtDecq3aNRRw
7hO7qbT/IOn0SpVeG7Ss4FEytGF242duWn7Gmd9WA5pYtqAKty5vadGUmtdsILi8u2mvtjcdntpb
yPcr8SEGJgzEoxibMC/G7lMxaQLeDNFoXoWlWYflznoGunhgROruunFuiZLWbayVMp8Ict8RS/eA
9K8KtCX2fq/cJX89d2QgtDrRSlq4UbVjkUcoVGBE0O8tEO4ZflG/GUrjV8Tyruu1dhmAcA9E0aBl
tcCiem55TVwL3lEs4cC8tEtdlni6saet7prjYci2jGLN0E/FSYbeqbkxVaDC9qYS1X7hT8rvSLii
eLuu1UqRYKGbQGEL9ACGZcpjC2CVaZOBCTwDAx7Ye/r8CzXkH7hyWtSaUlffKfvhlu7Z+0D9rd7S
NcNHkI+07cLMe9HQY/GRm4UJ2QnpXfR2O+gTUec6uK7ihhT53TkBQsdKJ9yoWVK5ToIR1SeLh9dl
rO3WiSZycqScMYGUT9DEZKa1G4DfhgKhegdcVRVl5Sh7/r+Jk85YOhlN0RUQp+s/CvsHOBYxfDa6
Sfb1upw/yVo5AjrVSzL6rCkdlSyvsPQbfVGQa3TnI5JmuDyPdoCCFnBX7p0w/b4hduk0vxCLsANh
ELqjgKt6ftZauJA24pilEbhBSxNz709ce1YnpHFTP6nDftrubFg730uDpLlkCjBJLalKEzUZ4mWy
Rq8r5rFZv605f+YDK0F6fi9QZCZ0o2tqzVWCe8GCigq10aJ1riYi4UG3l7lQMhgcwJgPZs6B3ZpW
yoE5zTsYELZq6asSl95+lNJB/CYTPVm8N7omx1VTT4WNfgA1nff5kKqfWh6RxGuMJip2JUZSNqoC
K3EB5k8wIQn0Xzwr5O5ebHGVWwBN8KrEPNT8zo6a3XWbWTnlYO5F8zBoDlCnk0fnCBquHYOjf1jJ
8zIwZyXxrbYb0Ylo/7ou6WINgZ6EDlrkPxYoAfyd7xoG5CZ1oLzyjL53NbCc8p+t8WimP6wtcNsL
r7JIWhi78f7F9JC8Wzzjva3WovIEIFQzpff1dG8hYxZtXAIXpi/JkTTKOsqREYVGug2yVp7/cDBZ
CyC0MC/ohxkZNyzfahjcErls50kcZ1cDMlYzROKRAUA0P0meugkMxDUwE34k4LS9vmfrK4k+QQAB
aZdgHhMmNwvNHioUpVAtEfdsyFyRPpr5Xwday1KasIwl1YOSj5SImUGGpSklBHXFV7O8I0XYIrdQ
0aAZ0g2dVpfwRJR0CVRspPaoQ9REANSkuVrJg6K4iYE5lOdH86972CTNJP+op3qi0HZZQsDW5Ul0
Gw/D/vouXQYjkgzJEEtwu6UGX1Zv+qysp0kF+MroOtNNn920c5gPgHFyC7ZHPZyYk2elrwN9svoH
FKrQPf+y8TXLAp7dQtLXSDaaabyuFQNf0wpANN6CvM5FRtIV6BNn1i2NWldTQoxFJlWwSdZ72W+w
CEdOErOPmHJHMfX8gBCryWOnmyp0b2kfOcIIwA/eEwBBOGq+myhInyt0BbWfFS0Qi0bl1lYsv3+h
PAAdkd/VwHIkX4d4LUxDShZwStXC2BlakwG3WPFXxUKFotT3BH1eooy+GVb7bigbF+NlEQ3ag1Ue
mRdcVRpGXc+1r3UurMKB9mL4OlSWH2mAyHRKz4ybt4hqB7u2AzaCVHgag9jM34ehCiKrP7YleO6u
m8Ga6zj9FOmYmZGpgz0cCwG8WhYngUJ/6cmd0sT/ZcVPBUkHDIygCp7kENTYzCvyN93ZaQoDe9aL
hdwmwVNXdG7GHvRkk5f6It76s9zL1Qm8bgUphfPlpoCqFQ3Fci85EZ0FpvVTVx6BFZ+NZpBnX5Lp
vtSC/7Ku/8pc3NvJDTAbOFm8gUxAVcxNoAH0pPCtrBx2bZGOH4Ky4em6xLWLG4r+r5YXkHdibnlh
IIgE3Dk40aMGN7d9V6XPJa08pHT969Iuwc//LCoGEEFAgahH5pAqALhSc0XBbyeOm8yeojyaRuEy
+8WxvmcLHRvY2433OvrC/xro6Fy0PPXbjcTMnQmi+2YMATdScu6XOnLg+ZaPXLWchV7OAt89ggTJ
cux2JHOrQVJZvyVR2E6eFt8h0wws4hv0tdmzN28B7K26RhSg/pEpWY49z0Wl1pBpgWk3t8NCMTwS
HZ0sJOat1ezmKLCIn6rfNjZ0OYCySzyVK1VMU+EQXqiQixERr6WHtr83LThCrx+OJUfneO9HRYjn
CYY5ImtrBmDVD+EthhoVgFsBgHJ+XtQum3JaGtVC4/fKhwwg1iC+Sd4KskUUv/zShZ4nkpYvOTmZ
/SgKZRwgqQbKGUsSXxdpyMhfw1jDSJeQHYDBCynIRQOaKkbguKhQiCDFbmdZ7DoxfE5lGJ+5yjdG
GtaWDzkOHczQ+DdkQ3WatlSJQiqPaJUHLCCX9gnQ95vHyNii7ltbv1NRkn3qqMLEOsozSGuUrZ/r
gFoFxaXlM2sLxPPyfb6s4YlWkknaABYQooSourrttE+NPliAS2yOCfuBupYOUm/1TY32mvha50/q
iEb93fVDseZTTz5ATq5UI9qRMP2FMKH+WZY3inNUjcxztIcy3armL8smm+WpKCkmEE1kdDSOa6+b
7d958pZXGO63hM9QhHFYEgqj2FBuTSIW+J9rUVrdZE5ZKZYLwzR+ZuQ2Zy6JajcZPV25y4qtA75m
Nv9Kgz89P3aR2kyZxnD/21V9k9bdnnURAs5f1zdsTQp4bXHiMIxqou/kXArJLJJ3IoJxVuaBdvyV
s8RvRBRcF7N63E7ESFGT7iRFqhoQgyjytq+NcIaIdDT3balttKqt7BLG7zFVieZFy8JYiqRRWvyv
Cdp06IIiMqg/KGWLkQT7IeuJ4pvtmLhoFG034onlNSIZpAkSJWBca5BvyaAyFeNWUpZJjSpMSp50
XtoARnXEhhEuRiZLAYsz3pNw+w7GBc/Vmxs9qksdD+OyeQNnkpIep9ntok+HTi4ml111qzH4sgQJ
lHXkudHiD9zcBWTrXGJTC4D8NUrtpQ5zdQzRFVy4fLa9iSMVN5h7qs1BqhlubpKDzlXXtuPA7NNd
PwPcPB7u0wp92NYQzJb9otSq6zjFrqB5mNHcZxX1cgBpXze3FRuwsAc6rBpBCGKD80+ec+QTCqKC
l8dGmFy4jRNYUdDwj1hvwCewIe1yHGRpS0FrK2oBSFwDx+9cXOsgoaAt4uwSczXfB8xzoxxlmY/2
vFeHYOA7YnrXNVxxtPBDNkBAUdzDnKP0OjBrxzGK2ag9IDL4aYwinx3U8X3rHBsj3dBv5fDCACiu
SaAZLd035+pN41A0I4N6qMr7LEK8mrlF9rPsH6/rtLJrJobhUXXA2DZmnhedTwINW1QkzQV0Gvud
qSFXlxzi4UXL8cLs9zY8/f9N3PI5J+JqtZ0Ve1nCMX6taeKq9D4TX5LotRqEW/6XRxW0w1D6UtoA
W6K0iiVr0rFTrNoD6EzhgES7d7Nc9TvtLXXczjzM9V0duddVXNs5G9uGM4CjANjacxVjjZtjUgy1
J1q/B9hhVfyqppdBaTeWcsUaAWbwrxzJvcclBQOJCqdkOnsBpFbLNYmB2o1XsM0uoMWyZQeIewq4
WhqagFB5O9dpise2NVLIstWH0Xggo6chHQFuP94L16Shrfo1C1s0bmX6zhG/rq/o2lmHcUI00IDx
JxPmlZadWeU0/jHSXvmRN5+2GWpiz6inmGhk4bti3DgXi7e60PhEpGSoSR+NVWdhFy0QSswzfS71
rQGa1Q08ESF5sMTSp8EUEEGa5NiYbUjiJhRtemfmxVeRTBvd3WtvttNVlHuvNavomNNjFe1m+Nkm
X+xCAU9b/AUZxRsQXT+T2Akp0r698d45W5HV2lP8TLp0LGhN+4lRaJt0h7wJmgyIT+yJ8J9R/OYk
x5o9gxew1V+YsfHquOzUwF16Yj1UOigp0bRqciC5bTKftKif9cnRtLIvrVW/dqwIp+Fp0pMdiQWQ
8J8nHY3AxYY731x86e7IdWuqB4bFz5ufRfTIm8HvqVdmX0TjFeJQzXitf+22Gh9XfdFSVYYrQhOV
HLhMU6yMlQGpiepX/bPdPURDmFUbQdjaHQIEpv8nxZCi5jyLeE1MSDENREgcsUo4q3vN/NSW7reX
685gJRZD2gjMKQuIC8YvpFOT2lNlqED88qjzSqp8Z7G3iZLnVgEOZ20dMxPd0+YWAcmGUDmZAwQb
lQw9hIoakDivIKvLkHJIwN+hHO04da0t/rHFoUruByOuKIQCLQ84ZPITAUNWNNZaxH+Y8Wa95mrt
YULv3fWlXLGOMyHSwTBLq4x64Lp78/jQI48DpEtQn2D5Nm6qLWUk20+Jo9Y2W+Q439GzisoCKqxb
uJ0r3hThJyZXkMXAgLJs6lWDScQcpToPlVWjeKN14MwBiE2Rrt3anNV1O4l0JX2ohgGIWoEoFn2Z
xa9meLbjZ7PfeFOt2RyAdLD5aLFZOtjP71ynS2otchAq1WXi1vmBqq9J/e6Mo2v2P2Z0X8Jn/L09
IHRHQw+ueLQcSkdraqwCzC2QiI5bl/QRuATiowq0Ka3469YaRO8nouScBWoOudnkiygA2gMBaE+0
r8BIdOfaebiu1CU57B9ReEIthHOoCUoRbgcoMDbGZu1NfVv8rKK4/u4wlbwPWseeO1uLzGCqixiw
k0lxLObZPloTILl3qkqTQ87tunadMTX6B3RXqzxI56QRvqKXYiPiWPGiKGRrIKtHfzfKTdLqM3Mc
Oz7ZNWIqkGppodU9mAAjKjATqteJO7Qf1xdm7cCg6wGtABqiVBTsz+0rtjgTrIO8pG/cvEZn8MeI
ANJSHpw02bj+VnVD2RdFe2TiL4obxGhrri+6zU2rAmA2mQLNZndtzDBnObP7vKjTPZTfaHlYe0aD
kxIlvIXq8/LFlhR6kyKpyTBybkVvDmgjnuzYUJ/ndNRUTxdF/zFYer7XjNL83ZicfqNjIoJOAFjQ
HVHzOaCJ2nzHgyWeXOCHOE9Olpv5jtTGMPhWI5IkaIWVfzUT0K2Vlt75GWnV3/GsI9+hqrG6GYqv
ZPuB8IyZNvBtgT1KboiOGHBUhhzNz6z+0Iw7jYIFw3pk2qOmjX4y3nRGgJLkdVNZ2b4zmYtDPHm1
GfbcCsPpmEcKFD2L2S+nb0te1SwKt0f7bo9y/nWJa9XHM5HSqR2nIR5tYxHZBgpQuYwdcLyXGqxq
75kKkDh2oPEd8kx9E1bskdG36x+wrjLAzMCSBJ8hhxm4bIHZVHCgLCp3rPa7/snpUZcDRjJqDzCG
69LWYlSo+484OcDIMTLEIhW7minoadT2Nb2fxIE3HsF02kIAEFlvDMh/KPJYP8d2i8Nt7YV1Jl+6
bMCpCnSGGOrG8yEDfXT6FZjUseJN6Wui70fzncXZhs4rUcGZSMn/gLMbRYllhTXtMRG/FPAW8t/X
l3XlCj0TIV3UTIhiHhWsagKS4Rr9GYoamiiv0nJfzn677GxwXeKKUwX6FaBCdCCkAQ5PWkcyqHSY
9RlgxvRmckAJ6ri0/Z5GO3tzz9ZE4f0PghMDUKuoQZwfStqWGMWJ0Qk7ks+68k2Q8Tg5kOxKd5y3
WmpWIh5M/mC2CXGVSi9yGkYPNB0A9YAHt0QVszoiNg2y7Ido9teXb80OMVWCtwR829JZLB17VShW
JAqVeQY30b9c2QYvXKMwEn/o+np2p07REhc069XRIk4/+GWGcSG/icdyo/d8zTxVgNeCoABUlxcj
qCJOIqeaMthOgyGfGPiuGKCPHHsjNl7ZRXBiqOBtwLirCpM/30XFUJxenXOGQqpbAFFZ0Z5ROKX5
d30LQXTtMAAgQ1cwOYYUvYyfIypMGRmAPvQcIF9Wb2zKXKW7AbBeScZdWScHXHwbu7lYu/SKWSDv
gOpJQdyI1M25cg5pW9aoNa5f5beS7xDSuipPXczoizEPc/pR12+x/pZVW7Csq6v6r2BbepGOjOdK
r0OwQYTXcIAdED+jD2b0TSuE2wxhGt3QZmfO+5R6nfHQ2u9p/DHX990mks9KIul0DWSPMPZTKbiF
TyGk9UwY76CikQgstMq3zO48vd1r5TGe/WpyY4LeZS+qxv/gafFSNjCugsvsYvLA1iM9NvQGP+3Q
IDO/JAnwUuqPjc1eC0zQ17fAuNqIQWT0AM3utTKyIEWgGjGEhfYtKnfOYshtmE03bSY8y+Ybql3m
VRbCC/VfuoblGJ+EJjWok0lRAqUlJmVoVDt7/oije2Pa9V0c8PZRU14c/Tc4wq9re7GrktjFYZ6I
7dped0odzbRmVocEOU9r/NuQeZGAvitQJQBVFc3Q5xLaWI31rsN80dJeqKuBKl4zsjPInueZV6Rb
02YXHh7iUGrA9C4OK/qPpIvLnAE77yRo91bVI+4wL+sNr8s+a5JuOIW1lTsVJF37HTOruLMxi2uw
6pnP1Yu++Y69cN2LLgC1t1GLBJLbn5HWk81JjajQHYGe7qR/d0Cw2gAqY8NtX4SHkohFyxMRptIX
TfmHTmh4BWuGnQKS0TA9HqPd56HZantZ3ZwThSQjpzlVmjTC5kz5jYpOSGIzd3DwQtlqJdgSJJn1
SNBwKXKsXBbdqM6rKO7a7slODtcPz9r+gDcVs3OLpzDknvsxm53ZWmaG4sIBIir5YKzBmFL1eF3M
mqUtrSbAkNXwL+fQokQxZ8OGa3DyzLhVIpW7ca9mr9elXL5UYApoRKcofRsAvJebgpQ+syv0y2I+
g5NP3ug7jeguAfjuZObuMCbHoYMPdPxmakPK4yDGkXJY7BXc+S/OEAPiOkokCFouIPJ0Zg2YMsKL
oZ17w61SMbo5pkZbowYFQ+0NhAIECuB1LHW7bPbq2dr4gsUpnV34f9bi3w+QjoVFm6K0l1EYC/Qh
FQ9z+7YCTgno1+NSCdDLCzKqjZO4ZrKnOktnw4wGvO9jdC/Rdgz/h7QvWY5bB5b9IkZwAKctOPWk
bs2WvGFYssV5nvn1N6kX77obzWiEz/XibE6EqgssAIWqrMyo/WgirxgUe24/ON95OZhu+cbsDTU3
p0iX4NukQtIiB09pOYDIQq93ATjgKZ6Qtt5+KHPiLUjYWEaeo/CAsKvX3bm3TH5Mkl42hmWBG4yk
pbJHhowS48+sflbaxxTetYBVJsRrOk7zaO28Q40IhSmw/AIFwayyoUxhAiV0HKlSvAl0k5oFmPvj
p9awYyApe/v2Yl/lb99x9Nccs9ZVAXUWAerHVhDOP/Kpcnqi7coO7YRF5FAyv26bW40hFXnLQjeN
eV4mCccobmyivAGxyM6wpwq9zOMsevHESwZX3cK4JAhJFlQ3m+yH0Vx0JIKdKntaNkVfeaMU2EZ1
Z/A02lZNmaByAipHBHyAuc/LOgu1Oq5wFIiSJQYbRbCzwp38X5HCKbCuhcYynq6qMjrtyFkur8Jo
Msa2gyS3JbVOq9qa9NAnJ1Eb0Cs+NC1nt69dHefGlh9zdu9KUQL8tw5jed/kXh9LIsXMUbuVO6Xl
xCDPFJOAJclckUyCKWU46tNnKtxDdoxjYy3wQOCCDA94GUwGM19JagA4L2IERNmhBtuh2wwWj1IW
gIzkWFr15szScrqdLVwM7aHZLGApwMSUoACz5B/7/v32Plo7/s/dYfZRXPVExOQesmIS0Qo0bFVE
JRWV9OdsqmgznqrKuW1xdQFNAoAgKGjwWGeCD5dN0OUT5vzH8EgKtxS3EUh3Yk7U8awwUYcXnNmN
FayAEsSkoP34iSLoLpLkUxry4CPXjXIogWLH4rEGf3AgLV/y7EuFwA1KsYH5/QzJQp2DksksqVal
tCNfeipsQbYu4/pRd0HXQwREAv6j5lzjK1t6GTsRF3gJmq3slh5LtAHL5Sfo5EvWHQBZSnXbFzUV
9U8Q2XNCc+WoWsbBAK6DaiFaNMxGQ12pAJxUhMNqj4Kj4KIA9Uy0cWMKxT4LMG13O2YIFpC5yJeF
JbjPIGd9NaY4S/XYKQq+5ixqzqAZDmQ5b1tY2WyGLBNomix1QJCHXn5CQLbSqUZ3Aejjn2VwBHSF
ximHc59ng4lJkkaingFnB6XYGmyKPxNdOEjG6N72ZCXyLzxhvs0QJaoSlIiEOkb1u7FSUIIoT1Kr
c1bsth2Ma1yuGIhlUB8DBbwlkp4W4imMIJ2MajSP8u2bu4X9+KgJADaI/5g6S6ooQ8K5Umo8q+ca
tK+0q6cyoSGRTNuXRvS9TKMICyfrKtPxQfW0DYdx2I4NOCGCSMk3JOqAnZw01CbTIUzs2agGbw7D
2IW17k8uJmJEa5QM743W9DMnqWMIEUbjHOg0mxJ/cFrsOn3TQQZXhO5aozhJWsqAbs3jD3+Yxfc4
aIKDGZXTzzFIdf8h6WTlnaA3ZhehALHNQdQDz0gl7bcfJfO9nsqZbAtGn3tlWeYD1cZgiNHRrzvf
q/1W7w9mnQigzG4SKfSkIAh/1EAd/RDqSlGsvCjC93IypIgKgZ/lltECVwXV5dwd4jo2OVt97WAB
inahcACEAaMHzGcucQ1mEga8/Rx0FKpXI30tyWasDiVx0F27HbxrW+TcmnxpLYi7CHBuWAPgiQJj
jZ42ZvdQ3LhtZi12z80wt16TgGXKnGBGUn5L2UPiP/bdZ8VVT17Who1cdKLA+IYc1US+delN7auh
qYQaUv/qs1RsOfMUckrCGMRceyH29OJkVvea9nDbubUXByhk/5pdvD+7joY2DFK8B8ADoPzue5UW
2WPaJFTrHRXDmCI5NYLTRpbQbTmGV76eudTFcXyCWhhA6EvDRjW3gkla8L3r0Scpfs49yLnUh6B/
6SAYpAWTY+BBECTqdmyPcwLgrwZAZ1jsJkX3bv+WlRvq4qcwa9DWRgrRW/wUMkgauvGqLaggMFda
cOEDmQEyLc4+WUmk4DhuKAkIcBGjRpe++5qfRyQbMgwaaU9FCiyLUSaWmvnHTii+oDO6aabmqSQ8
Kr5vZlQmyM4Ns/qDaiYlA0iDUKAv5q0vpkh2DGDqW4G0dxg7HQekQEm8j2cAB3ZJKPh7Ebx3kQUk
QfjlT4ooWG2iSRDZzPp7UZ7iTQz6ioISIUllOnV++x4m6vjaBxDjpjEJq1049OpuEsX0XoxxIecB
T8xxLYSRlaLLAkpRsBiy6NU4mJs27Efomgl9jyJ4dycajYpTgbwD6584dZ08oyJzr6YeKEQUCsXO
r9sBdD1VjQkrPJvBWiPic4KG4fKD6oGqN6PZZZY2vail6IZS9moOOe3j9MlEWyQwRMxg9ZbU1FQK
x/sIkP9WjZ5a+Yl08Z0vPY+YSBUUHp/rytpArwusizr2GVgL2bWBsrJCarGCyEcO0rlKaWUr0ucT
akvUL0KnnEUaTx8j1BbS5tOv1KfbC7O2ycF8A6VN0IOKePBfrgsJdXBmRiJEboTshwIQptnor5qU
/nt6AZKPpSqGMgzeCuy9M8SjplYI62mYqQbR10XzI/QyzHLf9mflQy8VRxBNgpUCQwJsu6eR0AGW
jAkEPvL7iJc3eQNksJbsbN714gvpXL+jIGFSqpGmUAMBE2AabcNgIyoWOLU4v+Z6dZdKPsoaEHfF
pasxOaKYgpEUGwvlOBX07yEQNpj04ylprZwZ+HI4XNHmMlDS1ZZ8++yGEFITCW4IfVvbvTs9L/8e
PUqtnfU00U1INxtO5nt930JLTcUMBlgBsa9Zducu7HVlrHAjBRDIhQj4CKCp/Dq2HNDL9TPh0gxz
6CN9VKpm0esDFwsdyHEyedxL19fKYgHvnoXKSkS3+3Lh1HSKpEyFBczaO5P4ks92kmNMZ3b8f+bD
+z5/8KxEBxAILLabpGmzj1DA+ZOYcXvf5hHkt9vs38FJMHN+mjBrBmYPtdfaGsKvlen2FVqtkzCB
4iY8zv5X3UTuBEghnfGeGHk1vLXFRP8K1yUuTRzyzJVZFL6kgG4TJyyezFF/hxbrkhz5435O/hko
ubj51xaLXowGoM1C6A9bytyCnMEA+dleifYG77Wy6pOqoLIGzByR2bpkEmqobQN2BoaWlkpiQcEN
003HtP2ZCx7n4LpOL+HTmS1mF489aUCdClt4vCIn/yNKyMk3ml9YRP+YUeCOiFsobj8+3za84iOe
YiY4NqAfAReZNE82jajRSZFbQ/YVgDVWznEzEyrGO92Mnf9gC2WGhWAK8Lnvy/D8pBrqLAeHYG6Z
QKZLxJNlTyxVTCR0tP33hqqE2Q70ppFzABrPpq9lO1VyMFWw1XgaaMgSEwUwCbMqnPVb6T9dGmL2
XKlMtZaOMNRl+yS8m0tvVH7LhgOCxhz99j7fo+ciyq9FsTUap0s4D4TrVBXmCXp5uPUwqMbWinLV
TAMkoyBJUQdbyBqrjTRrWPqh+lMO/J6s/E54M9crN8CFTeZeU3CayRmBzZmkrhm7UuZvdGWntryO
Gs855lApq1aNy7FGAx54UDDjw6mJgpxJUkF2SHorEt3IeL8dpNdv5IsFZacpcJdDXFyGc7mOmtuu
beyZ/Jwbgke+Ncb19t+tIS0VQQiGJxYYri7voGkU+xpldDz8i8hRpspK6oOASl8C1oqqGyigNJyk
ZG3Dn1tkPp6qdphN1UHhIEil14wAkibWYGhuFGbgguVlJ6vWZLxg0W6RQKzCZH4AqsRhUsM/DD7Z
U65TFVod0VTYcvCaC7xH+tW3AzwO+pcYVFuSTCRdl6vpD/LQd50koN1qgfVaAtthqMkAdd4Z8QNe
bLe/3VWGsliDvAskIZDeXV0PYaTmTerDmmD+arLAGggnBfq+yC6eg4wF5lLwQ9JWRYx+hObNn9Em
3brz5o/iCbvyNbI+eppYQBLZWFz3n8VPYFnTcaQAc4jk6FsK4+yo7otGj6pUF2gu4iWE6kN7bIrX
GKC1BBMQGSbzh3/WrWFMMh8vzUBd3ssIj2D6maLLiYmiIqZ56pbSr97A2LXP2XtX6TljkFlduZvb
Pkfdlo7j0ZBdBUroUuTdjpGro5KxwVyv/hzMmR7CRogj2Ycu5dBRQNUrwvFlLRbxuEKlBoVORCNz
jgD234RyBDt1+ZwqIJHmiRqtL9ZfA8yxoSXtNGfFYmB8QkVCkh7CkZMe8HwwL3dvq05KnLQwYYTg
ywUN5Ex4McYxwc5gFhLIlbJlmRpg8EjwKpqc77C+TGAMAB8ChN8Ikw34o6z1GKKFD3GzwPDq+lHW
Hm/H1Pcxxh4LGoabUR0xQGLJ5jaDFmqC1sML7UX23jA1+ZqC1t+TvGSbe82GiwpeDeIze4xTVa52
olzCXu9KT9Jb/yZbj4nlQ8vh/jAc5INui55uc5yU8bVvOclENGnnJATADCsZJHZQqVZd27O57zuo
autU00/hoioAOGvS2CKPSnM1ToCzBhhPRR2QpQSWgkRL9Boe6/5dlZ2M5l/f0MuxcPb3md0U9H0f
gywDV8ekWUTpncmg4nyX8kQxeH4wW6rSlECdliOuqFOaSRtf5CECrue7Ll1hsb416YR4CGACdQ49
sH9GD/Oh33yCIDf8yvcp1dzMLV94ondcs0xiEflmNI8DzJqyNT0+ZF+iFdEMGeF+eP8x2dn2xbQz
lZM7fb9ir4ISn06CqiTSDPYF04mdIKKXJNDZpNVO/ZS9yTPuqq/Wfr6PUzqdQuyFwK5p/CLueaq5
1+j8ZanPrC9b5uxSBs87MBE+tsSk0jl0ileoG9d09B3Bk3+EnJvrmw7q2lfQu6DUAwQLizkqskgq
5iUFiA/VV/UqWyiH77Wt5I2PUH3c1RQ4mn0iUl7Mrrq5IIqhpY5/kEC+dNOI53EeRrg5JgXVVLtE
myE+1oqlTNtStWP/WPH6n6vOgmcWhxwoRlCPZWw2id93pQBnswwk4KKTd7Ty8r36iFnAw+RiMv9h
2Ixe7PwztgHf9Nwwc7ZqTdVWvQjDiXlsRTpJzwS4xUrd3D5O1w6CczPMaYpviT6BDDOi/I75NfSP
/tw2sJqrnltgjjRB933ZB94TA2pWReVd6ZL7ltLg0AS2Rg360mxy70HZqve8fbFyPSloZ4oE3DAo
ZLBDK/JYhupcTwKtmhcJvZoKJPjbkTeRtnKzwwougwUqgZk05sBR4sxU03rGOUecHM2TsE7QvuaJ
fq98JxQtMBYuoioJFApzYIt+rStdDknj2Hwx9Qcx5Az2fY8tX+xqVCDBAYzZfWglLcpCl5urlyoV
k81ZaO1H27CCjXlSqOHFtu9WtHWjfeK0++yBWIEzWq01v94PnnrU8NLIaXbfnHDW7H2HHI+zB8a1
rUwD+yW1bofS1UozP3FZo7NjLjSiVgCgN8T0yDEZ9onmKP6/bgeYwDfEgxtUQhhaZ5a5DzBdDCLf
0Crjg5g+EoXz95ftxK6yhp6OBmCepgOGcumC0ItBlA1FaLXKl1Q/De1uCF1QQoURx9BV7C+OnBli
1iowfeyLAEIMMqazBn8X6T9J6nDJbuRl97IOfedCioKs9mqPpTPKkkrRwSFbex0pqGcPGHY7/ixt
ACuswGsP0a63sm1I46P6kD6a28xGBuAJz4XDa5pd7RFA1kV0wFC1x3Q+uhCXi6tkObjN8iG0JPmr
jewOAy+3A3BlUS8MLItxFoBZG0vaFMGAqp9m3w2zbQlEKg+3sBIj6Loh9lS0BSDpzsRg4meSr7aL
leou9Ruay5uF4sJI0VGxbzu0sqPOTbHS39JoFoo0wtQ435PC65pdb3Ay2jVvUA35VozEqDd7aadF
SIauVfBRyCcpoWOx9xuoj6GlmnBCfu3zn1tibsxc1mbgi2CpgCZenKOLzR3HvXp7IMLOTTARZuaG
KBYlwXq5ukyjhsqOb5dOE3gTmBlwbs6/b3+g6ycdY5EJucAExikdYbEW3EVmgRKrsvJ9cKiQapFP
1bB4YOjrwjVjkom/VphxRRCY7Ha5cFeiZWr9Ma3REt8gIaBOVMpswZ68246uRCIq1Yh3oBoBLmGb
h+0w9AlpVPCOokKXvBDNiWsOIPq7mcacVbCBySPwDhAVp9bl9lUEbe7zUQut3q6OAdWpsdNP2SP0
7iyw73xpNtTdrJYmh/z4pTgDPQL2BhGPjP4aaPBx29/rFwMmSM9/DBOtRp01KmQcQ2uyYuicmqFN
MLBvzwdihR+t47s5HSursH1LplpBfc59v3KUXZhnIhnzWb7R+liLVPljEBqUKq3ixwL87bf9vO5C
M34yARwvmlTNDEOTo9CMNsfalZ30GQw6j+1G2szeS28RF4KuDrHbo+mZu26D5gxn8nTVXQW8DHgl
IZPXmXvXMAYTVDdmiGlPO1YgdWBrxmnmcd2snEDoFgPvDGIgsKKxo7xdpMiRNneRpbbAtDxH2cvt
xbx+jWAxzw0sP+DsAqoD1POiFgbazwaHnEnTbbQPHGMbfsxH8aR6gZWFjmNupS3H8tr+PLd8tXei
Sq56WG6cIqX9G/nqvPkEuU7gnO+En9WhiXCv8zJ43oIym6SXuzwEuUtklYnbZPdt+XXbreuwWIa7
0Zr+LmZfpXtRCKHHpg6AOo3ldmP67dEgc7NtCwBpqzHkwceu30JoCCw9AfSMcQIBb3T5/dJ0LpOu
R0EkVKzBAdofU3CtPfyaqWG3mVPTyY3pa/KMkkFg/RbR5eFsx+XsvjwC8QMwxIPzGzOshDCfkRij
AB1O/IA+wmGznHbkFNwPlFskuP5yl4YYTysSp6kcwZD6lB6Ayp0pkPLlPtpm1g/5U3YNk/JI1b4x
UbecY860JMtntdFgE+DVZ3EnWuS9w3r+MU6RBYAuzT54wh9ry/ktLQsxJmw9lvSl12VI5C6zZ2ql
UhI7eWiP5j0gkGJsQ0mR+jyg7moE4Zo0QUAGxNoVsa449VoszCEmQQ+KHW8zZ3BMBzcHuiMQJIu/
gmf9rjesier2+NmBs4gTQCuX6ALX+/sDmA8bmRrmq3X8gIwqrrCBAqp0ML7aw9tvw512ox3sxz2m
ExxguAua75NnAjyhJe6O7WxVPgUug/OLVvfw2Q9ivjreQONsxhGKC5OjNWBRrN0IqTKG9m+fFcvf
YaMLcDz0Kg1ksTLbSWnSufO7DoLZ0XiSwgZwX3co7zu5ccvh121Ta2EFjlkQM+EpCuZm5rZKKhUI
TAJTRtGZD0kujg9D2uznKak3Rd9EljwNH0ozjfskGj9v217duKJm6mDAhrYJO+YyBMoo1AaWU8XZ
5Ou50/Cmppcbn11IUAEuj3mMsgB+eXkIBjH4zHItBrxKhayegNxHb0EgHv1o9cnqgdzRwV7+H5w6
O3eZYy9WuigsW5wMUXUfg7m5/WckMhB25/woTJbTpC0Re0WE/GE4PjTzZxG9tVB3mBLw28+8DP0q
4hdjpoJReoxFihhRu1xA9GWDOu5AxoLXNzJDXSCY7svfClN/E1LAUW+v3Yq1RW0XrDlL/gQ8yaU1
MdLBU1bElTUa2Q+jbPuNHBm1E+Iqe+j9iQd8uEo0QKEIPrKl0AWQ5NU2C4M+MiozqSwR4+i0qxKo
10hyQscWL5J/9wzk5Mts+AI8YhnoojTozVCsKwwIlF5Y507e99sx0jdt13Dyz6tdBa+WsSNcvIh4
RP7lInbDAJL1BqaMuN1k+uiFemPf9mZt4TDThOMCrfmlR39pwg8FEW2dvAJFBGgB+6D5rYdCZ8uz
/ue2oes6PJxBFo01wybGRbQcX2dZaIXstyzroYJ+CZTexG4PUQzH7P1tKeqe2NbHRK52UlK6ks8D
wl+djJgQw4wFrh8ChgK84RjTpjIFcwHCI7FTjkJqOFLxbo6Puvwqz11G1Q6cTtW/T3fDYUz/EKSJ
IuKFveZB5tzFQERXluxPTuvPTtGmWynrXa2q79B1BeVZQzNBsbNM9fIpjDmf9urqWeyj/QDIMCCH
CluVrLu8VSpFrKxy0IBPHicdw6/9EezPoUNiIcP8Xyc5t7/yWjid2WSZzzqhx05AVRgcXTY08H6K
IELKU+hp3zazdrro8GipcwFkSJiDM9P7FB0CubKiyPTEYfysJHWDqv0GFSX3tqlrTD2WEYgqNMZx
aOIlyGQKUW2mZAZ62CogIrxMjJKe2AEktKSotRPo0htdZWf9awKCtb4PvP+jecZVY4TMUFDBfNON
upNlYDgn0YAkgkCUBLr3Fm6QE/KWCS/x4ENX44Nv1B+cH7HCBgQ0OFBl2DtoJ7CNygidCmhBqKgh
hfG9pkK0fgA/g+lXv6RJ3sW+4nVQyOtCDB3gzOLgltY+NtQaVSAUJKjGi8zuzY16MmpTryxwIt0N
zfhYBvOjEIhv1Wy+33Z0LXzPTH2fYWdn1DInCxEUA6basrOLKc9OcY8qhFYTnuTB2tmOfgEmv1AD
V/G4ujyT5Kk1FIgo4saC7oBSle8DUT9ve/NdObjImRC6JoCAyyw6OjTs4Z5h5gTZn1yCXXlbEeAa
kAz+7pJNmio0b97CVttrwctUbv3xqZJ+x2ZpVemdULrZvNFzj0xQ8XLKwFNLd1C2t3/c9VfF1C4A
exjkQV6McY5L/5tRDUjRR6UlVbYszbQD5G2SP2Pz8T/Y+e7NgIAQbBfMBTeavdKDKry0itSnKriK
Y2CmUmVHcp6e9apHcGlJggGhZZu+oVDW/hClpTVhkqGdH3XyNvmnMeOk+deBA6lUlFLB8gqmV2DJ
LxfOHFUyGD445toh1axKaDXL95H1//uyYSeghY0JF3BXM+HZdILa1CHIFvtyTPdg6BPuilrWbBkC
WZj2ajj0yNcbb6HKxXz60t0ChS3zlSQgScbZB91YrftI2jpP7XRLK3gJ99raAQiAdBRN12sYN7J5
JUkXHPOobzL/t5y+3V615TC+3HBwA0RV8AUz8EipL7+NnoT9pGV9ieF3Wympj5kMEu4lWUVbYUu6
P7etrXvz19ry/89OK0nyIyVNYC0aVGcWg4OW8nBTyy68cuh/M6crCSUlNSoNXaUSbEObpnND1ZtE
SxgzL9IgFwG4FOD3t51aiQRZQcV1mWKTUB1hzgVjDGOzHxUw4qLhY86uMIs2OHBuG7ku+mDjmCCR
WhhiFnpsJt78cSgmcE2ArV/NbK0YLd0QMIEU440c/5hi7bkvXvGUtRP/AdQKn5NY7iGOWZuKXcm8
cbZrjgjmx8iX37EZQE7pLzm4aT4IM07c1gkgy53gNqKt8SPvin0PkQVzFpx0uBvHiXOirCw5HoQA
p+EegjIy216WR9QN4gJ9gywwnvFuCyzwhjVW0qS8ZGo5NZhwIlD3gaTQAq1ASnHpaVFKUYSZoRpq
2QRjpkKLAJrF+0oPPlWtOyUVKKZuf+lvaDFrEjm4ClYvDAuiYntpEo353Bj0trbyg/xzqZhGzud7
bINz2Ems0K0d0G843eZloCp9+PcBQgOTmBImRgBXR/rCJo/EEEJVHrraaiba1DQ45vczzNqqE9z1
lvKqpBSvumP2vEmowMtcl7hhXAdbEIb5lg476kHMagdI+wWlgOKJfFcegMvYGdvE+lG8FdvE5cmT
rQUx6IlAxoD9gCce28UYFR9kSC3WWXhqrHkDNQwPZKTb2QGwYxNzrguuNeboC1M9mDUTrlWOtgt2
AESfUjuCdMPpnexz3ktq5e2KjXHmHBNEuplWktTDuekB7CkYhKMALaS27sX8evRyR1x9tTNbS5px
dqprUoyt2sHWsOucDxTrvO4N0vUU3EjueOKlYWsn4YVrzEUvkQ6zoItr7RvGFn/p+572OwxwEVrS
4Kn16peHjLcnr58Tl8vJvGlyyI4NUgGbxkO2CW0QgdmTFR5M6qK5UdmtQ9zRe4cysJt7r7fPg+vW
OEYrUIBYCmB4ywD0fLm8Q2oKzVTDtvRp/k5+uf6djH5G56I6MO+KLbe9sHLkXdhjIlWNOjEpl89J
7vDkPkGlFp3b9q0CymUOqHyCcoyV3hlWzrniVm7uC7tMyLbDZEKME3Y7q3TBLvnxqHqiyA/Xdf8g
cQB48wJhZeInleQylMweJ9xO9ro/2Z1ihzaAj5Zp1U7/K9r+CnfdfuIOp64kP/Dvr10mhswcQ1wk
HqBK+Jb8QpUhoP6h/qgdyRqdPKUvDzwR0lWDqKtDqM5EG+w7sM72pdoqai4vgTMI8wHj4vs25/Ff
Kasn9pkNJlj6GQPZeYTrYrIIutmNc5K2k3V6fPOBqEOXhOpHeXsXvfzR6PQO/BcNXC/cRzY5ms8v
xr9nYipGOYkBQhAUzdiC3RCpkRHLMnZK8VxOj2nuTbzdsfJkQtkP2Z4JfO6iUnK5GWfVSCo/UWsr
JaMNDkZJBiuHfxf0vKtw1dD3QCpewXhmMLtBKGKpSHJSo9FtTbtoM1P5nVD1QYMYy0AbuzqI6H3N
953IWcTVqwMpJl66igHsBNs7DUnVVc0ECN3o9samvA+QdjjaSfAwbXj7aFv18czS8v/PAhS8CxhA
H2FpIVi0AP2iUIb8DyYgzIOaogHUKrsHoi7tgyHF96r6lxB8Ir6yqaKtwctcVj1ZeDXQHkUyweYS
dY6CdT8h8gLhoOWPcoWGoTXxNL2vu6K4ClBRwm6WQPWKrXW5YImBqVNf13D1fY42GA5p4ulOQLWt
cQhTOjvtLqTHgRYb/07f8kRWl4hjr3m8O2R0s1CdAZ/FpXFzCsux0hGRutHdT5qx6VrTjQbC+WLr
Tv61ozBcXNksQcRrhJ1phyH6XrHATyVYkocz8nHwTGdWaSgAtlQ44dJyNaHlYvc8dYjv5tK1tyCk
Ri1BRk6qXHrb5VEoJQUCR7trfhmPAR5dBxDn2tOn7tab8JcyU+Vn7QTP4ga8fJ8RpOs4C7EaU3hx
LKqDQCyzWJ4kIBmEavALsnk7jA+6X2EYwDEgsPAftsiZHeYIn7LKmIoQdvxMcUNwGiHCXro4w/jh
xGkPrV3xC0vH/3eJOdQWNrfY6GBqEuo7TfLdQTXtoiosWepfa+0zrUtMO3KSt9UE6twqs2uENlfm
vobVeeFCSTAx82eSaIVZY7QVdbIFzwzaCi2oZwx5KzfO7eVduYUxBmeCaWOBoGLs/zKQauT8eZz7
CCQ9tiB4BuHef/+AOjrMQAKjNICWFROqgNGC/n2h98+lkE7QF9TfQesTzfZtR9bWEZUo8I4sF8NC
7HrpSSkHgEx0UWNl4GVyyxPZ+q56J/5und6BTgW0gHgWV9LuC4vMl9PlqTMbkIUAjZUCxSPfD/dm
QwH2aDY1jzBh7Tude8ekhb2cdGWx2IoqYCN1a0Bd7/YCrhygF94wCaDcN3ObBbBQmlsVLBdCA1FE
3pIt4cScWxdGmFM6K0etq03gNkRPewjtzoHmZOoM9tPk6b9v+7OWKWAWBAQT0Lda4oIJvDlrUrEu
Ygyaf+KrYPIlo7iIRlp72t38zjG2kmkiqzOAo8BUtkzY5uQYQdshUNPGkj3zJDrz3ndNq8Sk2S9o
7HlcxP9qOJyZY0KvUkplULMclJO9YjcQj5AM3qdaqb1eeMREXOKTfIZeTgMmMHt4IF5Y0NitdSp5
ht2ZtHWUh+VJUtLiEH2pz5z15DnIRCNoGittzmG9s4qltHT86F3R8u+hGvRU/K6t8M9tgyvPrgtv
mcAUxk4cqxILOpj3UeoIOZUVqCH7NFc4mN81S2ACAbwC6EModC6en6WVyjjitBeLxpqyfQ1SaB8l
0N9FZLe8KZprcDOmrc4tMSeiLMjVLMiwpN3FAh12mqc6p/uTWNJyM9LAS+kOok8d9Z2O11Be6fJe
2mYCdK5rXW5N2C4eeipR0/JPidc7Xx0gnZvbn24tUM/dZAK1SgIZbKNlY5Gf+SE8tRvhTnhoOEZ4
X42Jx7bLwqgu4I+JW2yQlkFEpYLwGQT6eLxka8kdvtsyZwZOecCYGYdaaMVEUlItDs0uKGMC1Kqg
Ze+M23rzHrrFm3knP4eP0z5GkSD5SCZOardWw7r4AYyzIGhtanPADzB8YO7rt6o4LmOtxac62Tno
q4ZPQj7n5ogmrqLWFILhXLWG65Gm7+D9uwjMhqyzuYOQ1bIId/F2etA8aW94IyZcxd/ZtqeAPrk9
HYHQlzDrGrk6Bt5CbzyZ9FXf/jMA+vK3sAM6VVZ34jTht8yQSO+1B1Jw5LS+qzrsvagt4lMaSiEg
SGE+eVJH1RyJdWP1KEsghfEy2h1D5DBBiKoo2WCOajPfix5v76wVfsG4/9cw86lzAaPFzQjDmAud
tyLeuiJQwpC6Xc74qORCkpd9f8tR5rMKYEBP6gz2WkmmAzoXtU9lCRzNpnP7VFj+0A1D7OC7IUxg
7DLwzcTJ0iWr8fck2i29avSpVeIq4edte9cDO0uQ/F1JtuUKqFccgwW8sX4Gu6aif3CDYNfOFpJe
W6QdZFI5CRvPwyUlObtIigJUpIEGD7t4k5d2TdD3cTMVMw+0zL50nrm1/PDcPyadMlSI0qrtEing
AxPtsf4I2nvOGq5l1Oc2mLtRHausUyXYwNyn1f3xn9O98DOm2lH5D23Ri6/F3I1NqzSklbB4bWeB
cTWTjmnPicBrEgQmIpg7MNVIG/y/FXOhH2fJu9zOPEB6WkREsm1coOE38g/yeHsRv6s515EPejVM
FoAKgYWKqlWatJoO18wnbafvlR8mqscNve9RiwF1nFtaP3ByWilKu+JGtKX3/1Buwtr+/QHMVxyq
OInyCF9RgpZbdQBRf6h4I4+ubi1DRLcZEGYFcEvle/XPwh+Ch7owoxYI2i8RovUZNbmDhktIX60k
0VFKxbwIqBaYkA/NMRU7A45oHvpiVvw7hETfMboX7NRJvWEb2Lc/3XrWdGaQWbkuNmI/NGFQRYJB
p4H+eJdp8zRtis3AOT3Ww+TMFrsDKpTyah+2Ckf0HQ28CgkVrZGSbYuOPdUohLXv/fvP8jFwWjSv
koMCqRTOr1j5iFB8ATsA+gAQX/yutp19xCSp/bSSQaymoXlN0Xa1e3XkiSAtdxjzGTGvZQBFBKwK
rjrmMxI9mdvYJGgRVbUtaF6dvAGSO/cYUOlOIU//fM0lY1F1hE1x6RRfHstVSrS5DgFE01JxftLa
6mXCJ+U1bFce0kAPopWA5iVYMVgmAhCPVzMeNLg/A9sf7bTJ7ECjjfgqt29t6hjjAbq/M49GdOUO
OLfKXqrZDIWlplPQaCx+l6n6Q65lx2jyt9vbYMUKoFJ/V5DJSTrwfhVFCoDiEIHvmci7ViN4i2mb
22ZWwgIsuahYL6zTaGEyqUgV+1Kc9yGWEJVMt+p1iGEmUBPJ8+JU1abx6JOqeo5SLtvHysUN4ByS
PKA2AN1guerbPvQ7AwrRoMPZBobTmfc10tv4rkp+QhIoSR5u+7nydLkwx1xDJID7OoG5esIuF51E
KJ24qlFftCWE6W1jK9GP4U6QHmiITCCOmFMlIGbZZUv7cq62PbgLU4hg37awkkFeWGDc0dNULcN2
hDsl9K7zBEKMjyS7K5rRvm1obd3OXWE2cjjgTkhiGNLEh2bAGFVQOnO1l4r/Ie26luXWkeQXMYLe
vNK27+PdC0M6kkDQe/f1m1Tszu1GcxsxM/fxKuJkAywUCmUyM1Du/Qdp7qtVMTZf6vU0FiLKr90s
VOcsSkavEyryWM7Wo5i3MmdtK0cMB2zp9AaVz3KDXjupKevUctIA11uPebat6S9ugWBt+5BZhgtU
4XXRdXsN0VfJmE3yjEJ28UA1e+g2QwJp9Oc+5wQ8a3EWaMv/QWL2bgyhzDmXQJqCMMj+zH67/zmj
KGN42pP6TB7KQCXI+t23jjXvcQnK7CDYdKCymQDUjDcZ3JP4YPSu2rlT9BT1nOfh2qH6BwsJxuut
NDsQKUQFsNrxmQ47k1cnX3vww68vIQ6aYEWoLV8DkNyYQymBX5/PhemIXnYcgnHh2MdrCRf/gAeM
5eIBw+MJWzPDS1z5Gnci0YiEMHApWeST3uMwdUWBU2FZB/nXVck+zIYitcpswFWJ52aQlAjC02Kn
mDyhpjWDAEvs0h6O5vAbZarQgugaUbEWQ/xTpJshe5qLxO5rEHrjXv553/pWbf4SjfGCMkR52oQC
DUMd+pcZj8lWtyC1gk7ZcAYziqJ4I6zzoZWI5oAJtTgYEFveYlao8aAJTJ0x7ZttFGe6O9St6bVJ
+ev+T1yrlKJZHkrlmPQA5QcrK0ALJZ8yfYJRJbLXt+8dHt9dJLtxbPlD9S0bIGkDXyD0tBxJ7I+t
Mqn2UCHj1X3O5kMa1VtBUneoGp01EfweFk/Ha3UPL38gY31jXYC038IP1I+jH4NKiWxSvNDU1gk3
6nO2zXcRDnaAiab7O7N2nC9xmXh0iAy5CmPUBIrkvVWPGS+ps2aJl39/wb8Iqgs1VhNVhbuQcaoU
9Ay2vWtEuzh+CHvbyjhV07XjdYm2/PsFWl720MXFrBAmf7+mesmbv2k8dq+1O/8Sg7F2vTPnoSqx
Y0Lqx8mLgvxN4srT0/3vslYxwrABmL0wXgYeJfblDCmvbMxSLGWW30Ca6NTVtpZau0BGUQv0Zqei
naDiJT3W1nYJynytxlIqM9RghUP/miYvWorX8lHnvUpWXTxcOxTroEG+TO1dfyYVvSx0grqbU7s4
eLN7bgJqePhaXnkMPRM5v8FWn3hlyzXjwLS2gYIYxuZuhmSp0fWZbGJHhzLxaIUKXNO/zbnOqams
WfwlDHOSzcwMxaSCfURtMBcuzrTdz5h0Bx+5KCa2qnAu5HVLuVgXc4SFWm8G8a9BTq0zgr1exaAY
HhOHTIndoRANMLpEZ2gT2VbVcyIP3p4yBiNHEKxXROxpKD7S7jPpgnrkCNquxW6X+8kYiyAbxSwm
MBY6pk+9CW0iE9S1Rv1SR72HTiLO51vLnVqXeMz5RoNAa4Yp8JRnV92lvvGhQHLuufFnZ9qivug3
k3v/rC+bxOQELEMBOxnmEDFLyjawoTCm0SYEop4Kv6d4+JmnKgdi7TuhTX6Z8MMz/YalVqGp2g4W
2qHU7GFITqnxIoo8j7X2oS4xloNx4XwVBNlNnwPDkJ1xj3nfJ8Ghnr4dYnt+7Lb9DspEwfgp/eIx
F60uzkTfCBj30WzFFix6MyVmkiH+0ObGD/uE2kVT2lkYchIdt8xFSCxjJAdvLQ0TDhhQvV7hpBnt
pI8D+Aie9aDwpG/hHOJEO+QUUWTIXMlFo3ogbs3Onidb/UAb8M78Fr+jN9OnnC+6Mvyw/BgIcaKx
AEzebCappQbRIaLWon1B8wu8NkCkAgVOw5dOGCiNbQL6pOag/Ja2JLXzIA70V56ru93465+wGPbF
F8dU11SD2h4MHvHOkj0Z3XW8p83tjQQIDBJiFg6snSAduIbIGlWqxGJZZfmrq/9Yam9TZLL6P/eP
4K3tXsMwtpug3h6JFWBSiH/0P8VhGxbHQh7tSeTxpazU1xYsvHCQLENWnh3yS+ZknKMQWGSMg7T7
Nav6vpV/ID/v6ENpSxBkRnM7GOaT361OXWPqj5YGbYkaXeax6Qvpw0iSl/vrX7lErn8U4/VUqJSH
vVi1Dt4ukB5pPAFd3tN2oq6if8zVxhRPCk8QZTGPa78HTHOhdQD70e3EnlhbU6HISDNlpviYZPpz
Ghuc8Pb2Mr6GYJalRIkwTlXdOnKueHXsDFIgJq5Qku0k7CJQ997fxtUDcbEixlqbzmqFqAEclNLs
AdN7UdqAm77iwKxa6wUMY62DXkL4LsTG6Ym0IY1fxCidKMvwHgZYtv/BksCEAS8jY9iJ7VwiQx/F
PeRVHAmFRK0CF37rYVj9Psiq+VkQvAJTNgguRVabRs/rtB0zrKiW/kToIkKmDoE1DR3IVNlZ7ES6
Lcub+6Br5meh2xETqcj4Q3Xk2rUY86hXpoaPVWYYuK2VUzrUnGBizXtdQsjXEEIFopSKYlkCjR0B
c0xQqUBqXClf7y9lzSAucZgQkFYJdrUETm4kCGvPeFjPaLmHPm4rcOyBB8X4/EoupKRRAZXIuRuZ
dlnLaOV26vaQ0u/7q5J5X2g5bhf3S50n+pSJLbZv04EKUbbNY7tVPcuRz5jZdMAbC7ZhyZuDnXmO
nl5j55W4mnv/R6x5kMutZTwI2i2GTmwXy+xyL8u9YS78Af0ImrQXiCsIv+7DrXmQSzjGg1Tg2JgK
E3AYcnoR5BkpPUxTViXyFfeBVk1zae9AVyIOAUteJSG7oQhd1zpq5c8KFMSOJvkx86xldfcuUBhP
ZVk0zTBw2jo0Cwaz3wggd6LhfmwyrzQfSOffX9RKmxnGWi7wmExoXlWlAX72FkOotvnHIHb2obji
o/KuZTbp7ZI4whtaIDbyqfJbzIeR5/s/YPXzKQrSbhikQMcUY7G9ogljNGG9QgzNHUIdqjo6TxJi
9VhcgDAmSSY9Ev5uaohWPVF+px3vgllpxVnGg5a51oUzWmIbpecErCBjiH3MhXNVPOTksyaBMX5T
9Vfdn/V4p5dHIgSJ+PIf7N8F7rL0ixMfgi0iiZYT38zElSC3qhmIiLKn+yiLFbCBx+XqmK8k1H3W
zyFQqvykFr/V6SAjsYbCHilziISkXqH/2zwn1/vJfLKxKCsL2SnYRbOz4k+oHpLmU+Pd1Stneun4
BRUG2rMRMTPXQI8swNzKQClDwYkNxU9RKkrMcy9Rzi2wksIBxAUU86EIRIIHI8dTCEp51rPU2/OG
HudAOKoPdW1nWxB+7K1PidOUs+JOUAVDIhQJMRRZ2BmlshE6BaLprdOWRzMcbR1CL1CGVaUCCXWv
Kziph5XTfAXHLLJVhhQKCIAr5UMmPEnxRhI4pngrQwu+j8slMbY46uVgViIwau0J8n9CDb6hY5e6
fQ6hPupJ/Z9W9WtzL5qPdb/X8oeGnqGT0MGxRZzdXXtS4reY2FoVMwsGWwyWGhHq9kOC9brkpJw7
fNnih+o80UN/aDfRU+dngh1uFjpk3d5Frw1P4mIluLj6AcwxyUMBlfwEP2AM/XD0y8iNrM/eOpWR
4dx3Ady1MhdtXYk0pRqgFOJW8UbUMGWq/or838nhO/bj90Jy6ZaACDU/dDZ9KQNQPt//CbzFMnej
aRajUUHkFXKQ7qC6KhjD6syj5EuJ3/47JOZWTI1ianPocjlg/enDfZXupvSpmZ5Dyrs4lhPBeNbL
D8h2p6pgRFLjGki1fKjVrzbhBNQrXUkYGlTRTAa2B3Phmbi+IBq1hHSImrbONJ618IwZlzH1K8Wf
8/00ulicQiKITfLkfP6yjjELw1A5DoUC0jU0QzOPhYg0TQnW9daxWsWt4d9G0J/HQdxatjx4qQnu
ocQhlr7Jyj3pj0K0h0b0pO115TRoH/rwiC40W54g/UeCJHTjovdANj2I+2T2h8I1Zrx8FBtqJLEZ
7rtwsqk5ej20z9tccBrIsEcl5q5+yF2QZrpjZJNdJvupPhut6I+RY+HBRMA/z/OAKzYqQ9FHAlsQ
QoEb4UIkZNDaOWuIA+AB0SFbWMckcSzRq7TavW+kK779CopxtsWgzm0qL1D0QHW3icBoBy1bcOiD
mrvkePZVMEwror6C/26I38k8dGmmACwFZfaYzb4o6HYrfQjDoehOcdn69xe3cjMvQP/CYxxb10yg
HpOAlwhvIoZYFPmFNLo/d959HN66GK8mgWumbPRlXVoI7cXMN+XvQguUOQpKw9yaM68DZgVQWWiR
lt6vRaGCCTkEOTJDWTc7R6o9kZRbOn9N7VHIqzOVvH9/pBxJCBkTdUjAIlfOXv9ZboAWjlidI2uh
M5WvE8rLke4POcc6Vu79KxzGFEtJidQGDIpObp3H5JhKL7TnuOQVR3kFwVz7yqxYFMW2zmlDFcq7
g6PzdB5XFwGGUSQY4a7QBXDtKeVZ0UkeYbPUqHtvoVjel9FTHnNihtV1XKAs9nERsPeSKehUBAq4
9WwFna9Fsblv0rx1MB4/FiJLRudR51TZ77KC8i1yXUiT/lcg7CS1qhUKwQFBBwAktVptO5gqPC+n
Os3ZK5azx8zQ16cWWInYaeeol13M77n317GWXMaI4b+++l8WiovvUddJ1WrgmMFI/Xyk+gGafs5Q
gLNuUtyS5oesRTEgGvAYF8FjZ3gVBHfHSHKjPre1QQzC4blNeHWC5RMxl+fVj2KcRI6WodYSsLtZ
92oWz9V0ImQP+uqeHKXE6ztOk+GKs72CW77DxR7EodjnsbzYJB2Cnlq2QN9TOQgTTuWV9z2ZM9z1
ltmU1nKGk/ihq6t9lr/c/5w8BObaKCpimaMIhEH9CPNAbiWO3a8lXq/2ivESOk1nDMFgr1JNfDHj
GOLZ8wCWZWt6GHvBsxLTH2lht82TRZL/FpxxHhGZMTIwhDgQ4ksW1naEQ96ds/mh0XdjbIGNZZ8L
Mgd11RiR9cLVj5oDRtquraOpTZ2oQgQJKnisMPeoGqPVxzFGUEf+0J/E9vf9b7hmjX+V7JFnRv+T
yuywOapNOVrA66z+T1YXLyNyYZ2Uu6LC3VB55aBdYjEbOrTgPKgSihHcA5qwa4J+ufKHcQyfX+Wn
+rvgNLOtNC1hkhkKwtr/Lo1xzWaophAkB1z/LZ7om/GcnKbflQVVB/C2K56rbd+0R+5gwtJhyHqT
C1SWh7g0ZOjYp0DF69Qb/qB1XjuqW7B6RHbJYwfjfDxWys+UykLMR2Ch0OnmoDyfcyeJn0weaeHa
JXe5puXDXrisSIsxKBMDJ1OsrZ6q+2iABNHESxDxYBhH3ElRrWTtAqOJjjnsYmTXeFn7FfKDK6vQ
GPc7mZMxdQuIAOI7M6g/4pf8ILn5vvhQn2Pdphw3vHrnXW4ec6LBZiP2yfKRmvyN/IDi71cL3jHB
o0HvoG1U+F3u5Rc0P1qP6dv9s83bT8Y/w2+mNa2BrCjfg/kmK41dia/3MbjLYxxIPyWSIC62oR8V
tAN+SXa7pzstd7sBSyo+5t34kLhaacuByXtucxyKxjgU3Np6NFbARl0cHVPSWUUh3tYxaE+8TxFt
BQYnRlppv9HBqi5rCwXuX3Kq65MQThm1ylbCrG1J8bY/Z+kuib1UcTH+79L4eaqOebjpuqCaXKE6
xUnA2e7lJX/tXpYfgCZudIujMM2+aKAoS6w0VzGyNtR20qMLs9ScSbTxbcGRFWMAONK9OfSy0uMg
G8tu3oNmTk5hEpOiYQD0nPoeLX9tnYFBaJMMW5ocBeucFYe6+iiUoDbeLIg9ydQWCk8Rf0vSDx1v
FM0Wx+TRWnhbiOgprUeHo1mFm7lPHKN8QZZEFj6yonatMrYbUB229dcYiU7bnglojdVyo8gRCpTb
XsVAINIXzaGZExRqvkzQkwqt6oyTL8mbGDSm2VardoWQe9WwzYUgjLd6PtstGjzNQJ+Cun9OxmOo
nDWSQ5KXuFn+i0CYKgONI6KKDH1x80Man3PZ1WUfDYclaADyc5xt48kXW8Sr+VuG7u9wExsb03or
ykelRUYAMtHTYwotGylxzXpjVM9m62eJYpf9QdN3MXnUi4MAAivj3ULBfz4k9b5QoASTbI3iKUuC
vPkRDi+om+TWs9FvCt02piBRzjnOj9iDIIp+N9Bba8/D7EPMx6OgZM8+xOazMKiDkoiNoCjRj5Hp
qNJrHj8LxQ9lalwLw+kIWFqdYLtA8Fapu0ZwLfotF5qjkk9xOmXxWShBrItCityjT9/0YX5OXLyG
FfiK/bn900KpwTqI4RlprL55NZOfQw0hpurQQ8CghcQwCDet0Ul6n6heIzZboasOLZkCTT6nymCL
hRmYyQe6hfyMepnFqzutVNfAdYauTUyviSgLscQimUbCWou6pRnHkbbGtvZb0KZQOz00GMO1xQfl
aLzWHizsGdN5EydwW4PHDCmEfSwJLdxo+Lp2DVWqFV0tAz4+pK7sDA6kZs81eA/t92f9QNx8943C
0Xvj8UYDVuYTkaK/QGYOpl5MulHjUvvbHhR68q6y53dS2RlCV+fJ8IwjJB8P0ybaGm7pxoEw2qIL
vVuOg1jxD1c/Y7mOLqOEvilaAu1MR16oSAAdunoAZzyAh+E1t3HDucYhsT+sX/eBb6Og6+Uz11xf
JuYkGqiXjcSNsq9S9pqytDuFt77l9zP+72p9zE0nJtlQGRrqV5mdnVRH2Ud+gnVWbh9A/3DfbDqH
l1JaKWRdr4254bIIzPKtiT3N3io72uZ+pYLQAflH90d7PKWB5gycsJm3SiZqTpUaNOWLGRvWTtGC
cDwpwub+B1u7RS92EqOFjKWAXlpPamDEOvkpaptZzLdl3NjN8AMVJ9dKxx/tINsgNU9saEo4kwTZ
B9o/JgnvhfmXae///6go2l3/FMtK5dJaSvIIBh+tCBph+TZ2k1Po/kyC0Z2fcKtBii23G9+0e+hu
ts7g7rTYfr6/JzdGDH0kCN2BK3khMtbZpvNBiKZUlEOEURMEJzFsWMG5NsaR27p/830B9Jd2F437
cOGsqKiVzmmpQ8cDiTfQ8em5XQqeIvv3V3P7hRkU5kzKvTKnYwOUmtomBnsQn9lFHOSb8LnYKk4+
2gWKVzx6X97amBOaYyrBIFU8OELx2MYvpeYPknN/ZcufuLIXZmHMgUTGUmjEDgsTYlHcpkmVvcuC
osfeWEzF0eji9I/QxSMnj7lmHeBHB9UMxL7Rt8FYaRKjTaaf0wHlwEAE2Z2IqYt6Lysf9xd3+2T+
u7p/cJiH3qzK0MVAj7djIa5zpdHXA7KTPwXLIQfzOX8q99ox2WpOw+uEvH2WLcjgekKvpbKweDOf
jhizNVg0AUnxFqdua4j2OyYTPCVotrGHKI3HqcsFZD5kR6qO1h0A9SM0v5EZDixHezS+BhBARzvz
xE1H3CQGmBUyjlXQpnwwIgBWGphrCqcHm4tdI1Lzc4crY3tbuL9G+5tZu7iMuzwt+kkE2uhKZzPo
v6GC2oBh01neZ3OgnxsERlBB/wFrmja8e2v1IOItACEKyNKLbKl+kooil+dsQGMVWlr7zbBksTSd
F3KtHgsF/M8YnINeCFtE0FvTKC1sK4KtDvquIvRchUO1K3+GD4YH8bL5lD0Qv+UJnq/bDmg7ULpY
Qj320sCMVUd0E7goLH2rj2is90M3/Sm/YJ7Qqc7dT86xXI7djdO5wGOOpSbIaRtFBYhiZXSytK2N
/lOHBo0rugMIc/D64+zsbf/BYj4XiEwwa3RhqmcCVmh+Eeg7IU/t577Qg9cO6lMQFDhPIFsStjFo
lv5AwuKr3AkHHtX+ErberBpjouDDtLDTbA9gnZaNWSiLM0oPqvTH5ImYrC/yAoBxAegsGzLSwpe3
o44u78KGCqwTi+ZT3qE9tSst9LuglF+ndjypSEFHdjiiyD1EG1LGEOHTbFkPoRRSnYdy2CamYktD
/WxqPVJ9AuU9MG7D/OWbXPxcxoH0CSirRXm53fSt/rWI8Ba6Hz2Xm6cSPJrmd+bPgxvvlN3oSLo7
OpP7/G93wFz/BIsJ3BRBHetUw46ByrYSv4Tu0aSQeHqH0BrHAlc//sIzuGQ58Jhj7oO41yoaN/Bf
M2pd+VyexlEMOMdq1X1g7EgyoZGxUIRcx35jbuB5unhk8DRpIKo7dSdf2yugk/lsbfKi7aBBgB5J
v/bvA/NwmfdaHNaJQlvgWlTequV8QJXaIcXkRTyqrfVd/GeFi5++uAX6eNLmlgDJtN4pfVOpd38l
ywlhjyi6XNDyguYBBK1MXGI0ZUQGUsEkiRY0SHqED1A3HPIAGsOnjNfusbaaSzTGDWZ6OUdNCrTJ
eu+IvwgW318OD4AxCN2g2igtALr5rEq/IB16/++vBY9/2cvx+kGjjsGcYEmeFEXv68HpjZ+NBsXl
oKE+plkswolSV+PvCySTOajFCO5fIwESVcQe2nkRMs5JfMzILxImPpEVNJemrZv31vtAc9AV5e2b
2GOaQTOLU5g2HIu/7diF4wCDCxRpFq1PtHVfG+JE1Erpc/ye5A+oSCy3RVNRAz7UE5qUkBBpRc4r
du2IgRES84Sg/EYHDeM+VKqoZlQ1g0NCEE0Yh1LJMF3jFY17/4veBDqL2pq0vKQMqDpBZ+d6XX0W
g/6mKqE8DHmd2U2qR9zG9yFuE0sLBjRYdQ3CryL6na4xjLYSyl5soFb/NZ5j3FJB7/uV3W/Q82w5
GL3yQAs8gUE9c3lt+OvYugl2NMj3yqD7vsY29XqUqNmmTrKJO3t8zsHVG0EKvkES0hGQ+7B+z7oz
H4k/znaz50bpq/v7Dz5Lo4TCQqmoI/CRW3nEcHmNeUbTnZ0iGLzt7AyRKznPnP2+OaXLfl9gMt+U
jn3cocMGovfg8d1SO9lBp7iwfyZO9Y1mNohfeGDTfC+PvNv19pQsrx8IfZp4BxmQs2astpSLDvlZ
gqwSfTdCR6Tbqt+MUEE0iV0ID32XuOC0znURbeDB/VXfHBgGmomFynaUWqoAWjbG7Sh5g6R7Y/80
c3mtl5N+dWUwQIxFtVSWwnwGEIShftX+/JHt1K1yxPSbBvEdiriL43Rv2TWuEVkbittGjVMRiOC3
VL+KzejG5+lInvpNamdHBEsI2vNH0aeviGyNXcnZ2dsKGYPP2FMeQ2OQ6sCPtsLZeiZv6bZ6Q47p
YL5MxIPeJYRqnepFPs0Cx3Xcnp4rezKYC1NK22FspShBEJXaevIe5aXfCpz1LR/szgc1GNdeh3SI
mwHLm8FTmnfI4snlU2Mhw9OKbwSkENmSyRp4giC3uQpmW5fL/CK2GbGuBPP9+KxBfxDjDVJMDv09
WTYKj4u40biT96ZvucrL/ZOyuqlLMyHo0CwRAnrXuOXQJOKsYlPDFCpKcVAXb6HG2dPV04i4ChcX
piUs1u3KFemFfsGoLB2vZ836nczSuRWmcgP9AM7lvLqgf8DY89FbSgJSGoBFym8NhOxoPCG8DoLb
Tp7la12AMIfAiNAzqWPg1VGFQ6i6vX6Ijd7LoVRRy7sGU3LlN8p/978UZxdZ84/i2ZqkEJiIs3O3
TuOj1oM5J7EKwcNob/9vxwLXS2QMIxPDfDQKNFqLymMUPlToqeFFwLxPxdh8ZMXRbBCKT2X+NFVb
QV3UIBx/uX6wIJQOrjtJBmno8iMuDpaG/nR10LAOzToKEujpjoVqt7j9lU2YbjX6YgjEIUg6EL/S
zmrqomtCbnm1/cUgbtzKxa9YPu7Fr4DKVjkZA37FWG9FxZYhRyDXnpH8iMYzqG/tAdWlCCruvHBr
1WgucI1r3AgNWFLZAHeKn2XdkZPNXFJXpxwvsnogAAMyMXmRaGRTZM3cxVoeAkdQIWaqYh2SXm/C
sHAh2j7a0ZQ5lSi5QqPsopqTTl7MhN1bMNmBbA4a5grkTK7XWCkxReBcwIzIhPJO5SUpLwO4bNMN
xDI/D5FlqE+x+loVBVGPJGN5SWXuVAM8sCIqJ6PyBWndLeHd8beDF3AvkNj8XziI7F2vaMQgczHJ
aP5PoZhh/C5HySWojTdPJQTo6rx2o8LP8mGLgPHf9zGXwMxWoru4mWQC4DyGlpeibwmtfUMOn3rC
lfRcruubPcVIwNIeCEYdNjxMu2aEnBGwzCYjNkosEICf7VxL3UnHy60cveX/141ySqR0A+NzZ5ND
MrK+0Re/gYkTq25o83TAbxCMOHypDWHYZ3ouuPFc4J0plpI7CGQOyGhOu5LK9Tkb66A1zYHXibO+
GRo0lSRFB2US46WkKM2gZ4IfIuqxE7Zu36EZ41to/URDAwJSYxDWwiah3WTkecg1F4EaGigATUz6
gS332tjkybKyQa+wB/TLTNCf8cuCPq7m3LesNV+PfB+IY0zIxyFfcI0SC6MiFGW9xBnartOLTdQh
iT79vI9ymynAydFFEHktLCaGyPoCIy2pZMYIo+QeLnYMzbfcgFyk1pYo4Hep/Boqih+3WeiE5vBz
LIuPpjEeKzW0HClTXsNWVTjeadU1YsgPA5RgHUKLE+OC+1TAxVSDEjXBIHaohE/UQNZ7rhxhaKGL
TB/VLvO0MfMIT0V7NVZfCM1UkBFJwGc/LWr8vSKkgC4fan0MaK3+TKfEztqnWWpdiUS/zQTPQuu1
x8x7X362MW6hoZa3jZYgUJNt3fq8/4WWE8WeenwXdJxB8gChIONhJqOpqnaCs6ZjvEv6x0yZglRT
7BCl+SLv/TDhMdOu2fclIvNsKHsrnSZQMjplPFe2gnCtEdNPqrWOJhQc/7lm5ZdYjJVLQjuP8gCs
BNG0NVDbKN/KgRPSrF1GlyDLfXgRS9QaaE8kCyAT/GMcVzYlgWDtQjzkeVT2a6+hSyjGgIq07aIi
KsG128ro+PSs1DboV5gQV8Y7D8rfYNLm+OR1SBV9A2B3BzvJ8u8Xq4uHkia9jtWJYQWk2KkTeTtZ
KAzp1inUG1vLzokwc/pa/w6d3NglxBghy73E7mxaKg07HXUp+Cc1oO+qM9l4xh6Ko2Knzl7wJifc
WofRxaCKmx1Ld7bDF0jPqttxR1/Cj+qXyvnGazGNgQlOTdZlNM5rjCGBJFqbIglOGfkiEKSaJ0q4
MduqsYL30JJB4oD4iXFMRZ7NGpSr4JIf1SfJL3bE6y1UWmRfC4ifuOVgQ2T3/vFfs93lo4LAH+Sg
IIO5/rpFidxB0bQIMHRjKh+yqR8yN4HX1FyaloMTk1Z7aprC4JF+ri0WGuIaUME3Dw7ka+C6zHDX
o3XZyaZzovhtDjUfXpS45mlMpGJNULOjpZWdlxXbccipNiRO1/0Q5hOJXqn1qpv+/S1cXQmED/DJ
JOSEWQ86G+OU4jrFATHpc9f1b3Ed2eYwe/dhVtN3Ju7RRbFWBocj46lbKwyJOGKkKbWOWuTpyX7I
0T0a1N2DqHmF5Cl4KOkHqX+5D7y6vgtcxl9Ho9RFQzQvPhT52STeKtVTkfG0KtbuocvVMYYYEzqT
bMAuRoZaOrVi/F5ANxZVc0cuc8OnZSe5VZ5zyCnWcTW8lEA/iDuZcW/akFdK02J1M83QT2Due0N3
pxnkdpAeyyXB1/U/9/dzzZXAg/wfoso8JsI2o72Si3AlBQHDzcnqePX11RDnEoIxFbzw1EongDBR
+is7nCwvIg9keC91DDNvZMirQWHy/rLW7gk0Y0iQIV54xtmNDLVSa+ZYg5n0hWdqn0NegJBzcJW+
PVEQY7ZqdhCHaftfobKbqeJ+T/oeqOZ4nstz3D3I0VstPDTqBh0alcqxlrWzcLFItiBjKVaXCArg
hvi5SPeRooJJmeNP1izyEoM5bwXokHUiA0NNUFaDmLMa2bKQQjXAnVpv/k/yc5dwzMGbMjOZKhFw
RvQjzcHRNXp1x/lKty0tqgzmEtzjMPuFVocBURLSVg0CCaeb0pSij74nn5DT1b/pnFi+VUj581iY
yQnc2DWoRmsinLNc1FEOSchwiKo03beYluMJrK18TlznqP+DGVsTURi5voTM3KJli/f1IpIQQi0K
Wk1mz9PzXDuNYA9QRTypET5gUvwapQaRcaH0SBQOQ6UdBLOSH0im7dMRVPwo8AVTLw8uYrgjSkOT
HcXF7Nw/JGvLBBUgxoRQHdXR/sb8AAOV9CzFYzY0n031oTA3ErdpacVq9UsMxuUofTnnFnLmTgu2
tySZPbUt7GEWXSOsvZYKB7k17KjHBJQERV3FcpKst8VcsqHssJny1B0VGX30XwZygvdXvxIFXP0y
5jyZBqTYmyVxWhPPUt6GDmdoR3gVrhWvDuM2dRUz55DQYRNuep82SCPgVSnXf5L6Japf769i7e8r
oM1cKAIRA7CeRy/whtcN/H1ogYJuNXdw4d9HWLVT8BlgYgw/X7sJychcha1G8Lgo9L3VbsbGMwsn
NT5VjMmAd3sckHLhFNLX8gPIN/2DuZjVxeuijjRd6i2IhyjPlmRjmsOWbPUT3ZInkMjGb83BclVO
7nftNIB+ABJ/IL/Abi7/fgGZ6pgCVIvluSYcUj0Q8Gjj6uuuXIb6JcZikxcYtSSGIPJallW5kogc
kTtnx5C+itBil+2OF4Le9mPCv6L+gW5BCYHhDTcUxKoMqRnxPOmc3hVfR2r3NsogjgmZMXowzyIq
+MK+BQcxr6lldTcXsV0QAy8vRCaOb5qJLMIRyB9IOzXaleOXyZ1xXNww8xZE4/o/GIyRQKlQ7XKC
h5EYGDbdEE/+DA+dbwWRrT+BKo2TIVpfkg6PjbzV0lVy/fGySqVRNGNJpoRb4XvIjlPLgUA3ztqa
8J6G8hBeDjjT1yAt9GymhAqxkwq0ehVxP/2EsF//pppZuenKUP5Km9zahjQWTkYet7s4kzIvhpLM
JizEaEviuv1Ux1D8UcVFuBElMvuxoGEuBw86JSh6EvojkbudqM895A+NfP5MJoyx6WRMYR6jKpa2
UJmg3Jri7tjSFDbS6KVDm04+NpMhnOsKDYm2aE5zUEkV+SHHUnrUs658DMtmPKgxbR9Soe6QlYpK
C50MmTX6tANBFxHln+acdLGHWcJQtmVcsy9dRyluhZ6eNKMGpy/VaDw7pYIuELAyGI1pz8XUvLV6
ogbYuOEJVwrZSloleZgwi2a760x1E5Xgk0NpqqoPVFH+h7TvWrIbV4L8IkaQBAiQr3THtffSC6Nb
uqIDvefXb3J2Z3QazTgMaR8m7kT0nVOEKxSqsjKXL0P7XW9ahqtXXZ6DRShK0N9WDH7FjNpX88FC
xzng2HuUCoYDC7I4dNQ5Is+hmM3jwCC6idbBnMQeOrqnEh1vKr3SS3TfhYM1JnbZqA1kqzGJ/pCh
FdOoZ+XbqAG/uu876Hd0aNqx/IT18S6bLfaWtREwB6qqPCW44r7PgRncNuVAPUWLSAepKUqEHbd8
oi4RIe094Ki1VzJDFn0MR3YSWae9o7VW/x8tYvVu4CJBU5kW400Z6JlwlbwQr1nK0LYfWoX4mQfG
eEyIkr0kWt8filwDndIwZdf4zzv06pm50wpOrgNl0lCAJdHBHPXkWo+Nyq2LGdKiFcpCr1als/sh
D63EtrqaQJqYmmLwgywMxa4rI/1QgK34Hr0ClY8+EwvdNYRMR2XIh++8j1SPKzWKSqZShLtBoyqg
NLEh7kBP3tyIoErQNWstYY41ho9hmuUPRT6zwk3KqDx0RVV9CymLUGTX6uGd9olS20KbZuOoR6J9
S1Ku+AlaS45Bp5KnvCtJcKBDGu+7VJ/vtYHkaIScDEcJFH5v8Co4oIvWQOmeoobvVV0VaDbLUTxx
aJJO/U40zXgvyn6CAKOwgqvBULI9C5RuH8SlAiLxsSo+cgB1ngjmJbKrqFYeQ81ocjfnvXgqEjo+
6mGrfbdKK3FCYYEqOymT/CknffVuCGQebT0HhNyO0qh6LQZh3QcWaI/svCRk1yk0O5nDCIBG14++
KJrhSa8mvbZDpS5+jf0wehoQD086i6G9LUwUle1ML8bSQ4tw9EjSILnKYiOCLDDer0/6pCt+EXQk
stVCFWC/DcbhhdQhuLxFVlt2PjB2GsAfdhOSFge4UI0RpwicW1FW9qdhSNVvIKSGTmRaUXy6YQaZ
O/UFv8lqJL5sDbvsUAWxAtfB6nTaxdB5OtJaSe+mZO4gr0Cj6lCh8crPjRZ5dWOGoFvTGuOVgtjr
J3C4w3MJbpZDZgoLgDYUC9B3Gnl5OFWRW9ZF/R6aQXQDb9i5Sp1NHzzTwc5KiYInZD5GaFcqAU+b
pyk8xX2M1501sWAHUHX2OMJd+2rS6EvXAw0PhVVWvknM9JqWRfKgBFO0ZxExcBzSEgeJRa0XknxE
Q+3c+8XM0m/oGFVsOkWdl00p3w8q70GxGBq9W9cTJPAUTW8qn4OC0acTB60krQYvTnLqFX1qDLuS
sdpyzIwaUPAgWmPZQxFXrasDUxohb1EDvmKUUOawe0pyr+NxSxwe8tRjWirAPkKQSs2bUZnhwox6
cuaGziXYxpr0V8RyqJWORdW+VIUVeBOpy2+cBu2+j0TqT1Q030iotPsKVNZOrXStV/O6BMUOJj3K
lfmVap36a6CpaXOeFveAifGrsEWTLDfN+aBhIz53mQJE2uWQcjX0XhJjKu5vvLPk4MBQm2BqcJNm
lldVaLkW9lS5JljdLttZu7ENKLnjmQWwNZzY58t00BO8LVNEriQ46sr/oPRhio00+JaJJT4/i+hU
Y0Ln1wgTnflo9bHd1a46bVQdt2wsfz+zUaR1D84WRKZm8atKvbS4HcuHyzO1viK/Z+pLYGp2uIww
jBKuojJezeJ7AOxqvZXeXXuunK+ItPKxpkchM2An744GeU76P0/EsPPfl0JCKPINVkAxVVXmVZFw
GuNFM18uz9XWckhxYJLqpBclxtA2x6R7ra3HNLi/bGJjmv55kp2tuBXknGk1TOj0LRIVdtWfsrnh
YQC5VYMjv4F/k2sKk9qlkwpaHCfTjvEIYYPYVoOtR9xafH5uRFqMnoiBqy2MsPvsvboJb+a94jC3
84cenXXlu7q/PGurr8Zzg9LKpAKQ1YXsB51ZGu62u3l/158Avboju2fLVa+2HjlrwTrYO5fOWejU
gCD288FUTUWvrBZ+bMqA9xjuTOW+M65D8xbo5MtD+9oxvLzkzt4FUraCUDHWQ4p3gWEDwurXb+3h
dvBC02G75I65HKoK9vDWHplt7cpfuYMr4plq9n5AYsW7/C1raIxP3yINO4qVKSVmkDg9eZhjXwUc
ROPfdOt16bnD0BWIEU8+7f3LdtcOBSDKFpDvqA59ecyCaz4qtAUxqDS7asxsUdcbs7z6PD+zIDnz
sCv10FrgglY3fS+1n+ABsy01sBlBxSv+AULRO9pu6bav5legvwW5DyAiDE0ueTVJQxot+WdpdXBv
2gYSD3vI5UAM5Tb+uDyHm8akM1k1POlGBcZSE7m1+GD0fofDbxp+HO3H+DWgP5Pq14bRZXPKD/Xz
EUrnsqgTJP8zGIUkENnXP7Mj0soO/aG66GDe5c8b5pYxfDWHx4YBvmbU+aRLhqpVFQbKAi65r6+I
Kw4fsRNetzbP7NjR7wK/OaAIYd6Et1vVqrUNBFzWf5al2bXqOQqDZYvWwi8P4ld4pf6oX5JNRqB/
BD8vDVGa0dxK46COYAisvqD8evHnXWyDzt+mNvuZXRsP0QeeezdoYWY39bO5cU5WsxRA8IDlDLTD
APNJWYoGjzqdlljQ6+KhvTXvaAlSqwphloOebSf5XtxNJzyqLTd7/Zu1PbMs+UHDigorWrZS+2Ya
9i3CYm3HXMLt4ocZ2ZNf27HbnOKPZNfn4GPZsL66kc+sS54vVoiSI3BOnAqd8Ha4v9W4LV4GF42o
u9jf6kNZu14AsIBOLWLYBWfx+XqJm0ig1ROLXAQ3cWwPzG/L3dBcB1ulpbWI5tyQ5Pf6qZ6sfgH4
KvVTV7+R8NCpG1tmzXmfm1g+4SyiSSps13hxrTM/jBmACxr5i5AGZXbUkwixICcvHYnCQtZOX3CK
1nAaJjQpeZaxkSJeomD51J0VM2SAvNZkjar1KBkos3k1mOLYxqmrFbFDki0B6LW1Pw8tpCWp8AyN
8mgJLdQdRetvbdqU3c/prrDcjU29lHm+jMoAwRdgF1DokHXWE5EZrM9gKrhPbrnm4f7pj1An0T3y
M3i4bGxtpy08xf/PlhzY6loZVDnI0J1ec016M1O/H/4mduYEWXwUEBZ+os87rR6ZLrQAYDroIRgW
aDq3lDJWd8FvAzLXosjbgpnRUtLpn/PBZ9GpCHaMbASzqzMFCDNaCamGf6QDw9U4r5puKRXw3RD6
SpXaaMK+vBprIwEhC7pbgXIAkbvkYIpyNtFJC+hIFOV2BiwRm2wBDb/Eu2xnDaPCzg1Ju1lVkppm
7WKoacsrJITTY46EpMfbprnjNbrO6h6CLT1Ds6GqNS6bDV+wmDgdjbfirbWThWIcXj1AoEJsTrq7
REvmYtbxSOCpr+poxIoeQvXUovNu1DbQamtO79yUdFnlpV4hWICppWknJvdDtAVlWrfAAKZHoMM0
OdQhQmQ8WcosbbMrixvSbxym1R2CAvW/vy8HNDkkY+oRv1/lP5MuccMcmU6LeyQuN9zQWsPcP6wW
IDhUAVKRO7qwEQHZAFezY/bMReMOolHFN8LMLpFvBi0zsNbc1sPYC9PiCk1JNxPy9nPTIasNhgj0
z5NZtePB2nfaTRdYSFpvzMXiOGQ/udBu/PuB0iZu+6Kbu2UuOuXVZHcRO2aRF4GKqz1WoAncAliu
Tv2ZOckBoF6AYCdGdSsF3qOJWzBMTo5e7EMkdy8fzzVXcz6w5UvO7ubcSgxFTBhYgo4F8twqN6q6
4QFW96kJDSiE4yivyvt0UPJFHgp4wkS/ilINNfdNcNP6fP02IW3ViRUUBQzMFziuKyfKnO4m90MP
dN4uu+0Oipv/ip+6x0060K2hSfdNP/MIHIawiw62+Ka90xUbhRf7p3qluwoahUuQfF1er1UP9nsy
ZT6MOBdWAXQmEH+x6ojmqeF+Lt5Ec6VkW91lqxVkdmZL8pbBELRpBPpMMCTNV+REXOTXbyyn9OJD
AxVX0KWB4s9A+P8wb9RCN+bVkpxnYLF6qHRsmSgu90USXzEq/uKOPR+cdP81RJ/GJMBEWqzbFWRA
5SG3BRcbm39rvSTHUfVpTTXQb0CfRQG2xeZ5b1epS/vHIRHu5b2xfpb/OwUy0dpUqvrUM8ya3lKX
Fc8ZS21mbszbPyjrr67wtxXJY6DzljYq6j1O+mJd0fvRtfwA7dTDt/YU+OLYP0z21nZY976/TS6T
fOakAlWLudVgrUIIE6G/pm6up+G6Yki8MTfXdhbxL8/kukGg6hEYgRdddllax+LREB1eLG8D1IPT
q/RuPoIA6fWymfXYyIKQrwFiXetLS16ZTOlAKexwaLxkx2C8Fege07VXNuw7wDSoTTUHSDkb+KIN
R7K6WRb4PgqvxPzSc5mPc4riJExHzTHvIkdFlTdKdhsDXN3+Z1akzdInPDWixUrjAWP1aNizHx/L
17z0QubUp+lQPSbPyqJuv/Ve3xqftGd6mk8KW24dy9wlfFdnDVpG/8ZNnY1OunaqPJ6N2YCNMQuB
lofz7zaO9KojPLMgXTDhUJaxosACltEOFHC4bTV9fSV5QnYZDUiAo0AJHZj/ZSLPDlcWWPqctyOQ
NM6wix+Ea/jgMduzF79ARqe/Zm+xH+FSM/3m6hlEXPuNh8ha9++nD5D2yGjEJtCt+IDRvQ5c60d8
qg9QHWOH5IbYigvCyGPhXd6Xq+f7bMzS5igM8I8UGboAcjN5ShAD2Vk2NFeQD4eWFJlQlhTTA2AK
7+hGOFw2vTlcadMQPR5bVsE2WJN7NFO71i04znbxff5qXPPIUXbUsjUv9vnGXlr1NpAOR45kUV6C
RPrnla7SoUnMZaVjI7zPTDDyWE9DU6FkXV71DQdHpnpfjx9z+4IeVo8qW9pIy0LKNwfX0eGhgWEL
kFPpyh2UbNBrDSPPEi1NfJVP6p72ivHTEiW4KcxCe74812s+ABubAf8GjTK0Hn8e8BgPWhv1GDBo
VrUUPO357QxyuctG1lzcuRFp+8L2GJcURiLyI+bAbewFYqKufmq6l8uWVufvbDjSrh3Hagr7Di/p
coRI3gBEB8BSoIF3SPvtsqWtiZP2KMIhJoC3wNPSeg9D8IU88k2J6yV6/LIbQGWEnkcI1yF793lx
KIAUjbIc+4q78xUFxXB2pfzPOA5P3SnaXR7P8ltfbZmoDwJ1gKhPsqXrVQVqWHR05ME7BwEWB6at
BMoJouTWO1H8Kvy4bHB9Av8zKPcgmKJDJyPI4vFoIx4bAfdk4GUHsOqymfUjTX7bkUJ0qDzo2lQt
do517zw1iav/BMNnD0xn2Npa4v4xkxxuC6CZ/51Jqn9etbIwtFrPlz2Y+iz3KHVz8Ujohqtau/bO
rUiewsj1IusqWCH1W4Z0frmRzN36/eXvZ3cej9k8hpmK5MzoJG1oD8lWeLW645awDshbkDvJicI+
aQQEGzUEPvyxbicnGV9qlQISBTTXIZ5QLo039sKqH0JjGxq4QdcLfrDPYwrbggP9AIuWdhWD1jlP
/DwEi3WnIYPgX953q/N3ZkvaBbopFMOoMX8RmHYUlPjJhqtbLecvre7/jkbaAbk55bQeYaFC61Vy
LOvHInyoQcxY7TrA3JBFSI5a6A8A5mloYMq3gpJlBF88BmqIOmj1dfNLZB4MGdMgO4l0f6RBdjHj
/fRMYwWwuToxCxDpBTlK4GP1IDjLbsG1lBbOgqS81sBmUttAnG2dvFWXguZ09GWrkBqQ4zSuh0PV
BARf1D8mYJwfjq3lXV7WLRPLBXR2LEhmTVUsKELBhN+kXQ45qOQmr7ONnbp6Ns5GIt1juFx6M55h
pulFezI4RJkDRTsm4yJzaSRH0xLQME7CE62KrXzXavgFSN1/0yhdbUNdahN4hFPnARIuxq3uBd8g
1pDv1RO5h0SUpz/Aee63XrCrh/PMqnQBDW0XG325DJksXNp+nT4W0a6ANOtWK/3q0fxt6Z9U69ka
JknTm2ENSxGkfmoKVbstqvWNXSI7Gk4KzusCFgTFm6r0daClabaBrdsahuRhrFErgf3FMvXaC4c0
yPh4eauvLohJIOUOEgp0tiyDPJumPEny0ahQzouRnlcNJwNHm7hWgju0Hl22tNrohucZ3tnwZ2hr
loaSCi0R0I3FlWlOdkBOff9LBOCmv1Fq4bSQ7CJ7nn2bguvSuEMj1Ib1tYGi0LH0LSCBwuTQJ6dp
NMcF6hDDveXTXfEw74vUpofWuwKjMhBF9lXtdBDa3gAurtsFRMCEeBCC7+XvZxMcMCVPlAAwNlyF
73WEptnxO1oCbkfjiYCA9PIo1zwKmHjAWIGma4ok/WdjRYH8hrm0Z+hUdcb5lCUfIzFto3Ci/NSn
brMlYrdqEFp5i+Q7w29LBpUSIUqJ9CigNMVpar41JtKg401kgto3CJ/mbHJD8CJcHuXyo/KdhKDB
XOjH0aokV7k58jU819Afn1I08aQHvT9N/VbgsmoExJ+AWaE5k8pkc9BX7FBUQq6thuhRE4B1OVJ3
Tci8y2NZBZIBQ2JhOOgPNmQYST3oKUuhJu9ksbiGcPM8IXFfNzeEMQ/NWH5URXeUaw9TAuUp8X7Z
+pp3AXWTiTcwdHNRDvy8X5g156yylrcHaLeV8aovfl42sDqL5pJhwHlHG6lkINVpNaoE4QMP5t2C
eS0V1Q8B2btsZu1FaJ6ZkS5slQgTNAyIknQO8g0dbWSZ3yWP9C84p9i5Hekwa4U29OCgR7yMGDYG
/i4FqFMDO8sW1nH1XJ0NSLqdYzNgXTlj3gpdBefNO8BFVDy29Lbjbl7E+8b8C+QIQjxcA+aihCLD
Osqhs9S6gnsM0+M0v6lsr9V/gUsGCzHA7qAtMaDp/XmzKSRBplpBDtRKEshqgoIQd/NWCWxtR58b
kS4Zls4JjXIYyZh5p7Lu3sofLu+1LQvk8zAIybNiyuB9KpA2a1CbFxtLsfqYBWoDcrwUaUiAaj9b
SNUpDocap7IxX9UCJAinSX9Uuuckuocqb3StXCMLPm+9odfO0JlV+aUWIdYWxpK/GdIZ3dAvbc3t
0nQh4nZ5/patK3vvczvSNghrdRhzCNI5WsXyXaxP9/34Ws/WHZt/ZCAqgfjQx2WLa07o3KK8J/KU
FGmBw5RC3ZI1mUO6h7TyLhvZmj5pW2R6o4d1gGH11m5OI3tmdsVtEm282LfMLLvzLJwoeDOQkcNM
iRenGCc7Yx/tsC+3aLxXQbLnkyZ5bjppguuAIzgGcvrh9D4HWLDroHyoIYgbpiW01nVEcn8B5kC5
CaI6qAaBB0yGk1tJiFal5ToUvXpsc37Td0+XF2rteC0VLcvCP4u7k5x4YBTDiK5JmODVTbWkBcrZ
jqPOzhKC9vEK6bAjJ7k7GG9j+KaXf0FiBywJ5CTQYg3uHZk/j/WdlsU6LhEV1fKh2CXob1C/G/HG
OVvZ9Z/MSHciKhwhTTnMtC1a99rxtqXVrzbfUhZfOc6fzEiz2XZz1ccLSYxokmsKojyObtf7kVvX
dQGJDqQHLi/fys3I8e4HfgKUQl9RFAk0T6ukwVWfsOqF6oUXdb+iAKxiwyO2FDrBPiyoe1+2uTrG
M5vSbaxQZTCqVl9cllvPj3V6b9sEMqRJuwGWWl0zvBMQ14L3HXwgn0932dRZGC+GhqnYdWbk93N2
rOZw402yZUYaDxnrkA8qzIztrmJ3SeOLaH95ypYvlbw8V01IewBwisMsI5naoCrzFC2PTj+gCyX2
rBpZK7RWZ3a7VVxdHQ3IH0DUiOAMJY7Pk2apUHboFlNjNLgd25MRquVb+ZJ1I4aJX4MqCgh6Pxtp
MoLmVsNE1gn8EuBmnEA1YYQbN//aPtNUoHcRimPaZM6VMBx1JewUINoTbRdEqGwkFMTzdHKtHiKi
YkTiNC42VmptZBq4EUy8pOCT5CdcMjA8jMsQpPutqTpWnVUut/rBj8m8MbyVuwuctL8tSR5pnjlD
OymGF1kU1Ev0CiIYhzCPXNw0h8vbb21QOpBWaHlEXeXLQxhEloGwUiSBy5F5gwqu8IR5U21t3MZr
u1xneIdirzO84qRLv+KdJYoYKSArze142lHMonli3J4S//KA1ubu3JJ070dKNoO6CgPKFR+8jTbj
H73l9eTxspmV4Jafm1nm9Sy80BRdDTFcmDHmWz5Yu6IoNxz4+kg4nu04SpAZkk6SyARHSRQZrSz/
NYH7ynrlnTcYf7MBwNT7rxXJxcWpRqpoyRJ35V3RQZvZG8fd5bla60fjICpFZge8TVh8abLKsc9S
daH1ytDKJ36WV/HDdHxSHHEa94Zfn+IDP6Keewty/hugl0/3C9XIVjfI2k4//wjpUMVZZnXD8hHt
dDMaL0oXO2qzsWRbNqQlq8ehxo0LGyb1afg2aGDJ3gL0rfk+FOQtDip3sMDKqatR6Cm4pHEngfni
o8yiq55kp5QkvhDCMSrTNjVI6VxewbVYYmmUWLJzYCCSIzEDTVlDG2JccV+Ci+YmwbVRZYXd1KHD
Sg/sHcNW7mrNY5yblJarL3URlio8RpXxGyDiHH3IfvSlBllm0+95tuHct0YorRytgYwOGGZ1KsrC
aen4HpRKcxB981b06jfVCgsviK2bDHjkjcldK12hQ0AFu+TC4YL/+exLkj5KqnLC7AJC5pM4PoBb
29H63Ot5u8dlg2xk4oJY6aHviQ/8qGeG76oS3olowxd89TigfjEg5wAlH0RWcr5wEOBxiCGf5ojO
AsXAIS6/J+Yb4/7l3bS+g3/vJsnlKOgnHkWJ8c5cG3dqiXwhKD57N+PK+1gE39RCu46MrYrK18Gh
SoOuogW6BioXmSwnnDN9KpXlChpOeK2RMbXn2KmDX5cHt5anhB3GNba0MAEP+Hk1KVg/RjBtwdnp
7FpNmTMJ5kIAalcpySlLv7UmpN9B2mGE0z40uh+Xza8emyV/iMQ1KPII+Wyd9X1fg+IJb6biR5tm
OCmxr4c9Iol3NMJt7NzVKT0zJt21xFDjAFTbyIWBTb5kL+mcHqwm9A3lbx4z+Ln/hiVNqgHaioTV
GNYUgX1INU885wjH+b4bi9ukVd06am1z3uxF2Rrh8vezaz7HJ4EYHnajpNyDSthJDAjxgYYCBNTX
4zQ5wKffhege1BN1H3TtY1ayWx4Pra20Ylelna1BNuEvlvi3u5BZ4kA9I+qhW44PCgYi8q3QZdQF
7Zo9fVy2tHpQzyxJox94DVbFCKOn43dK7EzsBYpfAIkES69ov7F1Vy/PM2uSCy4m0IORZVxQRrPV
6S1AeloLt/bslhXJ+URDaiiGWHaSgQYQDzQpNoLgjSVavU3OhrL8/WzbkNboIm3x6HPXvhGrvYo6
5vbBC/oaPcpiL47eczTHXF6tjZEx6XkHDTYWoFtyybnrLqSzocEQ70ql3Yhx1iJfiNbhFQTue4j/
SGa4aErDgtCnE3KIVydsD06l3d+M5LcJ/fP0obEnHkMFfqXpw2PCI6D5o5dgnjfMrB7us5FIvrIg
bWG2E0ZCp/BQN+W11j9ouQmMz6YM8PJT8isf0RpIQtFpCFCZNGnUahuFRBaCT9Crj6M9Gw8CrOfk
hdO3cfa74NaAgjsF1UXnNVsdu2sFZWB1f1uX5jNCWN7QGgPVkUgr6D2LjpHpDOUJcjWi+wBpEE4B
FAJ7HRDBwbu8mKtO5My4NMsNH6quXhICRQye6cSZIdgdd26YPeeWTbdYfNbSsZ/GKt1JYRiVUYYn
rRPNN0bvlcD8G/1ujmuEbw9EeRC6O27JAK9upAULvRwI8oW3U7HEoFoFbJZBdMjrHkJmjZebyq7D
EC/P5ur9vtAyg4OKIjUrbaR+MrIp0JEaMKIekETNUzq6E3jIzPQNseUfB4Rgzkc0Y6lcBaOnXHOd
ipAaCi3wriC8setU/Gwrq3f0kMX2rBvPl8e2mnBG+IkOQnAxQFBX2iphYZmNasAcgI8UYq3lVdtU
hWu04XgArS3bdYz8aOOqsUezK1wyQnSwDOZHyK5uyZt9nWeEwgtNP4Io1JplZzoUNemAKBQONQdP
HwX4CVI3aqgtyLdwpM7lkX913Z+tSQd07vU+SWpYa2fwk+u6J/hdNf5xMnMxAtZ9QAKWrPDyEWeX
kh6lY8itGK2r2fBjGNl4Z/L+uUjaYiPZszIabBZU6hlBo4oh1y8NqkQjwmDhWMr3BqRjXeyxLYqA
rzcsWWAUIEJWAW0w5TSj1o2DQK8Zjjn7EMFhFpDSOdQcNCXpqShex5c/XqAF9wPNFWRckHGULnS1
VZGGCyeIjE6eYu4N83H+c5QUOTch47BKfTBUXsJEXV2L8FsFofjc/9NR6BxRCZBFFEfsi16PnrVk
RMAunERYR9pB66Li12IzQ7Hig1G7XqZqwQ8t8rafd1qbhD1UOXqUAeIHM38v+/sCUkdT7wB5GeVe
oyhLye/y2L76YNhEchv9CgT08TKAQjH1KC4C2EwyR2seY7OGwNKhGLaYuLfsLH8/O0Vc75IQhKCI
H7nTdo9T7vP5tqav/3+jWdzTmZUyGSB3aGI0Bjh+IhMN99ojVYFtebpsZ+WoYtbgcxfGX6iFSB63
iiNIYLbLaMTj0N/n6m21pau44kk/mZAu5MgoZ8taTIz8I+QHrXbDAoCkX/NWHe9rYIrzqULUAn1x
AODKALIWRJHKtDRvjOV9WFsPqtltVJ1WLZh4WiNTjttJhsYRLYmCOEBJraudNnmlZAPDuLa3IEXH
oKiJJAWKJ59XvYvKqRn/KZ/x54b4JCjsNLjN0c59edW37EhvIH3MAXcdkLxmmRsKYYccRLYo59KN
8azNF4rHKN8i8wsycClY6Vq8RkqG3HJt3erF/8Sgb9yb/2SOP8fVyAogMQk2AzALAZfzecaYwkt1
7PGaK6/QE3X4roc2dysv+N7sJi+zVfvlWj8S3/DQcTrbrxm6Hfpj6CJXYCMbApz2e+CFQIpAr2p3
eY5XaI/waVjERbVsqbBI122N/sh8yvEc64zSbsYntQvsCKxSaGOx6+Lasn5Rlty3pPPT5F7tmz2q
p0+dTlxVq0GwXMB9VVuP35WziNwe5GVw1YAmRD7udSeCBgybeCIycQrm7lTH2o5Uhj/hWE7zFqff
mjnI0OJUosCAHS1NQVFAL2Dg2Gd1M5ffJh6AOzSbTa47hRCNsJNJoyBL6ypjnysZulYp7bk9j3w4
htCX9axuFqYNopEih7qnuZAsJ33zHCA3fGcUPTXcy2u24g1xBUMqHTBNpNflsiK4a+eWKINw4nk/
0Vc1uaq3QFGrJuA+mAoyDAAmpSMe9bpWzxy3fD8+opg3pVeIpy+PYu36RcvNbxvS8Z4MEG2DUx3x
V/02f6dYXaB1jf/p8feuvxdhbRtdtmFzfVgErtdCpw+RN3tVth0tkJhyjPoQhr9iCGWT98vD+vqO
xKaFFOi/JqSLN9BUM8Oig6Yz8AZln/5qDDfJb2bL05u/CGDPTUmLZE2hiGgHUxZEqUNtP8TfUeW7
PJyVs/FpONIipd00NJoKG1U82bGwKX+ZzMy2tBPZ8pIr7v6TKSkc03hVB1oJU0PxQ1OOovlVjs4Q
7i4P6Ou2M+GIl6BPQ4UI3kUyE6tRo3SQg8TLW4wYUgs1LsgjmHH8vzQCZJdHpYuLL/cQPoVuxYf6
1+Uv+LIJ8QH4ATSqgv8c18Hy97OgqZhGvRQtPkCr+tDG/xklm2n4CJRmS0Lvy178xxIqmUBG4SUu
szAuOf4EKKHasWjwmou+dyywk3stEpejAbA8EKJ2bfBpwz992TOSWWnPJChNBUSD2QqQQ7C+x9yl
qbCjPLDDPybQlGxJq5nXNTprFExm3IC2LseClvu/Wa7/JvHLg6dGgS2BHSc2b0CmbQ/Dqd5CNH7Z
+p9HIT9FzU615qDFjIUgdKkVoNd0u1DD27bqN3zGMh+fIpHFEiAbCEI0fbnxpc2nT6noKEaTAiHO
uxHFO1xX1stMJqeJ07usLu2pqTaQIltWJaeosjgyAtpgRyTHAeoLJbtCj4o9ac64kByVftRm/uVl
W92EZwNd/n52ytRo4CrKomDB73W3LDRwxnaPaV65qqGgO2UrjlpdwTNz0p6PO/BZmxbMCWOC0OeB
9fdVMzlk62JetaNj6dBzg+49Kg0LOLJcmyYE9swqTlHAHaPPPKUEIUq+1WKzOoNnpqQhgWXF6o2+
hZ9qwCfwzsZ9nI6oseROzbZyv+u28CoG7gaBsvwU73RzKLMcB8AgnWlPxTuPxBEZpshFjm1f083m
pSWm/3IOlmf4/zX4jybn2fYwuNLlvQq/gRajg1rSI4ubUxOqh7x7a6PqFp0kNmpKV1Wm4piIw+XN
uXoFLIVCcDoiNSQ75moURSCQb4YiSukmFSRo54/ACDb88OpeObMiLWABEYWuTWBFjWJX6fqDGiV+
B9FdYRQbB3z1VgWfBwBAaAbgX/IaJpjW6zCDLaX19F5AVxNwSuHqIfQOqG2GEPwgNt3iu1idR3De
oZCNi/zLXa53rMrEMMCvTJCAYUNpayRxmdJu5CRX/ddvOzKWfoqUIciUvnaK1HIE+Q452iGHajEo
WNCRbNQ/DIt6l7fIsjhfNuiZSelROpp6bigEJgUWzIpc3Nd95jTV90TLbZVtrN+WNTmza5bovDYx
kXSw9eAxVB6YdR3RR6TBwq3n9tZkSo/hgeWM5ipssb7yZsVFbqqdEYy85D36ljQ3xXv38lxuWVwS
AGeHPYXMCSB/sKgBx9dC5yKxQm9ADjvEyUYx8lnE4y0adH5eNrv87KUllO5aLdfi3ixgNgRWJauE
G4HZ+LKJr1xmy32OUBLMxRRIDhlIoecAc/N4QnSiXEX9S129tc2JQChK30NBpM73GfXnWdhBcm+q
0JBCG6Fx4t2BQHg0jP/0eSV9jDTPNfRb+klgwD17yLrJK9MTMnobRlZn9WzE0qwKAnTcUGHEaXok
9ehVU+tentRVv4kO+aV0BZ5SuYuOY6lE28/wZZhCrf/Z0GChODOrrXrrqvs6M7R8yPm+pCQokwqG
hrK1ix7iOuRFYxu+66sRKDChBQMdnVDUUOXYshaaLgAAhiNBEkOBdFPRUR/Mwn+8LJ/NSB5E4XFI
UoK1B1dij6qiCu2WuN2igvu6NJ+tSL5DAbFB27cYjDnrbpa81ND3qoKPwfj+p1tgsYMkPRpFESXI
bSvmWBqJYIh9aMt2kELe1xaHFNfQ7gamb2VCvronGFvamLHZNOxsydXrZjqXqEShXRnbIJoeSeKY
3P0/nH3Zspw4sO0XESFAgHhlqGnXnme/ELZ3m3kQiPHrz8L3nnaVilOEO9zhB3dEJZpSqcxca0Wz
Hmri4+2BU7viNi7P0LlFabHySDfTMCO4z8zpzmpqR9jh4/UZXNx2c/fF/0up2dLe7qwBCM4Rg1L0
7EdR9PQ9pVawDVJoSF23dBk7oqAN4A0AFgC+Ao14foqySpkGdaRoekpLaGjtOqHf0UZz+CfSrNdN
XbIsAPUNPYO5vRSgygvMY9uUWspyE2Hj6KofG/I8ONpj6VY36J1LHe71H6Hb/lDXsHy/U/bnV8m5
XWnBVDzN2GgatWs5L+yQHaeHxp/uu82jCpl0y2mdYtvin63QsZ0Xwx/c7r3ZKj7zDB+SpLvkTXVN
h3i2Wx5LT/j9u/51fWa0+QuufaF0MllZ1pAqm7/wPtpGL9W75Ucu82wfX3BT+T2S2dOBOdoTaM+i
re6sEr5dhjDnUzTv+RNnOhFQS7cDPgDqjHX9rpovarKn+cOo46ZY2dwL4e65MekSiokWlsoEY1rm
qfRWN/wQcmEELb/1Jqie68CfqhWXtLjNT7aedKDGvkuKOMbWm2tteovOBgvC6KXTBTtr7QZcmkvd
VAlqbji/EHs9n0tABoKuVCwcqdIZFN0Bvs4ZO9DnhZ3X1jdrPe+Xzag4Vqf2pO1dxBBCT8C+4Rbp
q0DzArnLq294/bl2eauM6ETasNZt1ljil/wucoHAeeDlALJwyXEM1aBEaRZgxwz3UFZUYtvJQl+F
NF+KLkryytb6VJZ8Ip37U5B5RPVXLs/bMZizRqgGuCLd9PU3q3wbgpVzeNlEhak8sSGnq7ihVZqo
Fdxcdf08FZPXtt+7NP5Gof1aj+qDWtGbysg8wnpgxUI/nd4B31hxyZctMtJXSBsoyeIIn4GR9n3l
VsYPHhSP+VBuVOAHY+1t6kM8ZY6KEm/rrkUpJfvbtLVkX9pQaakauV1gFkygajgo0Sb6PqlHI3mw
hhWyzKVddDrhkuMri67iVoOhEmQ76woSGpant196s0GwnTY7q/svzufUouTpSkNPrGaCxXR8Sfh2
yN2wzB3UGD3RvTZW6EPEuCZ/n2k931iSyxvAdUKn2epgvZagcqRrMdfaREoOjuWq0TQVDDTFFDkh
SHgUsKA3RQzoSOnrevBWKIUzFcbT9atrydmdTqfkBpQmqCpm2XADOoSKhmeaQlZHWG4V/ZMk+/jv
szLzPCJHYqELD1oz0n6ZBOCuGcHWDPNfveiQjHEKiMr8NUfk7xPwx4y0STQedKo1nwAxJbugGW+p
oD7R+MrrYikgPx2NtCuMWISk0WGGNE9FP19K+qaoXAsNt9dX6f9wKX8GJG0PnQdjEiqwVEeVO2TC
N+J3c/I0awslK2grzE94w50iTzfWuhkX76cZxsvAJquCVVhyZ2xo1HKiYeP2mdH/k6d02M7MFPui
siBq1eZB96RUtHmHci73urotD9Soer9O8jU1pqUogKoaMKUqBecGmTfzSZSjZ2YbW3XUuHlHvSh5
qUDugFcCpb4Vr5QKftcC5JDu1NZ8YE9sBYPRxWmDUVt164FmEjZhbEpeOeAitf2Z66OHYd4II91y
zfy0oDdK0OPZDf2RdL8Ulm+w/fcZ+WmrkQt49FYflG0SB0+8TqBOAcV1ew0oujY/0ulSoipF0ze+
WSH/DMW+rzeVclMiiUvW3gJrlqQDZkM6L4lyWGJ26JaWX1QvJfkIeeSX4MW5vvkXXePJqkunLEQC
i0KYGHn4bCNqcIe4ABGDmblyciN2lfZdjd+uW1yMcE8XXzpuiF4UazJx3Axrmxh7pfWBxlcS0w1q
qFY82iPyS62zYnRenWs7TnLFNlR3W2FhTvXq0Wqxm4ybrHnPJtVvQIpY1MJp55Th48ic2j5AkG/F
/mKABkpdA8Vh4Mtk7DTXx8BqRNy4hnrEhef2ZutAqWhK7nDMq/obCxtg3p/UwTX7l94+mARg1zUl
WW15Z/35CmnqaTq2Va/hK6z7e/MT4J1t7SV7NDYTh7oC0ZvTe2Rfuj8rJ3J+oVxINqmnbDLf9qbP
6zOyeDeeTIi0ICqfuhoep3EHBaT7Wv8NSQzo3RWj1xK+N2jjDa2x1iO5+JakJ1YlJ5eFoR01KqzW
nuUUmyhy/vlm38VO8BXhGYnmf0wAtEMcwDqB4toru2Htwb22ESTXF2t5WmZQKnHT2gHw2O0jr6zW
VHv0OQq93O7/LrQtISpLJMCTzIAVMJHlfrvTIHhn7n9Ap/6H4ehfoxv61XugOMyL98Wh84WDhohP
/emn6sabco9OCS/11g/hyv6T81FtI3TWzZ8VDirY8+vKNDZBGqluGdbDq9Ix9UkFmUHvWn0kDk0b
A8ib5HH7D1UTCmnSYLR/gA0mueka1b4lImfCCQubjo/TEIjPskv5Ue2aAPA0y2ie0KLdbsYoAaBE
61PbK228bEU8KJCLrCq7daKIB6EPMW1+CBND7EBaqt+UUD53CFfUx4G05jOyDzGStZZFd0FUsfe8
6YNDWodj6KC5tvVwpJDx1vvprrDsbJsog71tiqb0uaIAFsza4pgDqOchuYwWs7wWr1k59ofAtCN3
0HiJDLrNituMUfu+BAz3O9Tt2G3eTlULtW6mJR4pO8vcBAYtDno0pBsjsIhXoOfUgegPRYq30T9j
kbYPJbZ27kEcvkIdeiq8SeTRi5J0pgNgK3sQWTeCaIjWbeOY06TuRMUMIPfEaP4kmMCbiIeFQIaw
JaHb2xXRHW5Hww5dh8EeojcWmGsT6Pe0tl2/sakbX0C9xx/YMET3DQEdGPp11T1H8tPP+o78irmG
xueyJp+d0Ox9V0T4xYDV+aYaLQ5x7lEV+xrFqEOYUvJIgj7UPVSn2GtHOnEb8dGsPM5J8RVMkK4P
IrMNZtCVvlNZXqG5McxqemjRRGc6WiTsYoNUFm2dOgiMHMWmtB0clIO00WGJBl68oQkfaaBBUr2s
suCusU3tAQ/1SHdMzvJvVh0GDVgmQ/C1NFatoPGOW/aO0II+kCAVhyjXlVvbFJlwKwK+99oMxl9m
Y1K3nJJCbK87yN/p82tnWHpp0gmZwpTgsGi38RNiwW+J95AeAu8nCCS22n25j733/sbaj5vIgYjs
ivXZQ1yzLoU7edSUdjd7Srb90SKptouewWcyPRaO9jn5zE8eAfq0jtZ9cGfNfnMN5b8YmNjAEEN5
GUVYufw0ZjjWNEwxelFSR4z81qQT84O2/54n7Gdat0erwKIZ5bi/PvTlmHymhMaRAymIfFfHXLfy
agBLfKY2m0AHs2PJ7O9pxOmm1jvcDKaCoFNBWpZkPHYUFYmksixWEg3zXXyxACdfId3VlqhLRlD3
clGTuguUYUuV/ZRvIaDuXR/volM+MSTdxB1aVxUU1xq35S3SvW3aOVUSHA2ifLYxc7pV/rjFCBCt
wVC0B/soukClR4+SpbYxUNBUiv5Gx40zMq+2nlX4ZhHiaeN1w22yxp6/NEpQE8x8OQh38UTGdJ88
OagYtTabqTFJ/aOwcM8b72ZtOKx9N9Y6aZbHh0ycqekMbJnyQzyMIOTd1JhRk7yEA5D2NwbA0krr
MTSrWXQTcy9W14SmlwILsJirgPjr6JKQixWdHYdVJ4oGzqhAg2tyE4nYr/A8v75bFs0A/gpBit9I
IMkvhO2Y8y5AIF1Ouzq1HVO51cSv6zbmB4689Y0TG9IDCG9fKD1qsBFaFd+otej2PA0D/7qVpQN2
amUe6cmOCMZRb7kKK10P8GfKnR5wk17z6iFceWQtbwgdSRmUzFH6k5FnsVlUiaLAlNHX/tQjzMYd
wvjk8qbcgzDMdArk2aKaebTS11z50ooBw4dW65lETpWBQXgdh+jDFiCFRSMEYKAxMR097FayKEv+
Gif63yFK7mpS7bTlPR6SqXLEYfNA5foB5MJromTf1ACHPKNOJdYqdMszS825YAasIvb/+SIaKV4L
gLg2blXvAt1J1W0H0mbNnTTXnAaHq9CxXmNjX5pQ9M9AbBSUJajVSQ6TtqMC/AiGautPBvZLPkLz
fOUSWrSBhjUTQEL8kZVfhpxPdllhXJkZ3nBtq3XVrqr+uX4CFm866Hr+a0U6aIlgdSZ6WImBOVXH
CNdY+sQhqtVQ5kKErXPzuob0Wu/1tfFi14XyH+6e0w+Yp+H0DFYAnpY5ogyRjh/mgPTbFP9U9GpH
IHBai7UH8OKRPxmvtEmNXO36LsB4i2grurd4eBfxW9euHIWF1hkkLoGrBxraRvnJkjZlkEe5WraI
XaY2/ZoI+wLzim9YqaM34bGjPzsO4W1wMTmtHh+oljssT2MHCra9Y5tR4lTDV8XU2xgy1lSsxRVL
D++Tj2PS07CwTBGHAaa8nxwe30xs20K2ymjchED8ZI23ZHkfAzkK2ILFgIY8X2ANuP8gnKcC+hRO
VaherZR7WhQryeJF7zOjR/+/GWkjD1TtoVAFM0n3Lqr7dkq8kW5YxkBnBH4GZI3XCNTXBibt3FGo
AY86WCT55AoWZg5D03EpBr4Sia8ZkvZsGJkVVZt5Bq3X1LgboFBSgX70uidYnD80V87t/Oj9lUmd
qZVW8SzYDe1dPH7S9z65C8fEa4LvQCnignIaPMWum1w8i2D3Zypg0sg3SwFZVrWtGWglfI+xYZxB
qh0yXrdjq26u21mcP3TDGqD4g26STBeWIvCbQOqLuxdd0xPdR8j5gTnRv25lMbw8sSKtUs5mAq0J
E8iN6lgAe7QJhfJpCTY5mtY+liFYBa9bvGTNQh3m9F6XTA7CTnuz7PBCU36K1uHWMULxjAXcVVSU
m3QHMbVZeyTxtehbyAeQ+1srzZ1La3j6CdJNOOhRliURPsHiuUciY5PSp5EOD3X7eH2wF9OLHibA
THAbgp8LkrjzIp/eE1MXgD0RuL0RtGBOkBIPrTkHFpfHQRFfRdz+dcT22yA2zdz9C0yPtDuB1bGG
kM2MIUoNL9wQr9fbI1RWPWsavZrbYNHKoTPeb6EcsgYbnH/8LP6djQOkSBkwPGg+loxDaBJAogkc
F0Nne3VPdgqxNxaBXo5hbJRWf53iHtwXEM3RXroqXCk7z77ywjraE+cvAB2/DOQoAA+YoHEI6HX4
o4/QWNOsdSdebBuMD60KQOhZeB/BA5yvZtaFA9e7ACyBgU+jPVdvhsJvi4/re+YyNpTMSAkUyNQq
qIZiGslbpfnhq/6DfI4eSMlo6Izb68YuvIxkS7rnhiJShRHCVmft8YBwYn5vs7UTP/+IvDJ4eOH1
g9Y3dORKp6Cpp3iqGxCwFsawAdqmcpDPVl1LqOMW3iB1CqNPvaxM0RSfiOEOYg7IhOJqPDR5+9iJ
aVz7onkKpS9CegB6r+hkNMwLWYgp6fECboG0HHnqg3YNVVrVCdruxuKo52j1zrKrO2CGtqMR3EZW
+Bjxv21emifeABUk8AH4W4as6nHQU8h8gDVC+wW+UCdndwFRHlq7ByPpsHJnXQbMv60hqJv5fPDk
kJZZ7xqQV89cPpWK1waUBI92oKMfjZf8s4vNZAM2gXsRTtadppPbhCmWl0zpygH9vc7SrM9PLTzA
VfgnKDGcn5/AYNHQBRGITCqzx0Oyy3WCrFROXxQ70Tykgmu06w1pEd1AqQGHLE5SJO/QNj7tLSup
XwY9bSdHKBb9zjokXVNFn3CD0Dw9ED4WEXp38EtOI8zmpbRj1auCCmnTphCjH05m/qqZAghXUaov
RFDlFy8avrUTRXszgoDvMjHmXhLR6RjFNAfTaBCg7QJp9ocWef6/ft+i1IuS9TwToFtBSul8Nkhs
kW5UYxw9bfIAp0BT17dgWhOLuzzg51akCDOwi9yoMliJ9ZsoeW7RkZCO7nUncukXYQP3HNR/GNh/
ZAhWVedlMNmwwdG5MUFAFvQ+YJ2PQGV23dDldXpuaH4jnFynqV2IAM39uGA06IYpP0N+a+v+VDt8
rbfnIrCcUw6gwNEtTUUiVwbcK0GboegClwWqOaO472JPWM9deYejkpaela+8Ay4eNzifcxQLehfw
YKBFWBrYgPY4rSsy9IpDsFWzHgrjpwBla6rWTsv0zbAmW7PoEUDyo88I/7lRWLKI4grtWwvPZ6AS
bPYIgETRvhfWS9R9b+3HGER0uG+atRaBy92IcWKn4Ek1d43IxAJ9po2GlYGxDHWy3aAGiFDSe7Om
K9O5PDpm20gdgez5IlObQBGg7mf+qzLoIWHzoxlB1H8z2Q7Smoz6mnXoIBNdrcXsl7sGw7ORxgRi
DzSp8nOEUWEFJsASrilep/Z5qFCeOwrFSZVXUu/UNeKUyw4gbBs0wBJkbCm0C2Wm6bZsqxyiHCC7
Eq955w26S1IviH2ROlbyoWfA2exU845V2+vncCnUOrUrncNEiwqlZxgna8Q2toZdP66pU10edQwN
EABMJlA8F2yFteiFlhVYQSjBV82e97uR57MMERr0Vx6RS5vy1JQUb6VliBQAOC9cFgrA680dMzKH
5Nnm+qStjUjy92EC+dY6gplARUpxeBjSDzsv3WD8ilY7Jpb8CaQJkOuz4VBQizr3JzOLZVP0Ajct
JOfsJzuxHdt4rIPnFhAHc43AUlvaDyY8CV6pYPcyZWeicgWpIX0O8CALI1THrp61CSvnK/yxCd4g
zK7Q2zb8PpZuznY6KCCquwjwETXZsu6G0K9a4U5ePWfTrjC9uMif/n7qT79P2q8mb/TUCBF4oBM+
IU43bmrrUW9+iHglxLksfuJEwp1C5hz1E7g46Ymg16xRIwMzUeOGKuJtNoLt2eERACXpIzdHL1KR
7RWFn5Xw7Nm3CnX7wM34T0M/pMNbwQbHHFxiPq4n8+f9JUdfp58mbfNWAxhhmCeB5zcjyTH5PgoH
KFvp9kuSb0zUr9JdqXhZmHvFfyBJQ+YZ5iG/gKS3/DjjHAxMKLNnaEck6JqAxD0aAMjKQV5yv6dG
5jjlNDxoKruAPituF/VTCMcQWyvf6NFLb+zy4F5bS+Jfhj1Y65MxSVco56MRxmAPcE0D+CTTofrd
ANFPe+3ZueQ4QO6D1KyJ6Aq1mPNhIW2PLVfC2+ppB8HWfT09RXi2UPV7toYmW/AbuC5/yxJBLOOi
4ANdYbStUJiKk2czrKGGi+7t8j5UnVQH1HclnFtYrzNr0nr1iRZmysw3mCb7iZeQ6I5A9EAdU3Ny
+k2H6C8Um697ggVff2ZSWrMEOs6F0cGkVus+Ea3Xl7dkbWMsLNiZEcndTH2SBPXMChn2ucOzA+Jg
TKvD0Ce41m2sLa4YzhNqUuAdQwP1+ebIi4RmdJznMHuOh30f34lCRxuNZ4Q+LV7ihLoRAJvFV2we
g2ln6bXXUxTSyAwgAWW9CDd1AMhO60OoEV3EaC7qNogoUuqU0X1v//0liMrQn8+Vpgb+sS20GL9f
ow3DRruaWm8t/qNXmG99XV/qy3IG5HJObc3b78Qd1AySf9McpQT8R2l4jfIeg5vNFk4a7cno1/Gm
0o+26mvlgzAP+Vi4XHuyjY8sj7bV2hV0CUM5+xqUxs6/piFZ0BOCr7ExzaAuDm8NAOVT4jTd3ixC
J+g/2nrYGsZDkXv98B/oDzEZ/3J7ygVHBTmBBtW5eTIeBvtFm9BAVR6GaOUCXDxff8zIYBtlChS7
iWGmaD7iuvfCalfwYuUQL/mN0+yN5DcqiBBA+xjZG53tu/Efs3vRdNA6Hnj4o2SbmGxXNtLsYKWb
E3pqeAyC448htJcit86eoqFXDbyV6thFE24Wv1qlnwWHgU5Agr3rSKkIhDgrw/y9Jhd2IQKLhCOq
xCgTn28ZK1fGOihNQOWd5q39nvv6D92Lvkq0zjnxvk6d8Aulz3dxy27GFdsL6wjFH+jUoBsEisK/
45yTs5PWggcWaFlnRjXGvFxsu8G/Pq0Lq4ieaRWID2JByZ5Ix7PKrWrgsYLrk8eoRAEctEVLGyjp
HCP24IuSNXrbhfv61ODvvOvJmEytqNVqCLBtaOJkCSBQ8X5qj4m+kgdfmruTgf1+nJ7Y6QjkX2lu
4z2hhOhKRDJpAGjnPyzQqRFN2htVaxQFPLcbQX7MDlzdfu/rlTLJwj0GwV5QDs90sNgJ0t2SmsqU
6yn2H7gCj03ZujoHSqGP/XJWTOySlXlbuMrOzEl3Q6zgCaEQ7LlM+0rRoBZrqpMpPmcHhrlc02Fc
syZtv9poUZYtYE0zvTr5DjEXh9a7IfUM7TFtf13f6wvXNDJXMxsSmFlwUcupT8vIbI4usdS9AeHl
tttkL+V2PNT7xmd721VeY5feh0fIod0p30CA61fb5OjB4TiNH3rXv+Vye55/ijTNhARm0VoKFGob
jsfGQdAObTwr9/zlWYMR8AQgIYjWrgt8kDHlqAQNGK8Gukjaehxg4Nx6spT99cFcOhHYmVl2ICaH
Oroc/iRTWJIqhh1V/ZVaPtJYE3/XisTpzMfc6t3IWLngLlvU57TtiUVp+vCuTtQggEX9/lvs6h+N
/wxM3Lb1X37azvQRP/3MGz920Z4Vo3HIoV58rJzsUD6Hm8nXfaT2tmsFlstzev5J0lbOSF+qYz5P
duCD4KSzD434tA2vWENBL5SmTi2hkUjyOjap+mLexhM6jJDkDYJ4Y4kgvAXLULKJ7dxA5FSXXzQy
w6dIZdHWbO305fqaX3IOnC0B1CzOv4KMatj3Jr6id2u8GgCrt33xIyPOw+hV4ByIcWxulJ21cnAW
p5lCN4bNSAxwjZ2bDWq71nOC7LPgtw1UQDLtkVmfg+HxesUTLu7qE0vz6Tq5QXIjIXUx57nTHtSL
gG6BaIVAfaKku6h/7+gjFSvQtsXzemJRcvWMBtDD1WFRt7Zl70+ahXLEfVD9h0oUdtCfqodMxUyH
qBjGuR5BLDc2ASsCfgikj8gF1O2vgD6R+GWw7yBVc33PLK/dn2KLtHGDkCShWczjUz2QqDu18mDa
fmH7pF/JPS+61z8DlIvgalhDgLmEJYX6aJ/tpwd1/Lg+mOVjeGJDuvxVRakABougszIrdJd+jmS2
mBrfDmKIZrx2iaOM+25NMXlhZCbYWJDAR4IL+S1pjyQRui9ZGiO2T46W+pAZH/nfRxzIHp6YkJxr
jLbFpB+Ro0qLB6E91N0rL4G3uNfaFTe+kLI8tyT5zIGj6wYlQjxEP9Lv1K0LJ3O6N+BHNuFRv3N4
71In+n5AzHPfHPTE+fWLfMtW8h+/W1jPA/w5WYoCIO5JELbJhfER7C1saFEEVlUQWDh0yw7kO8+c
9K3cZjdF5E6H4dfQbLSV4HHhNJzZlfwLb5GktDrYZcFDRp4T7jLmUjj0ZNz9/VY9MyVtGvBCM6sy
Mc8s+yWUD/OfqAeMZXSa9lblb2pyGwZreK0FX3ZmUtpEmUJpwRKMDumkXv2YyLa2j8VarWf+lWtr
J22gbkybaWQYmK1+jd13XfEC+4lHT1m8C7QVn7I4IgZ2UvBbzzlU6QFK2r6J+h6ZRopEQYeqHNog
w+yor3WALp7wEzv0/N5J+07TUwE74XSvGV5QvXRrscr8E/K0YcPDg8x5ckMO2ArBolILIGWBHjow
uv7S1zLNywYYgTYzQQOU/KzUGbID1gRJzVDVQQejPU+r3I6LJsAyPlem0NglN1kB+Gf0GPTspb7K
6smENNT1U7O03jON+f8akPx7JFRtmIocrNz5I0ExXUvvrewpWgvnlpb71Iy0reqEd7ipMI6o2U/F
m8WdJFg5/0ue5tSEtKOisAkB/cNIWPmmxJ9gdmYKEnBj6mRr7KyLqwJmHsbQnqWpcssuS2mvNgT1
NSNGJ3/lNvlaS+uaBWkwKYKVspyrygJXAvJAlbEShS0uyMkQ5v9/EvfVokIOz0YbgBK9xvRFHwc3
6VdWZNEGlIRmRTMk/eTSYBhMBU8HlODL4V5RPFYe9fzX9e27EL7OMtv/mpi398kwsjpsUlrBRDXe
Cea0tkfRz1XdcmXXVtwD3nTlvCz5Yo2h4xC1C+iHyPcouhtUlOWRdYzGDTcbTyvx5Bo9xTzCP/NV
9szFTX1iThqfMOwI6vIwx+pjr+5i683SvbHegd3x+kQur9WfcUmXZ98x3sUTDLXDNzPZctDZ05Ut
tzgWFLFmXbK5UixdY4zbOURmkJDXq5e+eo2jPQ3RivecJCsR14ohS4rAedu3ec7h+Mm46/IXRK1Z
5XboyzL/FumF1h3tz4hkxFyoMTQWouHNNaN3JQPlZx379lrj+aKHtqGZAP11qNbIO45AySKBpjK2
OEh8IZUFCBRpIRO5EiEuepwTM9JOU0WSqFEIMxp5VJQPvoZjWXpJzGKzWGKGzhUE9udHtUzMpAjm
RgE+5UB+RzcsST091nbAs9+Q/m4oCvSSaAUHJU+zghRdKIkgS2Cgu92aY2CITp0bTwo9tpiY4Iru
1Jt8i5SvRxQHhVvQojggjEucYcXk7/qDHH6cmpw9yYlrgqdowTYEk9q22MdPL8UeBBbqu+1yr/qF
7ME2ulMf1W+6qwDx4Shf18/z0q4Bq5tuG9BAw3/SbAs9t/WpwGEb2H0JTKWR7HoFPV/762aW3Ab6
MOb4AZlZoIHPBxmJTp8ahhNQqlst+Kcb70dgna/bWGixmkFk/xoxpPMM9FgLhW8YaSsXLTQewP+B
9UmtrW244BmciqcEhALZyuFeOhCnVqXUTzjqKNrOVpviJgbOqqLv18e1uEQWDgLONlAlcn6i1oAb
niocCAGCj9alQOBsQYKicZdbqSlcA8oEuXfd5tJ9qaNzUkXnPHQL5chl0CcQDwKf7waCFqMD5cIE
NF+Vwl0rFmxr9BoI+5sqvlVEgNzemKvb6x+wuGH+DJpKa4kCcpOyedC8/J5be84+23Zz3cSypzmx
Ia0cB4CNVxNsqOYeXCYOkHloPnnIxMOEFHETeKUCNi7/utWlSwdAeMjm4U6YS+TnJyHLFKa3GYxS
hFKZ7nMcusDOHCV704qVwGpx58wVQmT4keUn8ySfuBaS621n2y1KZnXsgVgBBJiCO1GmIU5cZYRZ
XLETY/PHnBibyiILBg5pGFI9jNQT/WvKVlZsce5scDPOlM8oXUheRAEcPCuyHgvGCyhiK47FvuNh
jR48qJtFxoo/WTwDf6zJzC/c5AI9MBjQGINknX1O9UdoT495QW5IwRArACVA15oML28gXN8zVS60
o9C7ZhjSGMsE4HpEJaVbjJuB3gPh3IFeBRw/bgeWhPYWvqxlv1hdO5Bb9VRj7UVxsYyzfchWsLm8
q2q2ZD9QCshWiQ5tcdqhj39S/hiFK3fOZZPomY2LnP1oGYFh1rDR2PQRoC4nb6k7kJ+JAQ2rRNvp
cfFNhONn0iqO1qr7Kl1Tnr4Iz6UvkI4+iKWEmTF8wdxkaaO1oWnuqkjcmGLwDETnY7yq/z7fpGf3
PEyqJogaMLULgAeezUgBlZauUqHxf6sAwP7RTjNRChl78RQZXfXIiWLkG82owCsTGFYYHtWQpjur
Kjt902aUHBKb9WuP7osbDF82R1xI5syNrTLwwxy6cih1WoCkztgqE9tU8V9HjbMJEyAsgDUWuj87
M09HC1c+oLLhnmvM1bpm5cq6cHazCVACmMgWzfGvFMmQduT2hBK0W+X5TuOhowzHOtagy/D3dAe4
FlUoxaItDY/fi/kqkyyFbjFYUhNIzkGAqrQPRvkYrl0VSyNCOgcsB4ib0I0gXRXA3NIGvRhYl5zc
qOQn4XzXDARid4aycistHklE2wig0N8891mce28NSHEaWencDXsX9K+DMTkk2qlZ6ublvVK+mu1N
axzy7jUyV557S0fx1LIU/3aFVsdRnZV4hd1a/FYt9pqquIZ+Z0Wv6rRyI17GiNglM30Dnhc6wI+y
GHNCozAfSQk6cDQQ0FJ7GrsXu6v8MCw3VSIcofe3hKRHprBDowaf1y//pbGCT8TWoJmI3uTfq3By
R4I4z2j5UJQu6sZvoxE5Wqlv7IS5UU0+sFlvREhXjsXyiBlOn2aiUwViuecrqwyjHgUhRjykxsug
kYMyqt6gCpTyzPBoqr0zpvaBVLprBF85/Q/gWrg9zDW6NVCmtOQLRQ8i1eoETkvZHFnliGbPeoB7
AWJHIonZPrO3drDJdEgFQPcCWJa1JZ9DRdnxogV87gLHq1iTX9+1HQdNS+AY+mSv5iAsMwBDVX5F
8A2mssvGPQ1uh979+5WGGosOABJarhHtnc86ROLBMjlfMAD8JcdU1Dnk3ER1i9zG89TGd1YSgPLZ
Fiv9MUsuwwZyAJrJ6L+8EJJQ9brIYvA8uZQjC9BCPswc7+Ohd4garlQALoIxRAczCQtaDwyozMpk
KEFFa2KVgNJ2xk+7abeAL3qibBxb1HsLRfDr83kZrM/mUJCCLB+Mot59PqGQG23bdEYnIPR5HkBh
x7TcLUnqq4wD8f7Q2cTt2mATqmvKNAtzemZZWkqlNBPeK7DcBA99kLiiqBGthxtARNbOqna5VWEK
lxcFe8AsRHs+SGUEU5mdwz+IST/QOHFw8x8jJfT0qvbTnAKREG1K9jSZ0c3Um9uGrJGFLQ52bu2e
gRozXPv8C4oJVHNRgcFOyjdh3DYKMEniCQIXf38+0DluIsOHZhxIpUkjbVkeNDiTCHPV9lCzzoer
Rtud+lMpxE7Jhz0eE9uVLbS4Y9G6iDctYIFEzizRyrIKpsBmGu+NchcbBzXc1tmOEmih7KLJy613
QzkW9kZLXhU8e0W/M6z7di3FtXALgBQYpPZwyDPcVwqxW90eImXEdySQTku3VH+xjFtWB24a3diZ
sbk+7MUV/WNNzop0w8jjhMP/F2XnCvLOm8gbBuB91lze0vRqDAHeb+IspLTOt04AJF3fthMoUAho
/ZTYTez2qVCrm0hPnwa7frw+rqWQBU9BEF4gXwf0u+zXGzKQGAL1JXoBR0irVk7VbEBi5NDqtshd
aGgG8VNQvMUsdtHCcd04XTiop7bng3xykaddr5Ia2m1AAofuFCRHNVpjLVx4iKF6AGC5iRoCRcvr
uYmuqaqIBQwEzOhEZ0nrGmREFBjvr49kgfwCxAS4nGfuIsgfytVJo6VGB5opuLfaLrdxGFEQ8efA
fLLQ9jpjyLYAg4FFzoRxNLM1/8PZle3GjQPbLxIgkRIlvWrpxd1u77HjFyGJY+37rq+/R8a9EzVb
t4lkMAMMECDVRZHFYtWpc0ZAVQN/RGLoay8SLpt9l6ejIBKu7KWZyQT/AZaOaM+FIaCp1XTU8VjK
47plNh5B3tEIYjBxmiRBbq9XND5okheJuFTms8clC+g4IEUDkZfMZL4nwMKYtTnKC1Deckl16lnp
kIkBmFjYifEjrUHfL/oAK0H/zCT3ocM2M/tugEndGJyyeDEr2ZaH1FWl+B7DERh6gPwtMpvBSoi8
TUzT7j0iaOtcTonhetXmf5VZ8hbQ8vPdlo5I0qIWh6miodUlKIZBQ7vUPjraHFQ5tb0YF576wwwZ
akfVVm0h1KZkuzC9rwy2i7XG8sDtGrHw4BlsGxDJGgphgXft1GlQO1EpnngokXC7oqvbyB9NnLqs
M5DN3bTxW+RZ6HR5tf8SqcVeDd+UGtB3MD8TTEtGUQVCZtHI99rBxHGch2lRqdH4qwsHACPyExKf
kEqNHarKsKu0NLNpXQmeRuuW8M40gHfGG5DbGQrgsEk7lwwilewMJdjVXeKyRBdcjGs3hI7R5xn4
Dm4pPgIMMpXAqJsWthGgMlhDQvQjzPONKmJ7W43YABCh+ImxclCicJssG0MtaqKysPPS84gbhHK6
0eSqQeImASNmjPqr0irKLsUk5rHWa+VosEo5qFkB1UGQ7wlukBW/8dRVME+Afib+mYPQIojjLdZV
0QSiriQc38IEPTmpum0keW/UooG51fQVQ2y471HTmyk+zm3lUgGslYfGRF1ZXXj08o9W+iSNq6tv
GtminInm8PXAftlYmst3C5Oz+wv3wqgF23EMk5DBcqpXFEQef4KbEW9bqz1gFNS6vwl+g9/D1p1U
EE5WVvbMNLeyY1BUtRl1hR1l30sZ6PkEujZ3PW0Er4KVa+LMzpxpLVz0Uk/O6xZ2JJKAQkiyY3Ow
paHeQzzcolIgWNK1xG25olzi1lPMTYQ9VjRp3qZqsKbiqQ8fZcnJPSCHRINpmGvAz+cuI9QokORg
mB6KZvwtOEVppGcUqRsqa3oLBsFhqLZ1iUaai8jAbqqGlNT1Td3cjGlTfZOLitxLmjnSm0ZPgfbu
C2XYsJhiMKdF/c3fqNM4PpAxB9SVTpQm9wiy5RYIalXfhV48/IiVIQcGdvSpG0w+or1v+PGhLs2m
d0gVqCC2YF0euIMmVTeJjA5JOJ9OmhFPstNWVj7MRq53pO7j0ZFTUwqdLogy3a4HzzhpUhlplqIY
xT31Vfm5JErypsmpIYNpy5jweAT7tWyroeIRK8ibaN+mPcVzaDRjR9GDCr/BaE+d7lENClSS/0Op
wsJBMb16oiUFNBktwN5to0Z+R68TIU2VQwY1tRTkbxstKMmN3+dDajXF3GEGAbkWgNZdSvcFwgsE
TpVEdYCik3dmSQAAbpKWTJgdH9CgiYasRASWx+6mjwMT8g5+ZHzkCoZRxlY3P2O/UPYpNUOQr8mj
YyZg2b6BXgm4OZqxw7rlWGTLryOwwZV624IYoWGe3cpq+rssxvaWgaeytpU48tpN6LUB6LerSPtM
Ta/5oYTNaNjQzKh+ASmZPeVhPnmWVoLvtzEk8zPRsLyPeq77p0oZMD7qj0lOrR7EMWozlW5XYaAV
dxquzh6z713mkcEOimafNm10M/V9tkf9lOzlZjB+lEMBThaSBWm+qWrsMKkaaHajaSNNbzMtN1wC
jUrfqZI2O9C8825lUkjVbswU3YeqsCyBdB17FxrRJH8j1eiBaMwEfteuxqmEAJ+umflDMUTBgVUj
VW104crJyoayRGe/y2uI48WBv4mCvj5J2qQ8qdUQgmOx7CawkdOcKPeF1mWF2/ZK66MHWdHj0JPa
pXhb/ezMERQ6jGUaerGEpYKX6+othlo5eHPnaH7BU1JVDXZPWuBWlmdmpm1Q3pL+exyeKBpC0Y7m
n9XkjPTIwFh3PaSvmcZjGaVDw8Q1Cv6q83iXd41Z1jESoCbUjnXXnTT/IwbrpRYXWwJzEKDb5KQ/
lJjtrQE0aVTRFM1KCASxDqYNAP0EQxDfnsokeUoDpMh2KykWsbfase1VnErZDsJsc93dlehOgZZk
SLEIOK75yqUiJVqtNBIql63F2KlImR3Wu9F79qhIFXfNLdTMZobYuTnLF7OKsUfYLMH279UqqqSl
mt8o8tAmFrBOYMBHFGmdyVdiaFu1rO8F33XlujxLRLhrLJEAcpUYEpFyKHdGqUEIHJ8YI7k+vb++
pCt+grBbNVHhx2A25FPONxAdRrMyRjBYRV3meuBhcoiUP0lD70Z66hqYbRsG0ZDjStZ+ZpPLQ3QQ
NgZdBJtJ21tZRZGwP133aiVPBmUZMnI8C9BW5xFjXmGGaj3WaP1o4O/JgFYfKsgjCPjRVtfujxX+
aZgFUdtNfQvq/tbEpSp9C2MInmTMlvRko/vqtvOl7V87hoFx4BZx2MDdz3+uho51CB0+XGPgc6jl
FomGt09C5e/TNfBJga8UCtWo3vBlxwYdCKMIIL4RKY1baTsQjiGjesaw2nV31l6ZmFPDswlHDIkb
Hz1G8BLTwg8LyCL1/Vs5xDpq8CPk4uymS6C8gBEq/IogisfJYr3qMWtEEvLudW1XQvfRj4+Zr+iH
oO7MXeCzwPW8wj8EYS+5ipp0qFXWLPacuOnz+yFhRmmRqsNQynU31moEi+3GF57yBlzLUwy2AMD5
WHJveJ9k2IcQe03ug/SJdb+vm1uNDot9N2eJiyQ3akKCES+YC7xbY9gBsDxV31TR8OnqKV1YoedW
Qg0lbjrv7kpHOa2PUOWJA9Ec8tozCPsMtRUCCAcC0PwrFr6YXZhpcltBb5KhvBpMAKOAeGZ6D2hm
KcF7n85iramqCBL3lQBxZpYLe3GdpaSKYLbVerdIAWMet0krMLK2gjIENiDgLYPgi3/iNQmtx07G
67ZDY8+nwV3si2aERCa4UKrkFe5KHybSNMbZ8IIH0ogk5VbWCoFGQRcdZE1zy+78E1VQnemSGmh1
Qy4es1r64XvJJvUKweN77RAtzXC7ug2TijUGzMyI1eQub1JkELdghUpMl3avKROE0pVkAm7BJZCk
zhQ53BZIS7RbUg1lvGaETlTe3EWzgtGg3kACFex5IpmyVXMG/k7wi85wBM5cNLGStQpeph7aU8qU
uFrJHFKAdIkGt4Vo5njtagJo5z9r3L4ou2GQohHWKulu6muLkI86vm20TYCWNkSgrgektU+nMGCE
AEkw9QtGKTUOyRT0E6yx36rumvp26D+T6NnsPadsPwZA668bXFtMDS0pFMMxU42a/vmWVOmARqMf
l2CHGVwt98CTkKiD1caRPQb6aLes/Xnd4tohAFbHBBAICA/Kk0OlwZCbuV6gaZ37ljKwO9/XtlC+
Cv7BMzx8Zo4+pC6MZ2M2xlEPcdYykJO43XSARC3YRt2gwrNHhCxbW8RFZZtPkqiH0u+UIMnUq7dc
lq08fBkZJka83ShqcF2WngB4R/vw/4B6vDpZlRmlmkwA6k13cmD7jxnqd8jKTqY7nUI73PvP5hY6
3BBDcHCHn/K9aFzpIlByP4CLLolfSsRX8ANS8L/NsxedaHx3hQrl3EfuwtQlOZWGCPDAYaNstKfg
OQiczlFvUE45lJE1BbZ+Y/vfgeuwQD29ub4/Lz7ml38I9ngWze0h7kSkKYjrkVUDRRp90kmypt5C
RcTMXjQRJ6zIEreS4L8YgnqGdbYyuI8hd2baNHzoOhCkfP8Xn3DkZkDBPCp3fsobkNTRhg3A44GC
SG9OVWl3xjNYKjuciuumLo43lu+Lo1KnKK5BXPzcFIO6WUjTeX9qnRtDBbZsMdJGvl23cvlc58xw
YTkMpCgnFcxIO+82/4Fe+vCoopF/7B0NYm8WEC/XLc5/4VnB8MsgeAXxbv6iij33K0dHHaJNIwbO
9B8R/RzQ1Su9u5oJUCZre2JO4L/YogGE43ZfW7e9XwX4Ur50bP29TE5JfyD5Q8sET66vDseFQwtL
3O6TUy1vg2beE0qxnSrzEDVgy6IZRR+waB2lgxB9Xm4JyoNDXX8U2ts/LCg8lEERDVAczzfTVsY0
Nea8oBUURSTV8Uu3AeDY/7xuZ3VDLuzMF/wiLzYkKQEFkIwVNQ6RdlCjjSTCR35RXl6u5R9fuPOV
KiNSA6QitvzAHpR90Fnkof6NkcRmx54a3ZFePN+a7NDBCJ573b2LjGHel3/coxyaPx5Ygdo5lnHo
XlGBsMphFw1o2tPPEXQdZDzJdHfd4upJAK87sAEQH1T4LaobI+kVDwuagvoDOrxM+QxGxyeiwtHq
UQD3gAGqO3RNedBDOoYtidAkt2OIeEU/ivBZ6t26uNNEw92rDs2ThHNBDJU37swlrV9D+oLgJCTS
nlWfhtn9MhNAG6pScLpFlrgzVyVeOHoVLPXkwTTQBnyltW6DxlKwKVZvUHXhEneDYlwRGDZPgUul
cTt1uUVZZXdZ9ILu/2MVt8dQhoxR8EwKqG0F96gpWFI4ub3xXUVtcwQkamKhrZfRXu2C/T/sn8Vv
mxOMxYFsE+TraonfppRObbqFeisHmL96vG7lIm+fzwUDbgJzE+gm82Pbfmn2ROlA42YM70n72XU2
BMvl8mYs7P7juqlVZoelLe6zBinuQQyAYU7Jzd4wa3YHVkUonjh+4yAdg7iJDWxb/lOk/7GWiakz
1hWkcYC+69xHVsdI6Y14PiDDXa7c1Y1oTGN1uy4McF8qplIxxiUMlCxxInocGycp6aYToeRXQ/TC
zvznix2hk7xLWQs7WvgeppOlYSov/nn9I61Gk4WN2deFDUmV0LeZbYxtakXx21D4dgxd9qh9NESM
PqvrBs5z9QuFBmKsc1u932FYboStChLVMIU5BBlDGILS4uoOX1jhLragqnswIiDyBziyLHIb4DVy
t5VRNduoxvP15Vu9ZhbGuBsOKrY9VWYNjVC+9UDfWYNBdGMqz4GPtvuuDL9fNydYQR5Zl+EJQLTx
Kzl4a/PtgFFN+uzLznUr6/c20uJZFARIYv7hphYjnQI639vpQd90b7LrW3IEeV1rvM+s+l7bsqfW
+QFtXkE2ubrj/xjmC95KkcdtlsNwLRnbSYmdkjW3XqMLQu1qhFiY4W42LQQ9hhfBTAClujCALO6r
YAUvEOBzmF1Y4EJfSWkaqy0sTORTBUKwrHa9+U1VH0n5GoDST1JujFx0u62e5YVRLvANQSczNYZR
rcBthnFlZONOHAYWHj8O1T9aqHUF2WPL8AIxvw9hYEvtay5nzx10PcoIYCq1f7m+EKsbdvGTuFAp
QY1aw/BRYqMdg9m5p6IAr+5jJeparH1QsK6DoBGQpVn26TyypEWTdjnmq+yGOOEI5cNpEuzM1ZfV
wsTF0dNC38gxDWj7p9gdIMJpeZvwZdq2m/gDlXIUhq6vnNAgt0lZ7gOYMHMzRsf2M9t7Nx1mNSy0
maZP2SLA1myuG1z7VEsHuS1r+jGr0tDAGnavg+wM+oOiv2l/3XjEwVha4faoF2E70BJejcnvAfpU
fmw1w3tjfl53Zi2QgJRmRplqkMDgIxjr8zoCvRWSccwP48GhqZvp74X3Zl/+GOGjlUEKOQA6BHkA
mt+p/2SWjhk9GJVVR4c6j5wC4mrX3Vq725YWuT0hE9+EfAgssnKj+nZLcMaJNWbH/iPORFwygjXU
uQ1hmG0HfDWMSflz3DpD90IF19kaiSFKrOjt4yNhTIaHGzWNpFZjC1yMVtXPOiQKdsNINno5vZm5
Eltxb/Tboa5GJ/Q7cmOw5K3PS0yhR64Z/tIwT6Wl/YYOUyPIIdYiKfgzUOdiMsI4328zSasGco4S
lNFJGLkNIdDkYQLjR8SsRiRuvbbMS1vcMld+LkspYJZ2UfYWiNLsqfqligj51g730gh37JAS+cbY
wkgGodjeV5w86U6pFFvTP3FPfSnrztolgPbO/i4ySqR9RlD7A64+xdGG2AqyH9cPwerHmaV7/9fA
7OvCgBwBJq6nMOArIL4E6zVtQ8vrvuWqq2QiBOnazQK9MN0wdGA0AEQ5N9Ya6iiHgzozBb0X/a+y
31x3Zu3rL/9+zpkyaFXd9yhepCjf+rR2Av25GUQIorUlW1qZ/3yxZBlGML0UJPl2Hu07bevJrqp0
gJfjhfv0D/5AUQloJ9zGYI84t5T0aW4YM103QPt2WW8oBqSILogbqx/lj5Gvnu/SHc3rSC3DiAda
dUPfAuwhCLRr50UHvSkl2MqgZuHcyCrQyQ4Rrila7iaIRWfAij1G/0LTtrByKeeroWNA4AfxN6ny
OUBp7frXuBy1wBUFbBt0LPDmB7E050fbaogvIyww8Etk6h61BdZiPG8LFU7D2xfVK05o3GwBkQBN
oKPhlXn9F6wv5H8/gHF1OCinRxUwbXM5NbArw/LYS16/DaKRhtVj9MdPfsjWl0MlV2r4qSiYXMDd
kDyZotRl9RChc4YZS+ApMe14vrW9kdaki1Cgycg3rXrSwr2c7fPajUS1y7VbHkCF/wzxMYHkox8F
KIehikj6275/GaWd2rxV6U4VEXaQ+Xrha7RLY1xoUHOzrQA9RdrXWtNGfzKt0BojC326+6P1+jrZ
lnt0XWbtqKjPs3qKF25yD/U+j7Jk1GE5AtZ1wgBgEQqu8VWC06Vz3PaP0j4y/QEm6F2bOvWjZEsn
yS63/q3ulk65L2zXGlz/qXeyF/XoO6L37OpLevED+O2fGRULJgl7xnhXnvxT/g1yjI0VPf2W3ut7
5eGmdTAvciuagBZsIP405GQAOM2AVZIGUIQGccnRaI9l46jxe8L+FuCHEGPMwmsYLcSUAT+/Ofmm
mrRzMB7ifBMSYre6tm+nalcrJrSmBqupCgGD1WpYMyio+6CirAAxwqUztPHC0EuQmuah7VHZAjEK
xRRRI9155V4zrND7jVzZispTTI567DTCyc61B/7yF8ybe3EFSUbVKWGHX+DnJzIAqQkSj02R3Ab+
bYX9FT16ePBeD6WXUKZ5pVXowaGvQWYcxLlNMO41TdiaeNSA4rxX0Wm+D4t7qToEDOLfDDI7eWxB
TkZgdv5r+QgB8gLcHlDfAJCFixCJYWRpxmDWBFHLRxFPNVopZn9oB6DYs3omzgXX6LaElAW02iOK
Bwnp8Ug1Jhm/DNxNXdv/Cyng3AzEvB5kGQBMPl+KNoIseEV8TIlVjzV9TYDxDDERcd3ztbtraWQO
nYtvTLJpbFIvSG1Vco3ghhl3SJdAwHHdyloYXFrhvmoyTnonyXAF7wxLLwFWFfGPivzg9qonK6mc
KbCgxQ99iqohbEBtPBABFNYuSBPaugBPzweTTzZiQ87LoopSW/Krb5Fu3leKdKJsOBis3dak2V1f
uLU7HzrbqPBDIRF6ElxwL1F2zcxp1k6Rcytr3krjswAM4rqR1a/zxwifag5oIaq9CYkRo27tSsWk
iCjVXJFomuf6gAQH3BZNX/6xmfu952ce/AhCq0yt9FO6Cw/DodhkBzxuwqPu9rgqJpedghttf929
1XY3ZtGA7gciCNA7bhEVFEqMssbeyAO7My1cUMf4tuyf4n3sRFtgFK7bW90if84tX6jTYkhd+k2Y
ovwD1R7/VwvNw9j8yIp7oX7A6vb4Y4ov2CnqaPRhCM8GP3HCaDqGQ+CQoRf0Llc3yJ9Nz9/wcRpG
2uTBo05rt4MyPEy4/q4v2qonmOIDm9OMoOd1iJjiaZ2fwkRd/KJQWIoDt/e/X7exBqAC/BIQafSu
obOrc1E+ZUkFKCnkRXt72phH1fZv/N/VLnj1H4qfKDzSR1CpkA8ICM49e8DUsn38ev03rPh59hO4
hLBlta+VUpHacj16KsCmsnwPoeVId9QMJCPudWtrBVZD0QBmwuuEzOjg8/Au08SjnQqPVQwORRIu
L+3oAbzV6gDo2MUUW0Y7ExLd06rZYL5LcBRWkrQz89ztInckillc4auqGwmtKYjydpjhKm0q38mS
IBNeyx3OrHG3TA05hjgOYY3Sxwblhgmwe3Co68G3luJiRwHu6DX/cLWdGeUuHm00VRUDg8DZFneF
3yPJFz0v154vZybmPbW4o31q5KmUwC9JevC0TW24NPAdVb7VvLd4HhWUrOqDphJGuzD9+4qJiplv
F1UdWwf1aHjo2S/Z/z6Wz0YnIu1aX3OmEUTVeY/x1K5QEknLcMBva4tvKfReux/atOkLY5tWz+rk
YPOBeVooLrJyigxMFqMTMjfXL1jJaKjlSWBg0ccb+bf6vQTr9K50NDt+Bo/fQdmXbi+DWFZwmFYC
O57xMqoNgOciHHLfIYikJpMIzu6wGV3yw3sn7gQtIMzz+b+zE9ukdyZ29j56EF2fq+5qIO8FExuK
/fztKY+qVypQG7G9wYroNwbiiGZz3blV3/C0Aa82Spo6L32XSDIdMA2Lk0roVh9+YfJ39Gt7yLZD
tL1uaiVVm/lZ/jPFnZgSTJkGy2EqUJxEAp3yzsy2oy5waOXOOrPCfSxIzs1TfbBixNuB3NWGiDdh
9aMs3JjdXJzKPtJyUoQwEBGb+S9htwlEQwNrmcvMHod2yIz7vRBRCIJKqsIOxP16KLtQorAMxU3j
nxjGCZUjhcBGvAExFUR1RLTXa+f6zDJ3T0k0gYownSUDyocWbfEUUJafKA5O6FMUToUmnai8tWoS
EwQEbGozSJx/gylm5CW0Q6MEVZqkfs4hNgWmyhjscWNrRaAYk0a8H5zrm3HlK85jC/8Z5f2UjWiM
Z0bcbLrP2b2sfLLh13UTK5fgmQku/aw8f6LlABO+YcujVekW2/ugCxgNwW37hZvkXrFLS3yzru4a
DQw6sESL/llry5vIm/ngInAMj1hI6jT0s0remPKE10TJjukQgOgLuBvDkuPIMrRgH3YMU++V47MX
4smgK/0VQiIKIEqr07L7odfuIii8XV+glYBw9rP5JCXsAkWr8bM71DNIvumVbybwkpl73czqd4Ai
LTCFJkho+NqmrwZegXlGlO3ZpH4LTTN997ENIX6s0gDPEA2RvckYSNZkTKL//SNLg5YYzrAyjzIh
+HHhIilTCKqFQGwlT7l8yBKBd5cbGX+/jssJJjRwjs5/vghHaQd6US/C31+jUYuhW8xRxxtTfru+
hivoQpgBcBeVEvTpYOvczAz40HINyjFJ+AiKkT7eyHQ7+A7zfXA732mTU3aWbh4bu3zWVKuxbWJp
xWYShcY1dxnmzJF2zCoAPBK1CQolGgncLfPfecyOzShtx5aIkNKX1yL4ivAPJnsZGmN8lbFJMqVM
mhJFuNHSnuVt58jf0hvvqN9qld1Y+m36kdnpIbkRadB9se6cn2VYBo+KDBYKjFfxGOlJllupkBGA
e8amwJLwvP5UADc8YPx/5ixOGmD5m5nBOMxp/ZAPCSSDplSpqKOEYX4P4gfk2H5Sh5BhMmvmUPAb
uX1ddUDIszbNLLB7+BhmL+Pg2dPb+rmfcnw7KsfGjniR6D6eN8aFP8B6g1IM9UyM5ZxvnLJNE6ZG
FTrtqo/aTKG3bmImiq1LhmGVJD2OVYIUPYEyDfIsEZzxckYWiRtGgvAWQsPrcgxC8RLgzCsc/mhP
3r0f1CqOEmrUpq3uwUj+1qFEvcMEembdpHfqCQwugnTkMsad2f+6/BbHU1JA1SabsJ8nnz47eOG2
8161VJBarZ6KP15+5RMLKyAs6CJtlsQw6scY3B4VNDmVl+shYO1IYE4XCFuQ+8yM6+cfsq3BlF/Q
bh4CKu5Jq90GJt0yb8IVnVuG5Aku6Ms8DnhhDFCDORtEoxecZSDKkHylhUsYf4KQOLFIIOi1r1pA
vRlZFpuvBT5yejkhJJhTAJ1tTBXTdpVAzGB1yRYWuFRxLIEwAds22gf5Q+eBY/JJjg5mDGIW0cz+
5R2H1TJnHVZUu8D4woXn1usqSGH12ObTCeMAcrnzAjfrLQ1kuEKk+fye5o/0wtgFlTsymyqbx8Gq
0knJbT9u09I1wB3q75i6GaiT13dpiOn6nQESj+u7cEVo98xTfhjOk9J5phHGy1P9IA+W9GLao9tv
P5JbzbkFt1vg6NtXZWf5+8JSMNACxiYrs8Fw5qZA5gp+ztrBWy4FOT8UGFsG4mted7k8Vuhomjs/
EESQtQC6NMFVN4rA9Dxlnv5rE6cd9gSQx8npG3QWN5Jh10KC39VjAUYWinoVNhNfOhqyOFYzoEht
v9jUzb08vZFoZ9R3I0bwmt8G3SfqeyGB5ziL7Vz+UWt/XXTEoUeBXdOBcMeDgDuWXsn8qKXwN4Uw
KpRArI4IouWah0DnAwAM5mhMInEW5KkoYsJmiCyFNkx6C+JLwbZYqb/BCbSxwIcGcQXKn8eqlOTS
izEwA8UBjx3S8VExd1J86zduzhzfjK2yBtAN/wrah2uBYGGYP5ux3vlN18EwhtVMaavQn1FzUsaX
urhR/h7Df+YkfxSjEaGomJ0sQPddjz+KidxIQehcP/Eij/gjVmYJG+dhroBSi013SXbAS8RjP+Vm
B6CzwNragV6uH3faWsD26liefQL2Sn+vm5uo/37dobVbAcIz8qxjh2F2/kVQFFpVlQ10RAxPBWSl
Cn+HHRge+3wa3WDwJxcCsyKWxbVFnMt0aLAC9Q4CxPM4NUgBDc0ZiJfGT00DWnpbkl9yxRpN0G89
X/dvZQlB5A9WeJDDg9mRpyhX207JJQZbjYnCL1HZc9GwaZPo4Sg4ZiuhcSY/QYcRD7uZiOfcK1/2
8PCFHqQdZqGljOHJz+8xzHSSlOKmoKdAphtDQ3p83b+L74eyOhpzBvJJjOGA3fTcak49AlB5hvML
/Ffefi+/2GTCfdb6N6h7769bu/hynLX5zxepHdKjiLUlrHXlXlJeoupG64OHqepBuxBZ1AgFwVHk
HbemWTp1UVjBXlIPm1Sn9wWroViUuGETnYYc3IPX/btIkM/943FiRkMSXQ9B1dYpDeqcz1X9Weof
g2g27LKkxtnhig2N4YVRkcFOY5L3Oo4Cq4oy6QCl8SNJU6gsDwMDcfUA5QRIXrgN6T6lpogF4UXk
LRfM6tAYFWX2tpI2xHAKQGJbjPIMQvLz1c8ISQTsT5RDQa58vm2gmZASc8RnDIrbtNwM8QNCtcWq
10DUgV/doAtL6rmlXtLNbBpgySTf0EgCRWIGtBVY3dvYsPxedOZXVxCEpyiHgwcE5Yhzc6rUJ00I
Vju7KWEpVJwUB7yZyC3D1PQ/bM2FqfmnLI5eVMWFXFCYKnTlyQArXaShEtmzfaWJBC4vYua8Oxem
uJhSR1KWkQaLqPrmA2hlgX1vf6pGLfBo/RQs7HDRJFLRje+DosYAqksnJwOPGAkKJ8PeKJNnzGKn
kOvCRLYoVRB9NS6qxHowtHmFpSwpikPEzK2kaoGBz50+00Qh5XI482s1wUyjQJZkXtjzD1emeTFT
RdaQ4Bl+J4ViAzB1Zwz+vknDNy9LUW2s288IpCCxmR0DQwZepHai0nPQKn5VMTd7fSPN9s4eTOe/
h++jd5KeFX37teogZpIr21A7KwkY2Fc2EnPA0VPU/T9EGty+6B2g7oJrn9tRUp5odMgqfGk5h2BF
prtqPjpTUTm4UgTv3MsSPhxcGuO2VdJJuQHS7RojKQfaHcDkqIbHPnVy/QWkp4n5GqB5cH1NLyuS
nE3uI6fl1GBkEDZV5SYL79IGC1k4TfQUI01sHTW/9eVdHLk1yOua29HYKf1N0DzqIfKrQ+iLEJ9r
J3ixBLzEniRBGIYm+Dm15r/3cf3BSLwtBu9vX0dfXgOJCOj2LIHNhT8FqTYNc5iJdEAyWPYd9b6H
6yu7dnWgHvKfCS7smT5lHqZvsLBRbdXqocblP0n3SvzNkwUlGJEpbpMys5m1XHEwKggGBulDLZWb
QgcVfYaHrWDl1j/QH7e4PdrUgZcmwAPZCERghHd8CWA+VSDjsm5kJjNHuRElf86heDCNsJZw6uIa
WJYoAK2/dyhoJvhEa3cumAz/M8P5UoVJ7pVTXdtTdjtUz0yq3+rslCfNhqEkEoAwXJClrV4cS4vc
aZsgaCZHDSy2Gahu8535G87R01hYN6FkT2CN6v6esBRBZRZR+yJtBmXpeRRvkIc27YC1lP3mGAGu
Jem9mzQnjCA3VMANf4m6nc/VwhiXxRSJn/laCP/CgroDCHuDFGDqorK9YtP5iqV0GCv5lpsPmHaF
EHCrWImIk2J9jRe/gTvbfjYlqBbDYcYs03sf1EeQLaYNpAtwg0GAo68sQ72r9e/Xz7vQLnfgIeQS
6GgQ4BQCF4TOg9w95GAVIZsCDMJSkloFA+WT6ijIDK6bXj0uC4+545KlnRRlIywX6ArI3c3Ehm0n
etHMn46/fdEqQrBE4oQaKZf5Sz3UBSS/rW0yyQ4YE/Bqatq364585dPXjHCJfW9WjW4ODRinzTsw
qjXk1TS3lXRM1RNYGu3y1STbujkZ+a/GFCziajBY+MedE6mMVakzYZomDSgZZWsCbUqAkQbQCDNz
V0i6qKuyls9AhEyDpDiaquA6PT+ZWpFFsj/BolQ8j91tY1p6uPGK3kpoabXNTjz+fQFJn4/nH4v8
7doZJKnHDBY7fdsQl+X3YzxhMC53smBmMMJcaoHemGhaZXV/Umg3AboJ4BE/aovxnjjTBrT8culY
Dw+xd5v5++s7Z3V3/jHB9+79NivzeZTJLiGRBKUGp09EhH8CL3gYUap4vZTMXmho51dx7vjjIQh+
X/djPQdUIVk0S11Bh43bhrKvJKFkwEoSB9/x/1ulMnaVXriRN4HnnG579pChv4TEV8SJvHoCFqa5
4D1VaToBwADTyrdiCCwz6aw+bPet953273Up0j1c3f8Le/OCLx6GJWALUd/NC2pOWzoNW7Dbu0VO
rNTs7vySbeWZeyER8a6K3OTidDp0A5Vns8SUvknezy4pAzBgjpucvitd6vakEL0XV7cOGu1fc+2A
6HIftQ3U1GwmrGxIxg0hAzQki9sQ7GGGMZ0i5SVUxt0AbT5LH8MCeTbAtKb0KsemZdTeNmeikdLV
0zITbitARoG1nYs8KjDrbaQZlT2VwzYh7eMQUMGBXM1J/zPBZG6qryvwIJ0CmKCt1WsnPF6ieGuo
GMUWJKRrb2IkN//rC94O57tIajU9NQcdKQaEC0JA/Fp0rzCCssuELbv1z/jHFHc7Yao+D+X5M3bN
rmMPRv/aKKJL4f8JAH+McHslY80kjw380VMf1TzoJQCEGyc3oYdmVeZiuJz4eP7WolEWoWHu+GO+
oC0giwnv5AYc1oBDUFBM7TpM70BWZGQ7Wp5KXZCCi5aUiwEQo4yNSILRjDj6/5D2ZT1y40qzv0iA
RIlaXrWUau3qvdt+EdxuW/u+69d/ob53xlUsQYTnzIHnPAzgKIrJZDKXCDSue76r1R0n7F4EwWQ2
+MTxBy2a1yYiZ0k66PO+ZWjOGMLCVUbVAWWPte67F03+AoZxLCVRRz1SAYM0u9kWHxVmrfwcXWvR
xvMGDtii2V+AMTGfZDRaXo0AK8fMHJO7olOs0f9R57xSDg9odqcXXlr1pQpvJACF2X3UuxIWpemQ
H+dU3Hh7xLgkWuACiCMYgqgh/+GnT4E4btKyflrfo2UYNFpjdBZjYSy5WVnkQVpPcEsShgF7eUQe
+2kA287/hsI4iiwuKh+lj8oaGrqVjOAZcodulBmcZ/LiTYYR9H8Ww7iKNtQSv9UN+Fi8+6fAVbzM
oeG2wXOy9O2J93rlfTvGQUAMslfaHHAYaAyIVZDOjEJeKwBvTcxZRbImMNQBny5F15pdESOIoHeR
/ggTfXIa9FnWmIDqZUdOpvZ5fdcWz68qoy0HnXngJ2DWV5V10qiGB2h6QHQ8SJUtN7YcWKL0X1KZ
YD/4F4pZZZ1g6CQrACXJ7VH2R4ipPQ4pym9i6390VbKTUcDsCwgOrS9xcQsvcBkXpYjx0EWxgNgH
1tGCpQit1/7QcxKZi3t4gcL4JjkG6bY8r05X7CZ5LMCOIqGQDurvojIcbmvHooe6gGM81NR2rSGl
WFTiOx0SwV3hyvV3RW05H4+Hw7goKek7vRSxLFI25jBHjWWI5HP81OYRL2Kco5abh/C/a5LY8AmS
sKkX6sAygpew3wXgoYwhttBaU++ZSfw0Gb8H8TlXeBOTt+Po8xPxApgJpwZBTdQpBXBY62ha/117
hr/RB8hOwZWVseCmxVPXjabR6XaPYLXowN4BVS8ig9O60x5BtH4/piKvsrNuUiiMX99CWaMpqLtj
j5vopekOVH9o8mAfJa+q+j2ueMp4807efn3Mq0PXCPOj7MC6LI1FUSVwQlUimlAG6fLBDOXazKTd
kP0YE7QIB//lPv8ayYHKAWb4GI8wxB4hYQXnigc6Zq6cuvlWy79KHkvycoblAofxAEI7RlHtYWka
uA2yXRqCSO9nUm3T7mGUXInshuKzal/K5AFjM/a691lOkeEtIKJwiqQH27OhtELQ9D2Mq2ocWh2m
1gHBtinnd0W+Nxo70sy2rEwfhCPrwLPnvt3Pf3G/JhsvYpjMn8qxi7HoSSJmgo5+b+Ad2MXUyp+l
sROYYyc0SSIBQs/QfI9VFNpWRSSLacgYoklju1HHTeL/dV/813H9szLmXGhZhi7nDmZDBQ1b175O
VeKuf7zlO+MPBBNlUDVsaxEiAJaRnypIiob5s4brfx1k+cT9AWHuXjAM68IIFmYLNT5TEXb1zFNA
ZLPGhqnDYxPvJ2G7DskzCubEJb2YZi0BZOahh1lL9l6efV+HWL4x/qyKOWyq7KEpQ0dQW6KVOKtO
mZe7rXoKwUb1X4D+xBPMHkHMqvcUGe5R0TAJnka+RTLd6YbMzHXlbR1r0RVfeBDmdlf0kjTqbHIg
PkpU9JDFrzUq0K2+aX2Mo/EmRBe/4QUcc7urRS1BAQpwPiQJwzulsEr9nFGOa1o0hgsU5m6HMKiK
kS2gdPG0o7T9lFrCidbXF4Ky4/UVloiRUWQhIMKysgNEJ4JsVsJ9Um7W92fxvOpzGUYSFcVgZULA
wU2aKMX0IRnyk6DIJzUVX9VKe1yHWXbmFziMcWOGJG49GX5B7t9QypJkJwo3smQ21HfECnJxWzDi
BWA25eDOtnzjzC9wGfsjo1DX7TRfImipqrpy702yicej7WWDmcWVExg/6iz4WUBmpig1M2vro6aB
1G79dyxu58XPYOxS9qZM7ps5IknafaEUhxpNXekwmETgjTDPK1pbMWOcqUGLHq+vymrTTwrDqSI8
7tBW3L+BtpXjFTnLumHFr2MvQyMujlu18YPQApYxWqLC8YyLTmS+u8A5BpIcndlERRnUSOthpOXo
KvUvdOoUGJIMRZs2L5VYc0734u1ygcbsldFqcaMN2Cux/06qF7U7EOO19wLMLByyYjM2LecM8gCZ
HYtrT1Cg0oPlZZHpq1YmnCQMX1T5XSo7VHVkXjpo0X/9WSHbsEyDADJFJMCh10GLgEzDFDXP6wa/
3CpygcE8Dbwa7T7ZgEWJifhghL0xy3l2GG4lnS0lw13ZR2exqX9Wcj9ZmjK91N60E3QP+cPwHFYz
u1uVRE6eyB7E0kEv0485GMUNiPRyfilZODCzmuTcuEdnoXLG1XpCI6YQMbISGWX92ncx74XhqLzY
kghTmWW8D7rGVYoYjJrwVFG/GxqDlwS6JR7At5ol+SjI09Ff+xWKX0SdfgGl4Xbek9ECxSzGQC3t
Hf+HRjHtjtZm43wTPxpLfBSOmdu8gDUmeRCOo7v+LZZug8sfMRvOxY9oZDB5FAI+RQkqzKGXNrli
qbLGcYZLKCCe+uc4G/OGXKB4GDOEkDFMIxKnvYC6UVIod34JZe+/X80lDhPnQCw1KiINBxlZ3K3s
5U6pYfZA4SXhl70TGI40EdVZleUNwqhdjrY2LEdTXzp1MuvUbhsMZo4O2FtElTcLv3yVYmgbCjng
Q0VX+/Xn83tt8GIFlpLEVqKNZt4eU9SAITMxBKc+g7xiZAoNKIwo56Qsuo0LYMY6/NAQkhwNG9ao
lS4UV92eJ7u1eJ9cILBHMUgpQil8ykFHCDxtChVSmNo2h+z0umksXpLgCsS0DeT0kMC7/oagFTOG
vIdpZMEjLZ0QDRciolLFwXw0B2rR2i+gmK/mDaQTs2yGKh8UqTfVWgS5c8S5Q3gozJeDOjjUa+Zc
nRAeDTQGhOj25JLXLl5UaG4Gh7Emo/mfAYGYtVDKNbZHApmyHx5HyG2IoPKpz0biRHFiljLn5r9l
dJ7d4jzRgwyrRqGjdL1RRdLFaawBssnM+EQfx3v1ub4j995GtGdhMsz4dzv/N4K6dQNZOtQXuGxk
Q6o4i6SvN9K00zWHonE2uif+oZXsMeKUtW4HZq8XydYZoMAbdwiEcVe6huk7mm/68P8QkL1P9ynE
2IzJfBPN5KXcQJy8MaGcKnCeG0vn4XK55Pozo4gsh6oC85mGTRsdxhG55We9slXpx/p3XSwcXiIx
J4+mRkZ6H0gkOsAlt2Nry+KBUnSWyNtK3ZTQyC5583y3nGjMF2YOoa53PukEfOHazE8TwnxMhZqD
DwkeM3hrXrzHQyObmGmxf3iOz6tuyzxjYs4NmeJQ7CJ4bJDkbbxn9T56q23NCR1U4VwfG/oQ2boN
cfkdfSxt4XsD1gq3fi9g3YVVbxE2GaASjXZb+Vu1ER+EQ8h7Jy259pnQAAKOBIIq7KAxpr2mGHr3
uMOGOy8cQNvAu7aWHNRllMXse5WlTSKOuDwyz6RgVxFS1+MOKiwmLC9RmH2uEhoq03xFpXDo0KfT
khOYJpTgU27RS5EI0FJxSvFlEt3e2NBRdNatm7fI+X67iGwUVHXRuAh4KX/oBYwaon0wzXhF1sUI
4HKV7HuoSQXogcCekH6o9E1dH6f+VRUgLp+819GLmG9puSunx/XFLV3Ol6jMu0goBvR7p1icUgr7
eNIOffIbVLRv9Sh8riPxPiPj9KtOzLMMrO+WNt5T6WXsnhrv9/8EwT6BojZpM83HYkg8WSQkoH2d
NlOS2eswvK1i5zUn3Qho288fDaxsyD4g0Gj1XUXOHXV66TOSDrlki2q6W8flfEE2xPaDoZPEALA+
fa+Qwu6kB0re1jGWvdq/7yY2DqU6uAnSArsU9mgm7UDH1Qvvut4fKko+Iv2p1sPtOuKyl/qDyJzu
0YirRPGAWJUnT0SIm0JihHPxL2JASBYDmxiEvum+ymq9lvrZg5A2uMuNHqkgQ8nbn+srWfx2kmLo
CsjNdMp+OxHdThDemFEgqjwK5gi5p2S0iSBDoujsI3H+v+ExXy71pzEGORE8RvlYKWcv3sTjMdK/
pd7DAFaedbBF47tY3PzfL7ygJoZRLKoAGzvIoyu7Kq7BAsDpHl/0RhcgjKuN/a5HeR8gXl86ILiy
xNBArkE/o6mFY3a8zWLcrepnEYlFQIHTVDbQnuM008c4PMnkIDScavjit/uTBmCLiVpTj0XiIVDR
wAA99ntJt8OSxzewHHBeoDDmkCl45aNlFOJ5p+Bcbact6u279FRAuSoyUUPJzdCWd5klnNKNmJrJ
SXcIZ/9uSXfmkOziNzBW0rQKSGJiHIHu5xnqR/4r+hc/358JhaJfaXcWdTVrssY33WkteT9Rq9ko
nN/w9WBhc6WXv4ExIuSBh7T28R1a8FXYaW/Rx+FQu902+ih/Bg8yiDsdFO4lZ/2ALIejF2tnLCrJ
yKjWJXAhkqULJnIth2ZLPr3PVjZRDRc3xCw/0NdxLtA4rzkpr/64eHgu8GeLvzihnqLEsRECnz6d
DFB0vHnHPnKw9+IGImyP7cF7JHegmfE/1hfOw2Uu9kitC6pm2HOQmYfIjyinSXC44r4clK8nyMXq
tBjzCIOM1YXVR+QdIBYRR505lZy36fxjV4zn6+q/gCG09uTImD8iSIGTQPsl4w0BWQpTlH9PgYhn
jYgcNa89eNEZ/dm6LxaMC1Qlm6qgG4HaFp+Cp9hJDNqZBAR3zypypGG9Wd+xG38EKuc5MQryL3SY
G+y4/1QYaiwKIGuP8tqGnGqruQUpOefhq8p09Slnwmgyt5Kg2o8nCPM4gCilH6SzQCAoa0dHOYFY
eSfb2QFFcDyMJniEwB4sM88s1A4z1/6xt3Rnv77S24w18yMYpxhqIIlQZqHH0QWrKzTRP4yDZ9en
cJfvjBOIsz7jX0dixufC1jmh9U3QwUAzvhBDPkEVV7PSnjqaAxgm5Z5zh926WwZiPjQXdiOXld7p
s7A2qJGQqVG+f4826refdK+fpy1E0R+aY/g9fcifm7vpA4VaX7Ekx+O8/me/trbPjN/TJgSmoowf
ARLbMrqPxI0kb9P0mEMhhLObvE/KuDg/ETNoPgFKM5NvmKlSB7P4SF+O3avwW98qaBJwtPt1zEVI
qIpD3Am0roghrz9xnA3ZqI8za4oEJuTWsIqAEzYusE5+0QP9C8HuYhiKmTABIk9s6YyBh9RtbMHU
zs9oh/mJmerf6vNbZQqGVTmpW9p9YepgoN6EH+pde4gEzle+8bQwKhWsRQpYuxTokjBFnriPtEIu
ZCjLSHvS7zPFGfXfOeXF5AvLRigOUkD8G+JpN61ANEnbMRQNGG8U5huj9btthqaCydQyqvq2ZgT6
KRTT4M43gja3qzwt7/o+SZ7CSQ73SUrS3PWgHhCZZYkkL1G95IkIenkk0QAVb6IMJWi0KHRx676v
PTPKwbzpqGE4EvB7hvQJjHYRWgZrou6iukbDjpBIAu+xeHOhQAYI0/N4FYC9CBoojBf0xtj3qgqr
lGMqOmOfeZZS18Kub2bAsgERMukVl45t76KU/deDgTO8roE8CaNXItrKrs031fo+jAvcZSEh5abR
Yv9dH+UCCZuKN2Z6e6sAauaPQa0LlFcqs9LBiKQoi6CEkbToDtSkLNwFhaojlzv0HBNdgsLOzTJx
hkyQ7b9eVVTIQt4n4HMOxqI+5LpaPJCo0T/0Qg4HDtZtEQ/TjirGncFDRcCSwxJJDhie7euixDVl
Zc/GOd8ONpXsNoEGUh2Z8RGjEpv46Lu6TZ3EgSN6y1xe5nphwVe/gXF8Utw2vd/jN3TRkdLXQPsW
g5Ru3dPxMJiPOsai3+Y6MKbs7LXnKthE4dM6xK0zvfqUbAK+Gqa6ESZAKNO4kaRki5jH/nsI8Bhh
Mht/wHA3r/LiStR6JSvB9o1nDhg4Q1W777OYs4rbhOTX/OsfDMZhdw2YNhsBGKWTBE50n77oR3FH
fEfaG25gSoU58TZn6ctdLos5x3WoBWB6A2QyVaYBhtqOE/jetv0yi2JMzEciORdmhOqoPQUWqVCt
oI+KrZrpprdrPN70s7bPLJH3Xpv/4uv4YZ4m/vM1GbsTwGdlDEEFasGH5H7uI7D0b/RA7kNL32kO
Omo2xqv02p08i9fytYisELBWovYlgYjq2lZU2kErqQSymoemkj1H77kWm3SwUfAVh491w1y4CEBm
AKbdWcIFgTcDBvdiJG3VQBRDOo/dzJOEXjnfGlRo7Lmjh1lH3ojB0oHGp8W4NrprIHHPOOQ2CnKj
yKE7nCH0E4d9Gv3A8Pb6qm6DBSBcYMx2e3HcKrkSQL0LDCEzw99d/Sb6dhTwDtxNa+1ch0fyDkw0
0ChEMeMapaaNTqgyZJb3Iu6LJ3U2C7IpdVR3Rs4zemGbrqCYBQU98YZKAJ0PRkAENTLT4EkFIWVg
mJKKJKhVTpwq3cIXxNECayrVQSgnsdOLCe0MdAmDBr8ozqXcm7GCzC5aogpeT8wiELie0NshYwSc
bWnwiVpqWdyhcoK5+jGUTAOk0iAscGqlfFy3igVvJaKy+w8U+1j3CiUXpwZQ40zAVGfnsS2+rUMs
GDcsYtZ3Bb+zcfOGLZUUMV0BiL7z7dST72Pkm4KY1zyz5OtRGYdKqTxT22JV16bXoj+i95MxxdjF
pp0ew+QgRK8+2VHocoToySgP02D10V2R3IP4aX2Ntym9WUNSxl5REBDJCMavwdWGanHgKalFHlBW
Q0bpqO+c2I1d5F5Hc9wYDwLesdBMac0XwfU4Z3tpF5HPE1E/xBuesE8fURC0LoxpakmYQ01bHIlw
s77ApU3EgPvcAoCuDdCQXa+PtjT3VDwtQBbySvP9RB64oeItIcn8DRVQVyPnAQZrVgVOCbtRTSUV
b1N6iHvbMLNNZw4P4Wl6aNDcIGx+kG25XV8XWTprIMmGyokOxZObIcOpoHlDSywsNWuz3b/XThOZ
GBoBoVtrpua5s4lr3KGB6c7bVpCa2aVWDGkh07f8De/H3CYm5y9w8WPI9VeOp7Qqkho/Bg0PkmEi
beZZ6Dkwm/tog+ek+K49QrwaD6TQuvvkfIj572Yu9ytsxnO3mIWQQP0A5av3+Pe4tyXfKU3lvv32
U/+c3GGLHpBtf1Q1M3rQ3Dw3JYvLb7VoZBfLn8384opqSyUqqnkvcsd4kt87E0WtE3VhdNbgCKcH
8lBw8v23/RDQA4dLwjsapi2DUJqBxGXf+1UOpdnGBd3v6NQn5L3Ode3E9wMHbGF58ytdh7zmrELO
ylyOfpxXU4WCeB9vxVQwp2kbQsx0fR8XXAH0+tCuAy+I0Jq9gHWal2GhSzChUbIwNQjGYQ7Cbdoe
4fo8nI1LECELZLuvv5kHVa06yzUI6NzVbvCm9KZ3JK0pPt3H74HjR1skJGpzfVlLR+MKdD7HF7ZB
hCDN9BSgvVW7/lYydcS/2/pb8aadyJacwXFTbYJTepBmlQIO+EKoAe1oUKCin1EliP+uwTVjGgov
1SGaYXtueYp2+t5XzOGD3CMsfMheQ5vuwm/xW/gUuc23dfAFBwUSW8g/aeiWAzQzipCW0DkIvACx
YXbygruwPGnG755w/OCC2cyM8Cqom1Ukeb7ut4vPq8dh1sQZxhb78lVS3tXk720feQYZuWwdTb43
KYesbpsRJNsZaI9Ks49tkp0xTbv+pRZ2Ce8DGZYPgh4Zd+H1LpHEU9S+mx97GI5Ln3vdzTVQG+5E
+uiBcVHgVlqXvAeoBuE/oJGJ2UN2fCNMuxG0v2NmNY3bO6Dr+mF0dmZGYF/nvYCWTt0VFnMABHQI
kaACFiaP07v0pH8GG9VuN2RDzhY44E/ih8h7aS5YxRUmE1JJeQntVwmYuRNAEiTHFRnYMdyxfAru
GnOv+7xjvuAjrxDnh+CFHQqihKHnFoKEGi7gn+Jr7FuNOe5Gs7YNx3uSrGTf7ngKJPMymKvvCpQx
nL4mOZgi52UaT5NwwNhSr1pyk5oZWizXbXQpSr3EYhMredpRtRmAhWdY7UAkCbVmS3nKDpF9rz3U
T769Drj4QcGeACuFA5HYHDFoNzN4NRHOsh2tCddNpDyXaL37S5RZkWdmGsN4CEgAWYJoUfTECY8U
tPA1MWip7ULCYCyP1exmKQwIYxtlASINbwAI9aCUBX1gOXNrnqO6MflZ9AfiKTKe4ZjIYh95otQP
6jBA9SciMHbZ7v2CYwI3Dv0LARjQu5nFRZisfdMWBdjPQTo3lIadlbZuPEoJmic+/npLEAFATARd
8ZpIFPaWzqsC78gCKkmYgE/KARMcb/5fPwsg9aKAJEkSset4gDBrEeo8oJUG4vMskB/ktrNpJrnE
5/ihhY2/QiHXTmFMeq+NvBlFjneY63WlsD3LWu3+/RdTZsY11FQUpOEZN9ANSMqrE7jVu4Qem0E+
aRpmgtP2P8BQ5IgJej3B1MvWdMdJIGpFURavIXONgGYWiRZ4rNvzWbhyadgYqMvhFoScMtRRmNuC
5GWGjL4KNWVKN70ROqDad3tfteskehyE3g4CXub75vplIJnLItIxwDc0Ggj3QwWN6U5Y/PC9xo4H
ZOySjVK50Odc37Abv42sMQoYCEMhWAWhSsbEtSlXC9qgoqrrNYJqPE36AhwPhatO+mPnpZwY6bab
cMZDxIvEFlgXkN26tsPAk1uvTaHT0Xul2yZOoe5Tw83Rhq+9xPGrJD0EwbvhcyrjS6vEXJSiIKWB
4IkV5kJU1YdphWSrXO39wMqHxqzDQz1A3rnjZHgXXBOqe4izyaw3hkfR9QJJFidTmQMKQfAulb1j
m8SYfS1/t0bzsL53S1AEASEmv3Br4HK6hlLAS9/TDtZC1U7E6HjRnvRgbI5FXQpm44//wVNB4AXT
JmClUefS1zVeT9BY6BEciIqoDiYeTF1DOZKXiFnaKyg4IcpFMgYDnfI1imHEI6wHNcRcijXMzvia
ia7Wh1BKFLRP5Jsxy97Xv+Myojyvbb7d2VpeqVVdUpX63LtBfyUjiPmU0pz8qjYjPd7U3EZyHt58
f14EaPVQN7kWAK9Iw99i0Fh1NuwHKKpjOOVBrXjx0oLrB+/9n+UxR3zEO7NMYnxQPes3hfAsqXST
87SjF0Hw+gG73kwqyraDZvloQLkXaxhisivlhwbdwaoU//29r5ELFObL+WlbxdHcyzMEZCNW3nvb
lCd5+umHFacTYmk9KLbCKeJ+Abc5Y+vyBN6QKRrhibvHpDcsXxDMgOd8F26YrykkCf+gYs5e/Uqk
jJUHYT2MEUp2IL6J4ZuHKmvm1Q9l+CPVOP5iEQ68q7osgkQL8sDXdjcOgSgqxXxrTsVei4+J/Fmh
9VT9VfT+rpOf1k/VQhSoQaoGQQACG3xFxtNXYt+KdYeIIzaMnwJIVuUs5LyIlxwgwjMZJR+EaTfT
XDhEokJq+FqkcXZim9ltP35HTQMdiJRzTy7ZA6I0DaWlueTPFrRCqcQbTkPbSqRtMddoJuJ2HoBf
/2S36VvcjpcozOWhKmGaGSUW1CRK+ilMVN17g1zdQ8RxfJGESduiulK46FpJkJzX6kNUoFYOqo3I
OBOj757U1CF9t1v/WUs7iU9sIHcD5t4bhoU2KaYsCRQk+AzvXg6L+6F8WUdY3EgZ0txwIHhjscOM
xKeZMVYzQljG4b4TUylyB1kC51RUUO9HE3S8TOkSJBJvUDmBYqYIE7o+DF4jy15N4YQxOfnei29T
LD8UqKdjDiDdrK/uNsfBbCtz8IxwpF6gwngEKOwlvau2jjphsCEw1cjOSxnjPW7Nu0eXTju6mnBV
QxBUIWxzpyT4lTZRdDYVVbMLVXk3he3RS4btCFfmVe0+Vip7faE8SOabdrk6epkPSEhVmY2imoP+
s/HsxPccdF1m4X/wZ3hfUohG4ZF5M1nZjWOn+AL8WZOFbquJ75lY7PMCNVmNnJoRvESp5qyvcMlq
IJorz+KSkNpmnVpQTgONDIRcGgpwyoRm4zQ7KDnqLDrlpOIWQ2Wct9l/AhB/ri2UaFFM8xYW6qF0
I8c9piaB62+i+OeggU3lrvSeNLLhThYvujpYDGxGQbcRy1oVoF12ipW5Ja7WTClL76sm3nhcDp+l
KAjZ9X9gWJKqWh996IECRqx8x29eBRQtynwTjJPZ8fjllraNQkwW3WHQT7shAPapIEUEArKI/L0O
ysP6p1H2miU0QwAxs9hdN5LF837pW5irzwdZHBq2sFtqK9+F1WOua7kZ572bUH9DpuTbMGGoKT2D
x4hzIy7tHTogUJFA4IwkGWMzWtllnh/BZuKSxmZBld9Gk+5RWS45kdjSnYCeNLjq/8cZwLi0sJGz
fBoExEft+C0vjcCUR54I8OKuUehHYPgFjBLyvNiLODlqh7RH69EstTqaGDYy8yjCVQ/CbC5N3E3P
BTw03vpI8cCNzMTV11B6LoxTP6GdT20aXdo3huwnJwSbxWBCNtRQ3aCLat1UexLfKQ0NHklA2oPe
VgEnT3O7Zjzn4FnwS5BC0dkyNJV72heIAixUMpxeNUcPxOsNNbPscd1Ib48fgHRUnxR0rGMunVmx
3PW0lQ1k+r36mKnfB8gbJdkWT1V0lHHCmlujvIaa13yxj9AyLGTwJGZgxQTjvuEYOcIoXgjBA2EM
sqO0LqW5FS7F/HP9YQidGVNOILSEgV4meEXkSzBbx5yuUO8qcfDRLgPCW1tNum2qJRtZ4CVJFmDQ
eo0bTUcWQUY1//p7jRLChUJCvjmrtR+gGnE1D/7DL/y/jmnx7viDw4oIyALSYb2MQoGaQkSgEDa1
MDgelTjucHE5Bmayv4gq0NZ0vRzBQIWnLlV8tdHrLFHPddNQ88xsWp7M0YLjhXgkAlXk7ZDpQVv3
NZRfVjjDiQHSPmiPpLqjaxicOel5aOvVd7UINrpUWhOvh/w27JnLfXjJIYmL0Q+W3EkN6yDyQqDq
SfJcVNUrKXBLi+hREbPapALkWHzDWT++C35CQoOYOkvuqshCMjbSyX6UtFOYW54mbjr5Ixl7d0Ks
NVIeef78N12nQWGIf5BYKwEPh18PA5Aa/YXqBq5QR/CoMw3fKWaOG6fklQ9u7QW+GG0ySLlr2m2/
Mw0LkDyjVm3FVfOClAIUAkhkZ3LBEztbMBcgzFLvcPxwgmz7LDhvAmg7IZpDJmAv6xGI5/3S8erg
u9f1nxOkCTHTY5E8u5eQEVrfQN5nZU5F0uQeeuXxWYO6NLUeYdxd1G9U8hZqulML75rKubEXLQZM
z6oBUZLbGKjVlJYOdZxbkopuquBhIKMtemanceLWpdOAts//j4NSwvUZrKCiV3gqFgb2EWSu3xRj
srzIEuh7arzpAo/H/zYQkQBFDRz8+S5jmUc0jCEHfgVnWaoHAjIM2f/7wpw0C7cidkQVYA6rrhc0
lAkSDS38V6ETEXPOmDOMm9QwS63IOKd6aTHIHYOB6cubsMVwVNQSISEaGp/9wqT0nhtSfUXVzGmm
Bopac3MpRjTYQKetxDiuPPiqgdaZWXj0oKW02QhjdA5E4ZzWCt17pD9KgrDX9WonkPylLKdTQXzf
FjL4mjq4Rw1JQSzb7XMCNWUBEZkvyt1m/YB8zQHe/FSoKs9lV0RDbAtnX3VooouDHKqn6qaQ0q0Y
oANWFe2iM6xwCDB/5Vni8NOfqB1JvmV0f91TPJcKZMjSIFeGhBlbNqgLDxXIEbJyubT3O830q0ci
8XTFb93dDGJIaFBBMl9jS2ZpkpZpMfpwBHBCXi26KsHTMtuuf82vojjzNcFBTChap3Bn3GjM1Yky
RcTAsRw2dCPcfQx2+gN8kmBlKWvTHX9Wb49z03t2OMbnykxen4TnYF9812xuk+ltrI0F4+2Ml5+G
ERM2rG+jMpPkGAvOh9jJ2hdtnMegmmE7gZyuqlp79KpHqah0k3L1LRc/Nl6dMzpiOFbEHWF3KYcU
2Epk/BiHxhoK6ZAEvDbnhXOMJf6BYSPerIKsdguYMEelKVHvmiD8tr6hC/fHXJxEMgKDaxS6ttde
SS+LKU4F7KdaPSreXZe9y2hyHB71+l1Rtq3HiRUXshHSFd7s9i+C+GaEFvIYRjk0dOy8uotHSBVZ
g2T3014Rvhuy2fQvQsex2oWEKFDnBAidG6oMdqIr7gqjBDU5VOm3QuPqD6KTW+Qb3kOqrdjprnPj
n5/r33XJQi4RmXXKiKnSAm2GKM6I51HO94NPz6Hw/vcoKNyhQRe9zkjSMbe/WhozFV2ag6VxdKpm
3JVVbWOIjHMXL/lQGIiEY4+eY7BKz6u93DWjjweoU2PXzsFx2HQ78GdY0vf8qPzEqDyn9MlFY8xe
lEQPWXKgNRvMdG5VF3JeB/Ce3yUmHtI8fYKlQyYb6KQWEXmjDYD5hn2kByXieRwyUMjL9S+8Xdc3
6bZfDP7/EoFcfz1NK2grpkAAzW+ya94JGM1ElFZNVbLjI4QHrR/IH/99vQ4dLbhxCJpp8Vq6yftF
GKbu1Bo+SnyW6F4mTp/w7GK2YvY2QFMDRvxEPGgR+l6vzKMV8aqhz61sF53107P6SXbG3bQXn2Lb
0tEphrk4EPHZ6x906WyhuVCF+0V3IVwXgxqPQY4GAPistLKzSjV9GRkOXtrolnEP23YJMxvOhdGP
ma8FVdHBaZzz0exsRIS5pT+jvzZ2tVN+rF7VbXkwdhPHdXxR+d1+1T/rY04bLTBKU6RYH3G/DwCe
ztmxh9fayE/I//0qjiV6/zoIj6PZFpXzN2HvtK2V/Bjt0aQ7biv80hVx+R2Y46gKkeqLKn5OUzt0
qz2BqOSg2oVDnorcrjeDY9jKtjyG5/jNAinf+l4vgqMJDIVNWBlekNeb4Kt6biDlidOpHtrETWuM
e/cPcWBn3q+qt1OeUO+CRaPbDANTeDhCGJGNKpKuqhQjbgpLDkV0PoKXuodmxn2oh2YShRh94FyI
C7asYSQHLR7gMcVYzrz+CyMTxo6WyAblVpyBI6jRf3Y+QlWZ/PUsJG4+JHPRgzY/C5COv8bJZKnw
glCcn9+VsJ960qAkTXl8yrfUEYBBTwfqDPiAiLiZoxkFmq+mICi21Bf9u3ZsbA1dld69EZrokB2s
1p72kI0STvoGamzrlrLkZq+wmfNaRtVYtiWwiVX/Tl+rY3IvH9LS1GGkRgEKHRl02S/i2zrs/Lcy
h/UKlTmselzCYBKg1ulh6F7zv5Z4mL8o8iawfghWiWyPIgEJd452nNwSKqcQUSCK0U7yLNVH6PQR
3x15w4lLsdIVIHNbFSDEaYpiBjyobnOUjtphOhiO8Ku2RxsTcOKh3q5/woUzjkzNnIFC4mvmT7i2
TfQU0r4RYZtaPuxbY3BR/TNV47esfeCdaXqS5oJAiaOctrhvoF7WUJEW8SZj9q3vsrKP8SxFCN9s
Nb+/SwXFXl/XokViWRL4NbB/CvvwU1o5yCn+BxEGdKQrr0m4C8VTgyxGa1XdCwHF0HRP8CAMfySt
2yG44kW+S6u8/AXMZsYUsp1lpuBMeJOwl7WW/B9p17VjN65sv0iAcnhV2Kl35+TuF8Hd9ojKOX79
XfQ919Zm84oYH8CDeWhgl4osFosV1rrVa+NzW8+vPlNF7x8cNGgTUDHS6EesfFguGWE0tW2FIZdH
uUAx+tQBxkm/leSTrv/clkVt4fK4Xcpitg0tC1KZU/88998tfQ8MzWQ6K/G1kwg2j/7QpSB0aaz2
jvFkjZYqsA7sHSDcAgn/b4fuaMWi+41enqwY2guCMUl0TyKMuly72QEU6ORQv4xXZFfZngJKBiW+
rctyt71yPIVWkn5lMVe7ZDRLHJNcKYHuvhxyHfgLThIso/mwLYanEACS0DKAejoKbsy6ZalSJz3K
TWBCyG8tJ/qYmvhaRuoFI3+Cu5MXoVEIZgPVQwvzJuziock+z7QIstSkuur76G6Zzb0FJESkL3Zp
2h1k7U7BdHpWq64z3ajKI3gmz1FrAJ/5o0lTgeq8x+36e9gl7mpkudse37MY4Ws5KIHeKCcQVp+S
lNy1KCRkaMi3kK5ALwJxp+Jfn0NEERgcwiteRVTO+tFxUOd07NAlX7SOm4N0S/GA3wR0RS+X8Kh/
295ojj2BxwMpbTQ2KxjbYyKKxYyaOa9A81UsE9hL9nP2fRkETlokg3FfRlimmROSClQIhbuE+2KO
/FoIkcQx2QtNGJON6mqSlRaa6ODa7d4kTHhnPkmC7fUSSWG8JKmcvtN76GLOXhGha+6I/KNqP21L
4a8Y3ugaYHpQj2D8ia0siQUzrMBGDVAN/eBggHZ2BK6Er8pvIQaTmydTP8pLQ7deui7029w6JLM3
9YImhK/XCswZCWyMkAOHBz21l66xLqwwmSwsmNQC9nDsjpVWn3u9ytwhU71RCffqKKo68JaPVgAw
HYcwGZNklzKzxEobJy8q9LGDgWx2zmC72jud8ry9S3SvGa9vI6zDDKNNe6DZ9nUwPCQgy6thC6Z6
PS+Y4g0/tiV8vSdpmgsRFUDrgPnDFhOBUN+rjYZ3hWXHuT8OBKjxZMwDpS3exznp4RejXOD/vm7Y
5d1MzWZ1w9Ciaa+XuJs7oAvYN0n47IQY838oi/OkClrxOUU39KQBWQgFWgdpdZ1+zEqYI2PEP8Vo
hUdi+1iSV1kzvCSfPdMCZl4BdzR9ylH2GDqiqO7ryqqgm0CuDQ0P6Phjq/cLwp3O0REfd7E/OG+6
FoT9adTfe9n7t1sIQUiz0yFKuHX2dotDRevbEhFq1X+bzLewOUb9S6OeFhEI1VdrvBDEXlsgjbOM
bERkoDTfgJ3gTtN+W5OvAb6K5BpappBgM/HapadutVetPixl15mIpaarpbszi71EXpvoUI9XlXoV
tYIEIm+H1uIYOywBU9s3PcRl1ezN8nGZm30Yv0vToUtEvbZcWYB6QNM/OofRAHOp2rCAxwb+BFe+
/NLZyUE3lvtSawKp6V20qwginq/uiWJD0r54G1yQANe6lGZIXRKV9D4cx9y1rN1oP4dVsL1ZX507
lYHpKwd1PVDtMjdImQz2XI4povnypzE/1MmZzGiFFKQOeTaHgSg8+9AKjU4LZt0Upc4LzaJSlHsz
jJH2v99Wg+uMcHXgZffL/zFL1ct1VVR1Unll4ZvVsxp+RvqtlhxzQO6nolwrzwpwRn8LY5wRcruk
7zNciDYIguP0aFj3hlG5lnxsRe9znglgeAGPE7TDI+XKbE832mNhECxcXQMdo9k7wJQ2wPa8vXpc
KeDVAYoLIkncVZeGRprSQJU2qzxHup+dylWdB8kScS3wLA2Bym8hzKrZ9SjB00LIgsNZHtv4c1FO
MhhVtnXhbg5K+oiKkTL+gqlaVFVrpTHE2KlxlQOh5YCsQuvq0fRugVZSjcJccIS4Eg1UJeHuZIwt
MHtEDFIYcoi7Kcx/0ECitbxaOkpj5Xflfls57hr+FoX2k8uNGvSia5OyhDnMhzY91sC5dAwErwIx
XHtYiWGOqxkadd+PEBNmgTm89eShil+2NeEuGuokFgpalvWlDdtJiN6gib7yVPV+SHadcZKdEL2a
nilq+OYqA+cjY8II3oGdxyXAchq1HMqMbbyrZs1L0Ls/6bPg/uZuzUoM/fvq1svy0TYTKibtgRye
gHwrmBXT7cq/cKV0uPT/1KELu5IDvL5MVVLIaQxy1Hr7pViiv9n+lQjmpCJ5HBUouIDSOXowwErn
3C6TIKDjb/8fLZgz0+pOXxvUkFsl3RHwC6X7OgJYpV66gzBxQM31Mv5GpPpHH/YBA2jRsa11COsL
AvC6kY7oLXvJeDd72++sPBgWHfwDfQK05+GQLs5/t55s1GBamKGuI8iHe+3Vp0Hfh60o4y+wckO9
NAs1Aw6VXUFG1ji+RcAx6LiWqCdXYOPsxE1tliNYxyFEiXynCwZ7Z6gnS5S64toG5n3RY4dcj23S
v68sXJNnQpQJUsbqMyzceg6G7B7kAJ4FAOdtL8TJ2cI0VrIYUyfKGE/WAFnqXtn1p/imvCmfUeU6
WIsLoBkED3f9wfrXr3YqFMNRWCxcUCzgLdGtFo+cCu5VftIAkJn/tEQenH73F5NfiaAB2WoNkyjr
NDuEXmbxYhcfk/I9dbzBfrRH1UVvsGAVuQdsJY0a50paSLpMyWooVAGeCjT3b8VV41rX0j72nb32
Y1sa3zz+rB7jaK0BbHyjjtd0A25gLe59Mk0A2XBH46M0XrZlfYWXw9NvvVWMLabd1BotgTB5PuSB
7MUvugemspvh1BzSo/MsuU4wBN1J2mv75iH2QVyw/QWijWQMtI2iQa5LLC1pjAOaCobpFfwYe0V7
U6vrQf2LF8daXcYto/0vbSId0tRC/wDJYuyi+Wk3N8pxWytO7vRiXX81nq0sBoNQFRoKsa5dFDTh
k1H4FjqRluQw9X5pHsoYdyg5hLIlWE6qwMa5YBs/F2UiRgV0Di9s0pfBSY7O9GSEVCbG7Z0EaGSJ
Vzd/8zj5czw0xjeX4dKSKIXQfmx2OcDU6tEDfoHavo05yHxGQWKYexWsxDEJTsxh1alM3UvRY1AJ
QBdNVz1kkiXQSrSUjItRpc5Yhhxi5PLTSLyqO1l9iOzjgYzeDNpb0ftBpBbjZKKsItKkQV44X1vd
TVk+qfXjtlnST96yDsa1DHVW1Q4VsYyP0/yhzYKoh5vGWp2vL13BdhiZyQAB9tS9LLP0oDiJWynk
HviZwWwaV3FxW2WYRcxN0Yn72kB5eeIYR9LYai0nMUSDt/VFy/tzkkVXoPw+ZXp8ahzZW0CDUypm
YEyy4H7g+zBE+RaeRxTm7PJ6KIDd0WsdLqNE0r1M/pQTsif5slOW0M+b5BpwIoKcENdWEEBgVAmP
ZkCGXErUMIo4ZQk9ccYYmPUYFIoO9DNROz73KlqJYQ623tuNk8xY0y4edrlte80Y3w6x6ufaT+KI
YHI4BTBs4aryymhl4uUX6zkyruG7RFxKW2Ee6+vmEAEt54gb6JRMrvKWHEUVe+7+reQyappNpw1A
nEDY14G5Pk89p993oBuQF1ctX9NB4KP5q/qnwMz4L91IllaVUGAOyxcJ/bz2a1v6S7vTRHcrL5yl
GXmgAJgWICiYy90wW6Nf0HzlgV7iOEnOFQ7/fdKY1wMhIlPhecu1LOb4gTWhKOUCZ2BS0z2J/LG8
75cDsjqBI7lgsQUGsP0X67gWST9pdcfqeVTVWQz12uyf3L6S+n+m7hlguR4B3dq24+RZCH1cgwQE
namoEF6KavqhmzLga3lLurNCYF68q/Y5nMudqvp2JITk4/mytTjGIPPS0qq+hbgaEZGlHzOiupJ9
b6PLaHHOdhlU+c/eNAVKcs1lpSRrlyTrrEqjW4iOpmk/lHgdoGHFFEFC8pzXWjvmYtVKzHB3yGN5
5fieyp5M7lIRhDfvoqP5eXDwoWz4hfsdRaI+Mmv4x9Iub4YqfEC8ILhwRCKYu7QopcouuwbhQRWe
UdkJ6lb0UOQuFJ1EBfgzxZBhDBxJpToubDgKDWPLCnlr5clNRKir3IP7W8iXySQkwmK7neD8rHl+
X7qn2CHHGAnf6aOVHpNYubcB3rl9mrhLh4ZQFHUtB6MsTKRToKXCDlvsTjq/N86d/u9RLFBMW/0+
szWTXMyDRAPE2DQPthPfkhQdA1EpBeH8N7kPoO7a6FFAL6KmMXtkkiEegYOCPQKUhRtZUu7GfXeq
iah+xjeG34J0JjXaW1OmpgYEyRWeFNXr/84LC1wq1wX80YaNK2TETVaMly468IEIkLk2cHf655gI
nmGcxkrsEECxsU1orAGcw6U/RcVbtQe0I3vzPfA+wnt/+ixPgNoPd/mxeI3206nYz356DN3sJOoA
5vrylWzGuRZS2822Bh1nOk0TZcQjeYzBsin2FgdsUml2GPFa2jZ5zp0PNENMRwPiH235X/qICiMh
mG9Dx3UGLnpfHwDd5TalLzkv24J4L090sAMACO23FCODOVwpkMDM3HTQCWj0gT7neylbdmGKQfZm
OXT6TzQF3BhIoCWzeU4MUZcDT0+0S6HXmMJK4P+XG2su8liMCXqG9L4GA3imFoEypo7bp2Xn4RAV
vkwAGbmtM8efYCAN0wHoQMA0Itv8qBZ9MYcKimNZCE4eZ/kYZ0AvbMvgNJKCdEKjWelf5EZsmn1Y
jNbMe1SqzFm/ywe0ZUFad2UrdnGS5hnP60m6Q17KulIQf3jqknwHugYauMwhdeMI5FnJvwfwo5+E
ZnagAwEcgS1EV7Mq55MGvQfj06gf0yj1QfSEVZ/d0HQETpvjfy6EMU61RxlYrkwIm6IJrUuSMXuq
2RiuROaP7aXm3EiQhEoqXjZ4fLBnpaiRrHBaxHXNPKRgYET4n8Wx5CuzdKzn2Ng1maO4AIz72U3l
07ZsnpbAcgLhAqpriB0Yx1SQ0O7Qsg4HaJFjEQEbqEACrhfN54rEqMwxUYp5KS2oiG7dRs1dvY/c
UTSoyXHmF+tIj80qPu6KuQemIyqF0mJ6mAW2VL/qtEAvg+0145359X5RZVdy5gSJyhaU0V40tzcW
osYa7FdV40nANR9FHLc84zAACUzh2jDdxLo30i2Nmk1Qqm/bwas1FSCgsjm9lAXm32S9+BFnYAAp
myF5lps+F7y7eUuKbkYb43cYqgY696Wq3QQ4836S0A66VI2bLE13Z3Rt7cdG0XrLMvUCebylBYCC
QSHAQCLAAhoAu2CI9BTa1gCjGPoXpz314UGJruNOcLx5qRtMoP4WxSIaLGWuG7EO/6ZPRugqxuDN
JflmdKaXquFr2jdHtL1+zpV6nGXRQ/VXAZ5JTCnrY8c8PZbUWaKIPj2M2/wmu+12jhsHd8UOkKQL
OBdpmaL9GK4BoGWI0GU54cCFaOaUFINZmzEtnhnznaJ66nDftQ9qes6REBcRBItkMeaTDbWyTC1k
RdN4LnrTbcA+rQ9tMCTkLhkccLAOgn3liVxvK+vQWgMJduQW0U2W3A0KEFMM5VYqGy8dMH+4WJY7
GNLdtkPgnRJKcwU0MAU5Kva1bCe1XY203aLHP1P2pPBZiVN/FtEOc3VbyWG8KKr47ZBokGOHo39d
+GWBeff6Tkp3tirwcVxRuBXQBQ7EXDTSXx58S+rTXjPgsEsAX0eg5wQAa935XaMcDP3KFo0icsXR
uBhriJuQbZYLjSo3fpUIezmKD/ViKkDJQ7fXnJfzjZM7ip/F4XWVjf8e1gFT8Bh6AA4x3qxfOmW0
GhOQ8YzguMpvKaIjCPrker9tHlzlVjLo31f3RZIWWiiPkDEl1kc3pFdhHHt4ET4igD5iSNHVJBEQ
P0+kBd414O8Ch/sLRtGQj7W90G7lUXmSJM+J3qzl2I5POcqFwmQR74paC2M8StmrIbGQikY9N/HI
8ENPwCH2iz/6e4a8Zjhexca/7iwHdTSyBOg2QV4RA2uXS1qReJATKlJSlt2kdKeli3f9aO62d44z
yww5Kh3sk7GQgJq/lLNgIK2taRCojr1rao9RjKIr0OkwDuGr0SdKXMhMSaDBzEWzeLxFBQkAbRzF
cTDY2dxETjB0UuGsy6iGSnYc5PGzbL305imyHgotRmuNIBTkebFfsHgY/KP0OvSLVmYKpIIoaSWs
qULUxx5gF32uBgRDhk0hwkriXr4rWWwHhz0RtD6lWFc9/UHA4ZCDC8dDg95zE8VBXJRHtZtqV66c
W1uOXrY3lRdjUKBstEgCzv1LtR5FtKHtZVz8Tgasi/DBQUiFZjnXkSKvqATdPSJhzNlYFkxpJgqE
DdqnE+3VLvOz5LWugwnjjNt60Z9iY4q1Xsxl2ywtQF1oT+agvKjZd2AY/cXvo0yPTmAMimE26NI+
IrmL7MrB77dO/qiQ4UPNJf9vRDhoIwIJG0C4GRGV3GhOiaIdMOj9DIjbckUE4QEH+gYnGjwz/xHB
Ak4WlZzLWYrg3botY686T8d0P9/V3/Sd+Wi636t/wBYelEEb2HtpdLXjtoJ0D77sEVqKKbm2BfQd
1p+E3TAmyAV7ltx5RuHOLZgrRFODPOdP+5b/TwgTJgDHXLMbWgbRnOfaOuaZry42hpI1L59u889t
jbhWtxLGRLKA0pxro4AwdZJcBZh+uiiI5K4ZQKTRMg2Mpy+zzyi0xJbaILs5R+i/A9wPmNuyZyVp
BfbNlwPABTgFwEmzewNyRRxW2iVn22Tcy3jhBCkGL3xFaUXZMe4OOSBcgKNF0Mg+cyQ5ScFOB/fn
yE3QmacEvFfdT6NKXbl40sKHf79FFO4L4w5o+PiCLeQsoKgoLJh8Nb92SHJKoiQYb+X+CMAY5KVn
mOvFzjMbAszxuwUlautERFeGSAZzcgiq3G2RQMZs7pzkXjNuEGhvrxPvAlyrwZybSu5lVKEgYhzO
JAHw7bHqfSEBm0gR5sAYYBFSew1SGq3d5XW6m9HZl3dNsK0M7+JZvTDZl7slqU43UidAOdBtlzjP
KZqLU/OzcP7ZlsRV6E8KyaLLuoobEqefEVpDUgU2IRNMELm5z1pBwMdNR671ofqupNQYjpyrEcs2
xMu9YUvuWOPaJopv6unzoHQ+cTps3IzaL1CBlm5wizLeZVly09ST6GNEi8tE9JmctYVOn+/9Sbp1
Hud7cDiDxdZVLNfZy8fwMPtFkDzbryJue27gtF4G5oacdaNV5wSLPdnOy4gZ3XgpdxkAT62SnCZd
d+G89sCH8En+Fy2IF4kD5pQTvHF7nTaLRvH1NH3UAEwcAwCwzYA4UR63ber/0dNG3gv4t6CQYvRs
6q6ca9rviAmu8JjNWr5DzvCblUfHpJ4QrGW94aVG8lg6zkmu52q3/QEcD43HE15PuKMxo8Y+SAc7
JFqJPisvKglO5+dY2rAuzxj3+nBKRM6Npy7E6SbaFpDSRy3j0rqzekwcM0H6wCbSja4gLjY65Lxi
rwO7WQoYypmYwSy3rjxnh21NOcf3QjRzfDO96domg6a5cp1UQVa/FKFABOe4QAS6YzWaYcZQ0qV2
hVmF8UQbQJL6Pul9SQ8SZxcOV50m6Mfi6gLWXszWIFsJGuFLQcOcKkZsYRkH86DOJ1K+JOPT9nJx
dVmJoPHQyg9lkhmlYQwRRRwk/XUNSFDg5S7TwRERLtCFZ2JFDPb9UYZZtaUZnSmtsDEAXs/j01y9
TxFGKz629aEH6YsUjFjRUXBQt7Iv6SyXhlZNF1x6masMruMV37WgP6sgzN0WxHtLA4MMr3Zg8mI4
9xdu0mrlUhSns5JQ276eT9HDfBMDcFA6Rscc0npRxZUTl66lfWlIBQ+8TCQZNbIz2Sfn6kx28bV9
lnfRftkb+0ZIL8oViLF9h/JYovuI8VhWWjRksaCeAwbVAfXHbhQcI551Y4P+I+FL50Kqxs6k9JAg
S3cDeLHbYx76f7NJKxlMmGWDXWQMB8iY7xd/vsmAB/KjCeZd+Erepd1fvPdU4N4BQAnOjyIOXR4m
oP2pw0JL01EuT2iSBDY/wvDc3VaKd5BWUthMv1X1mlyNeED0+rdO93L1qkheu2W/LYV3Y6ylMCun
h3kvkRi6JA4w1MFSNV1lyU5KXh3tpljut4XxTIGidCDTTakM2LNk94DJAHQRusjnRkXOzWzdcalI
YGGgVbB6PFE2zFmhNMVAwmMcXqUpC4jH4IbK9IDy7py896LOY94G2Q6dGsM0vYaB20szqKZx0Nti
QP8K+dFovl3s4hYzxiKwFl6rAOCCfsthDSHC/LA6oq0NWIGBsosCsCwhqXZnhEEWSOdK1PbDXbmV
OMYiqjTOjQbglZ7cohW+AugqbRMXnFiREObR4nTOoMYNvY/Gx3o8ZO1DEh3/vbGtl425VaUyi+wY
Xc6eYkABcK+pBHP6AjPjuU+Eemj9gkGjr5hZLKnHwx5RHy23j367dFezLGpd4p1QFNmRvrKAQg8/
emlmhk2GXAWSuEdAtlOFk1fO5V5F5jYpnXudfNhaLlg5XrAAyGg69wQ0ChA5XErs8NAbI5pSqCcg
3Q+1q0oPRha5xiy5sSEA3BAJYyyh1tDalin0xVcEJRAF5+nULsluVkC7s9u2CLpSbNCw1ouxCNoK
aKd0QnaYbmTAbYP31w2TIM/9Nuww2XIn4cm5LZJr56ulZNxQM6bDPHR4/6Hv9pQWzrcO2BuaTkR9
LzwjgY2gCAW2MrS2M0YyLHiKRxIuiwm90Wr6UlsvDlrNraMSH0IieEjy1/G3MDYZWXb5XFoqhFUR
OYxZgVn9/gBu3mOsF65kLT9Vc+pdW5JF04Vcj/tHSxbBhMjJaCZ0gqU0bLevn6dIdZf4GrQxgm37
SjcPYNvVeqqMVfYhnO5AVRzV6jtR9MaVWwN3yXy2qinIZc1PZHI72W+yGfql/YyQbZ+0qtuZ461a
PUWTjpJq7MqgxP0Lg6KkBkAVRh7uS1OmJmVaZeFsTmZ0aFvEBXH3T700grCAeypRZ/hF50IJfi9d
gNKi0V6TcFOb8lMbPnbabVPslx/R/PoX6qgIeRUK6/8FkWF06kGqF/jPNNG9GekPx8LkuqhViavN
KhhgtKmzNie1Dimymd7jW7wULLghMM/yrDx1iij24N/YK3mM9SzlssCV4XZDEkd1G/nHQt7LKffk
Xt+h6nm9KPNTKD9bbeOZmYjdiHtIVsIZL5dO0pClEe49Vc6ubOMxl8PHlCw7Cyv77zcPFC54++Oo
yEAHuTSSKE/7UCshqazPYCtr6jMRcZZxUwxoyIQlUshpABpfyogrlD2sScbtZ3/281NELBcsZpjQ
vulhMFPiqsmjDbzNbc141/paKjWo1aMPD9zZAUEjPBxotzrZMzEdsS2Bs0tQCCkitIeDO51tkKrR
voBNwgHTJ/U51fD4irXoo58MtCt1oj42jv2j4VJXUIxQ8G5hL/RxNheza2H/kvIDOAi+OadHqZh9
22hdLfnc1oxz5V0IY4zfmiJFJSOE5dmpnxpcQu44CuqT3NVbKcTYOEgdF00ZkJpZ0OS1qM9q9pBi
lp1IP7Z14dx0F7ow1/fYSnJb4Z8Xq9MzoAJ2Vod+I6f2G9u5nnvtGYRKgZmIzE+0hPTvK/MzF9UZ
RjphJaHIa6KhJC8B537c1o1j4xe6MSfLtvtIqRroFgEGJbdrd+xEfXEiPZhj1KNha8oi6JFM2hVm
czBd5ECRTOCHOMHPhSb076vlIuDfLEE9Dmuw9mZ3trvd1Kj0PLlGl3ulwCb46wa0WsBDIz5mn31d
ruSG08K5A67W19qrOhblnH5N3jOBKhT6LYJ98WWVBFZlCSKMnXbAGGuge5NbXEnPN/Lt+Bad0bf8
hP6b62ofBmnjph/5P6noI3iX2MVHMJem0TY2HQFBZoi4/eg6ynkyPGBOWaBeASJBr3gozZoisXxX
9Ud1xnsQZ5A6pYTUrDbcVrvP87dqOg9kcqNJ4EQEG2kxTkSb4rStadrVBOHWOO9tSfR057uPP8rQ
L1gZZikB0qF1qAS8NOzRnaJgTPZ5SgnRQPuyH0VMKaLVYxxHjDLmtOQQCKILTLUuy108pl4f+6P2
vu09+Ef7j2qM9xgLJ29yGZJA+jL3yOopbqGIsqG0NrN1Dhj/UetF2/UxAgx5Rne0b8avTfHeYYZ2
kN+LxJ9VdxChxomMgvElGNPEBIMOvTTlpQ/fhalK0boxMZNSD+A1mvD7nUO+S/N4ANbja1cZu+3t
4cVN69NrM2WvDoRxw0KNu4p0DCXugBLXRkDhBZg3uTYLv1BPhgjSj1ftvBDKuIy4Mae8N+GIYej2
MQ7kylUOxVV8hP/QVa++lZ7gQ4rO31aWGw0Aqhzo+Qaavb/msBH5hCrE2mPkx7l81JCosKRPC0ND
25K41vFb0pdcdqPEct73kDQ3mLhsSrdq/+ZcrSQwS1haVt/L9C5rgLluDZ8gXY1EaG7c+3Ilg/Wx
dt0mjQbbMLI303lcohu0JkwZcPM1dJALlozrkihhkYUpB8Nha4SKNFo1Rt9xhtV7TUG1xvan9tzH
t5W0394c7tFaSWJckuwkfZ/q1Fu0D7LhG3LgVCKPxDeAP9owHkmL1LhcRmgzSgiYhkDSuqBQA6Xq
3FrxymYEcyOYQdBu+ZLmb+Xgjb3gZIu+gHFQAHBFbN1By7b8YWqfmHvZXkXunbVaRcZBLZmzhPlE
NSxeovHBUUDodxf2OLh+3oI9rhKNNAgMxGE8lbEUoV6AI92LAGRpyV64eGME3ETiDaJSlEgUc7jM
sVGXXqG2iMSRRPfrWzx/G9KTIcKpFklijpiGObrRaqmkUUKj9FUsEU9pXXP6nETNFVzvB7h/9EsD
QRgJwMsgo15mQIDT8oBsv0od6OzMj864a0Xt4NzTtRLDni41ztqIZmoW6zum1obxbIaCvCLXtFci
mMPV2YPSW/TlONqPpPtn1o/bpi1SgTk6RlKbAG7HSqkFCKTSyJf7vRb+898JYc7PrNf2ONB1UgcT
xJ85QDn2WvTtvxLC3u550yQd8gR4l+IeStRgkQzXikUYloL1YtMGzaAlekvTWIr1TPT3ONpnIgC+
X4nULyHenz23mYMCzso6S6kmluI6BwDMGrfv6h14ne6Um9pPXgFm6medq/vt+TnqQPDs1leSwKVy
D+vqG5iHQG2jA9mmMR/ANzxjeImH2mvKcxqfFUwab+8c172uZNEzsHoSSLFKUquGrKj6HoLFdKmz
FznR/H6Ug85x/LrOd4aZv21LFS4z4yRIWBYKrkeEnTvlrGDQ2F124Ob6J/eS0TePy748h1dNULzI
u/vooz29bMvnRhwrrRnn0XWKmS30zRyN73r1LIEMYmjMXaYoKDCZtlukaSxYaPqTW4bFOJOSDOFo
0yCnq0CgRFwnDIBN6EqiyS3RIWGcimUWjTJR1dT5aIOYcnwVUrqIRDAupWsWXcadD/t0dtb0UGQf
wtGGXyAzG8vF3sIzgABLZ4Eaybn1yr3yELtok7tDENosfnRt7AvFq17VXfiQvJqvsjse1Jvec/xn
bZ/7uSgLINCYLT/UhS3NffRr856y/s5pH/RYcNnwRWBihJY58XZg7KPLtLGW6YmYl94lySENnzHh
u232fMfyRwZjG72phpNiQ0aczc9x3rnxpO/SKXSrqnwrdFFfCveUoSEFcI6A+Ud+6tK31A2Y8XIN
QYeFMSagZLpOvxua2K+rE0mOsqiGz88QofCtoz0bQ1/smFFuFm0+5TMyvQ/tCzq0YSLxGYN9hpvf
6TetqCjHPdErccxV0YSYP50tqBfLb/p8susjKb3cPm7vGQ/eCjxif7RibgPgYRT2WEIr6WDfz4F8
HZ+00s9eq/fGVY7JPjmld4YXBttiuea4ksrcC0aaocukgNROO6OfUZ5eiSTQjLqJL0ccU4MKCgAA
j2dfYmOTqWYeoaiRYTxZPihp0AIjWJ38Ntrr1uQu6etf6LQSyHj9plelVJOgU2bP6tlESOyFvYFm
HHkWgXVxl28lijnNi12lybSgH7B30vulIF4cWVfZJJjz5lrgSgpznlUc3TbqIcXM9rYG/oW7XL4x
RIMwPDRYNPD+2SjW35tgoJkc2ty4RD4m1jO5cU1yU1fBVL6AGtKOrzBWF4dXQ/swJ4Ad2jl/9Za2
6AwmMMkoNvalKxl1AGOPJi2AoTKlTWdjfjdF3pFrjysZzGpqaFXQDdQg6HudaH6ef1jd924JlPBH
rQe1CJKAu3krccyqtlLUyU0IlXT9mzF/KuqT6VwJE2/cNwy4+YA+pqPkxqIG23NmlAXdu3aevKH+
IKHABrmWvhLArNqoEz2uLAhoun2anwDxJyQ15N0jSA8B85heXajMX24+0AckYkdwtNpcFg8V6U6O
gX6cpU+MU4cxuptIBmmRqrf5Ydth8LYIWCk2egSB7WF8QYiZislwigkOw3ywrHt0IU7qVSrKoPBW
UAM3iAY4FvTzsr0yYKGUqppo9HipfgjMvchYQA+v7beV4VgC+hwxnI1CDtJebHmhBTOAFNtG5smY
fgd8Wii7wPX8C2KYCynMvTE4tTX1JqQA6eWuqoBdXmc70O88tijVmKjVbCvFWTuQCmqAg6KobaCD
uDQNICxnuj1ZmWf1JCib9lPrJs+UZEFphitGQ6Jdo+guX1iYLJAcADPHzrwhqb4VA8ZmlObOEeJb
8bYIzI8YaoSxweboZ6weY1Zs5oZOpMwL7cII7DpNHmSTfFvSKAlirT/nYXWTJuZriWZfd1jM6zDK
NVfultqdwto5pq0hwnmjjpW5pOlwr4ZvsgwTs8OXn5QblRIvNckxeUvcERQb6XJjdJ6SnnLnaXsv
OacNSGhoQKBIiTJILy5FFRhEJ22a5B4mZDBE0UehFxa4o5U5DXFTt1Inqofx1hvduP9LiwGqOMYF
K2EuNZrS5l4/TIMrJ2a776qyFYxT8GBKTAOD0jh6QBLAxl4qJi9t2JQzSr8V2avyaWgC4lwXkpfX
+yjzkXDYN/LJrBq31T9DOyD6G2mOYX8Xi7CCeQBqF1/CLHGaRHGUTH3upS8tfUg1H7VfgxT2Z79P
kYE8krNxRwI76A/mjQhckWdJqoEOMfRwgiiPxWcaBhW4G9SSaGf/6JSLW3Sm4lp4r3rgPiUuXf5t
i+KKpFiOQP3Byf31YFidJzJZUV0oee5N087pT2Dqxn/vs6F6lWisi1fgMn/hRv5HFvMa0GNzSEwd
smZA8ufkUAyJ28aevNx0i69p9zMQjhop2FZQ5Z2ZtVTG/5lhlJTtlAExKU8p9t5kJdeqUrbvYWjP
13YXa7dKaBo/w3Gyq13U9W3hZqYcHiNZGe7HOStQlFUVcGlLk3x0lKEZvLZp0X1Rab1SeJnkKJ+k
jcxgjCNcUR0mrCY3U7XqEKZx9EwKfc78WuowFxIOhqD4xNMOFkMRki0D82PMA9Ko0VVj2DBXKaFt
0wdQbcfRi7MIxFCrZ30cuKeBI2cAKQL4TJfn0xmzelaArQ4qdWXfTMrObkkwh5pgs7gmAuIqTMKp
4MTBg/hSTmSYQzs2uBPHGaAJwf+Q9mU7juNMs08kQLvEW2rxUq7Vtc6N0NWLdmoXJT39HyrgfG3T
goWug7mbnuk0qWQymRkZkfPI+CP1dZfSMVCTwCdxF3hguGyfMoRAy+kZ5lhomObRWofyC84lLlmT
cWsCTw3iDxE0Mo1Jb2gdpEU0H+TTwU5xwb1HB++n4oYA9XePoaftrZFKGVVtmuyTHTTWvXwLTrXd
cDN6bNPRzjuqh+rInG/MdWN2/H8/ToSbaErBJWnWPZkMiI1rx47s8CMjfcOtW9av4L2XPv6pMcHH
eIiAJc07AQIRVaVcquXfCnhfnjopzj6uH9eL+wa4RCThiIGQrMKgmOBoCgQL4jws4ACy9maNzWOD
zOXfTaiGAhikDNohFELOfUweeDeQdETeVXamA2Ke1pHCZiXrWmqsn30hIdiV+WSZ+fyFzMc68pQb
1bPdHrgOirEGn90Fnuz+ub6utc8kBLoxltKiSmeHDZ9afVcqmyBd2bolUouzVQn3tG4UZtlw2LCO
77E37Xo3/Q9jQfcHxXmYtg8BzSOqH2Jf80L/+upWN1QIDcZE6qZSYbr7Yz1P7/39JzjLN2D53j/k
m8FJy5UvuLyd89wTBu0QWAWvV0sN49EdLuPM+DOwB7W7WRV1XjSBsoGM4WPwGn1lRSeXb0eKJOY1
klnZGDcplynQEmjXrsGLlwYiwVxECDhV5ulYW/AMNetStfvyjLig46h/huxn3mUHtUGIGrNftWI5
ip44Rp5uJ+imhmn8sPL1ZhMX0fQkSRa+XprJrVJrs3NCmc6DeuqbTCTuGwSzzlWWSJvA0I9ybWdU
luObwYilDyvJnnKlMz3QU0orjrx0bYLfE1uCW83Ey0iIATbjqTYn0on2u1U8DuBhNW3NNSTFmhkh
CARdUnGlhJm0uAsStwxuuwRfYI2kavkDQxkcQCQTaZx4PXc8S+OmSnMnTK3E7yGmk5DkkIzjM+ne
Ipbd1lnnVHL81pmSz7JpZ6jvKx94oQJhaic/Yf7zE19WlCQKcx0/wQrd6NkuaRLR7M/oVd69KtE3
7oZHZaTNjux6TpOVG2opi51FQ2cSOcvGaN+58T5s8l43kFm2OoT0XuFsdCg2dfwrX4MxLy7zxJIQ
ADUVWnDlnMPWreGS9D2KOpoOMo1Q/Io7visDvtL1uLgRQYuPJx/kUKHchoE1YW1SOPa1NuevqIwM
NE+H0a07/RvtG5RWEOuA1wcz7MWBGGO9lWWGHUQLN30Z0BuQJ3fFRxbAgVAKlecRfRtsB+IkDKZG
LL2SkN3JIfhL98P42tl+PR1s0K9DwE+xXGuNkmZpLOjM5nxET/wyjANIVBLYVKFYW6SuglBT/ui1
Oy3wK9WdzPuockZEIum9Up0M7GuF7Lb5zix2pFirxSzen6Dimfl38Y4HR/v5ryGsmau3c35b3ISE
GvrvYHiE9JMUUK4ezQCknJ4CIdL63khv0MMIQKhS7bvOK/lHFntFsnKrLgUoHcMgJoG8IQEnsPB7
hgJ1lAzPB0P+PTXvpWmBvNsGtdLq1OWiJcz26hiH1MwL/l+LBGFUm7DUeJlbbPUN0gcfbIuHHpDQ
reG/c6r41n1MyZ1Em00HWhVaOB+RBzIpx6bDjeKlO3ZnQ/+Cbtv3EUlG/zptAvpYusFt5L1e99Wl
q9mAp+pER1fuIkns0qYZDJ0jfcObD54zxQ/2Gg3Qsg1wnCka3sV48ZxvfhPbRYc57txho7G1jOrW
KpStpDQrwXGhaG8ihsyFFdRQEUzOzfA0K8KMoLbCG0ZiOnFFvu/BJb6v5Sp3tbqVH/tO7fb52Mqm
M+YRe7u+l8uvOsvCGjF0BCcTvAwXrVSjTIZH6hYCNB0dPgfTNWofc/6MaiupxtKuQjAYgkFgM4ZG
hXDnKknbWUHa42nEfaL9x3IqS2vTOUu3wKkNYUtToKiraJqPTehOFk3VrZqBhrzwwY9jrk19LCFB
0Jr4uyLhzkHjmEVJiBXFNV6YMFdRkMt+vBebnIagTSg2FoRjMwcV5cPk7I1f43ZNdm3pErJAWwoq
SFAsocp57kMdiOdRI8RPqCcchk5NaNIlK26y+OFObMwR5DRS59KASxw2AhvDkZA8V3ZqE31aebNW
9LqwZM+0IHBIGV0fnDthQyNZ0s0+7pkzBdYmVkJHtXI3bSb/ut9fmMGpA0MMHB4gPw3/nC8IwtXx
ZHY4eFK1C/sPOdjka2F1yRFPTQhZV1VqI4rkMFHh4SUFh8n0YoA/ehnzOzZkELxvrOikTCtELK1K
tcauZ3O96ug5uY0Gwxvj6em6mcVVnZgRjnBXAX7cVjheoPqHgpNV15RJb2bzTKRduTqvOP9t4tPk
tPYsHGY1jNVJ57CGSkObvU+hRaP8BblzVL61tlcUMrV/y9UO+g70+jpnBxAtn54qwUHQM7akkOGS
yZ6b4s5s74fpVk7u4+N1M0vbeWpGcJLc5hVG4rDAID2GjU6zwml0F/rWk75B1ryyqKXrBuQH2szz
Y4DcVTjGej8wNewxOlu/52h8RxD1TPbB0xjSbwAwQA4qo/ipIq8Af+35+aqN1oR8KCzJxo2dbDL1
0fwG0/+pia+b7SQmqaNWV7yavxB/m/gvtXGV2snXRrcXo+vfhVyUGmI11TqOhbRy4ahdQ8F0dt0F
lkIR5mDAf2PO4iUXgmVpid6CoSDV0A4GKCJyjOasdU+XPvxX81RGMRo1U+EckQGBtgFeBX10NBA2
EygUcryO1DKkQ7lpWeomfCUeLWYWpzaFSG6yVDFRNEaIDSG7yw5tWIP+4kbOfT46TXgH6QcA/K/v
5cKpne8PzABrMnTbxZK71IZJjQFGvCgwItbPfL7572QEGKf+1NYIzb46ekKIgDG86XGFGCA0E3wc
mgthF9cBeiaO7vRHrtM8pyMGGV7jm3an+fl+ctgTySio6qoHsiObjlHimjTx9MZZe2cvFeFOf44p
IP/NIgD7lIS1s4O9MR32HHrpbbCl0m10o+3jo/x0fa9XDQo3TshBmV4kWH9sUswnUdsNH9utBVPD
a+Bku3Lza8Xi7KZXdtxUz6PKxPNA61NY5MCBU4mmzrBP/IcJ1X4Gsed05WQuPQnPtlQ4NlHHOabh
YQ+k9wftMPUOoSktKLvXHflHcRfSN7N27/CJMUjfIJyuZCmrWyycIRbVhdkUXz+guW1UHz5m+j/D
/RvaGoGF3jmFBM/KVM6CX4OdDbUqMPEThCTxSWCEWcesHrwgnQF0IBg5TLunY+r1lum3xi8bzO7c
eC9RMiJhhPeoj4I9TckfLZluc1Qxu2arDwdiHVt5Z9pPYcc8qc5cC0yna7NXl+d9/qnEBkmLheRX
jJ1yTMZyyvFTs8aL+ZOSf6B80ct4pQ+/r/vevNNnrgdhHhPqbciwZTA0ikWYhkBPponMzOmKAm+J
SW9pmk3lStC8uAtmK8SYm0e4OS/iFzi+SpPFQGqA2mvaN0XzMhAVqvbMfPn35ViqqUJmTwOYRiw7
91obQH4ETUM5Cn/kqOhOauhcN3GR2mAtM4MyGtcA7CgiJJi1kpah7ofWVPkxasd2ghQW2gJhSFn8
apjf2DkU/VEuwSC5aolkaBorx3QyanSO4vrVUMKDHdWvJFyjcp8zpHM3wDt9brUCUgVTIqNg2gzS
lFp56wyZn0guCx7SxuVk5QiuWREiq20MejRkrEXNeGuMf1rykDA3JNPKbblmRgindmmxUVGy1oEC
S7uTm/in1LPqDZz8vxUAZla+0Jo1IZjmWWsTxO4Wqe4fc/RI/Gw2+2ytF3V5TvGBkK8hBQBUBY/i
8yvCsBqbRGPSOlkYQfapNENXH+M1b1tcy4mV+c9Pcs94IBixy9IWJHK2m3f2Rp3lC6S5S+P/6yma
14MUw4RrQwpCeIcUWR6DmwOWUJpEmdmROifIf7RwDXIPqsGVG+/yzJ5bE54jk95FICyHRwx1e6MF
fUOrsolp2SutD5jKSE0OHqackLWqzfKG/l2mkEth0tTSSIhl1uOxzBXISRLKJrwbtJWodJEJQ08D
8CyCpz90K0HMd/7ldKvvWhbjaDE7oGZr4Q0Z01GVvBT3GbBObm4Th2trBLtLGwvkxCxb9xUVBeev
Yj1MlRrO3w6QsgE72jFUdmH+GZUj9JCslUVe5t5fq/xrTsgboAum9nIPc6Dd8VLjzsKIXiFvA+3B
4C9x7Oedg5z/3z31dInCyetLdC+yDDbD9ku/l9XIfMHQHnqy9WivvcsuxyW+lghgH5C1iomIfP4h
hwFstrYBgUUSvxgyepebRtqlLKSJdlBU3DoAhNiuhevm+jIvUWiCYfHs8yowpRKG+4Ad5Pq/xP5R
lC+V1DgQnQQeDudDk3ZjC1IPs9wQJIiF0W36XNs0EYZIMEUSlIkrM803gQu5/uPmRYvXE+Dl/9sU
wbvbqgmZJsG7QRxM1eCJme/JsGLjIuea168oM1DMQMlR7JPUdW0G9QgbIOes6UgwPdVEvKe9mXXe
2LE7PD/XWnuXrSLBqBCY+tya5CHEtPRoFS/JwDdW1Lkl4zSOoUcN3GiPtltSfZToUCfGHy2dbnXl
JZMxLmz1LjNGV9emQx2wzfUNX3bDk90QApdsht2AhLN1NJAzNdKb2m37fpONPyEsRxn3wvLWyvd9
t7tud/FDA/MJVS5goNC2Ovd+Bv7zKMGcPEi72Naw2q1qg8COlWvLu2gLfu074A+I7pBZMoS4hRm2
HO1PHOq+Hp2gzwBq6r0WNW0DggWKrj7rUeH2Vvo4TtGK7aWbfKbm+3+mhRimc6DpyRzDOrPfx1W1
04y1y2B5F/+aEGII42ralSk+HmkHsBzpCCEQc9KVb4WMk6UIIYObTFaTEUupUAJx0y16aH/iLSC0
h3rLtsx2HtSjTQmneF5sx6fvuMrfRQquUrI25BmgyE6cYjiJJF5mNh4f85WcdfFiPVmjcEKtoOms
Zr5Y7XhnTL5dPBFcPekBXO+1vO3Sx/+/VYnnriUaUMnY0kxxG35rmgdz+HXdxIoDigWVJAk4Kef0
WCqeB+1+NYlc/PvxnEQvE+AMxNLzM6w1OpJVUI06Gbtv62NFttd//2LOoQN1gvIrqPHEVMfM+8LK
GsSIVk4PPDWppiRHo3w29XJbm9lNPzSf1y3OrnRx/ZxYFHygyk25IiosmiOa9M4oPVTS1ih+Be2K
sy0e3BNDwtfnRA5TDBWCZta+70AlqncYBl3DCS6uBu99EBKj0XyB3En5JCW6ViEAcVxveTbsILxQ
0Eh+l8fKaSd55Xst5cAAgM2wJzS/wJF/7g96VwRBkdfzoraN/mZD1oT47ZqiwKJXgAASqS9UgBSR
ZlJCNSm0TWxdaGZu3QLwk1W4uxtHCbeoN1Gp8L/hFH8NirPQUVsANsphsCo2tnpXQ+yo+C3bz4q5
cicufq8TQ8KrOZTsKhyqeWVgkzFbdwSXW/qpKg6ZVnA/XxoSoqOj7gv0AbqUqJ8I/pdbYxiOUYuU
j9HIwfjD3nQG3xxpvI1pT9Odccv9u2T/8RC4xOnej81N52Y3xqbyGcWWO6i/rxyJy1Y0ruqT36QL
9d9S5nWtmQ0kee/fJS/ca9v2pnjM3kBsdzPdJW/xbvIeU5kaD9VNCF1SJOcrmeFluXL+CfOYDUQS
oa0n6kikdQmKDtI1zoi64F7bDG7kQnCod1oPozcPGlU30QqC4rJGK9hUz0/NmAXgPrBh8zOcHLDq
vckP44P8Xrkf0MNxRweK826012+w61tjxeMup5sF40J6xImWEMJ6LHg/42YKLxiddCM53OcPxgbP
2EN2B7awtX2e3evC/U72WUiNQjxvgzKFWfQJ3cozKNiwU8h2ND8P1bN+b1PJNW8tV3bVTbUSpL7G
fa7ZFqJUO1ZcHjXsN2Yz/Im+WveD//lk0s43XWUvP8j3xNE2ujvS9O3Y+cjQ14hyFx8Dp24mpFM9
a2tuBvgJIP9W4GKt9zTRwZecr6PH/Py93Fh7zVsd0V/cdwt0TmihYshLzIaBgRibsMe+WxR8eYBL
AW9B+3fNB9mXDyHBm2QENCqpnNwP0OJaSSOX8gXtxLr41ZsM44k2rAeqTvXeU8n4DQs6CA80tM4g
vS0OOZVSFsOdB8xIZ4kDtLGTrHY0lrZQB6gKAA/I81wwbiss40ksw0SD+X+32iJIt5/wnJuf7LWk
v8Nd+DzSaNc52au9toFLF+ypbcFv9EbRJiWAbZL24E5xQuZGKB1A4vH6jbdYIgAOT8ElDkbTCwki
s6/rtILotaN1dPpJaDNLfP8I0a8yHjNq1A4UZJ3iAwUSTsfNalRayo5OzQuOAlG0ODeHeY9Havwc
3tPbBPymoIvBlCC1nfSHhodGfv9rZdVLb0ULc7iQvtGAmhfnQ5K2T4KKa9he5dXKqJ3+Nq1Dnz6n
6mtiuFG67/WVjV68805NCgmnFWs8wjxw49QxTR/7LQby7sHGeFPu0i03qAkt5zsjxQUEQmh0JRMP
093RC3o315e+4NQG3sYYj0GNFu9VIfMI6iaPhgpN9cF8KQqH5PelvkFNETpsINa/t9cy04UPjMr2
PE8O0Bd00QR7qjrazFSq2gFKsN8MBAA3PUh6PISgNnN9aQtBBwJs8/g4Cm2GIQKlsriMe10GtTqa
7r5djj/AnrOSTS2u5sSE8BFZ3CPVBkEuKN0q2haT2/L7ftxcX8fC2YemyNxSm8WiMcF5niaYVZdo
cQkjk4ZSaJh6HZYDTa3g47qdpdLrrMaDGSm8GRSUns4NhUquNVLX1lDd3g9ID8H32+sgRqOhBEqX
nZ3dltHxus2lb2SDMF7XgEQAIEFYW6glZZL2Xe00du6zoNxlVr3iBkt1Lizrrw31fFmTEZksS2Ej
LYGyARmkVjsFK2mr+XXrTiMNJzdq/ShcGT9eco5Zex5ODuwKubiSCCtjYgMroo13QfA7Ho5F9+f6
9i26Bnj3IdGCQwVw1PnS5KEY2dj3NbitniuCkUUNXKcJbtjX63aWl/LXjhCWIxajHdrCDvQmUu1O
7+6UNfbHy2kTfCMb2EZUgDHRA83w87VIVpwNgTx7X148TkkwD7oWr/WkdYCR6+F2DKcJ89olOxRK
tKuJ9kEwRuuyKcyfrq/2C58uJIr4KSA2UNFmwU0vbKuiQ/FeSYfa6bMhzGhDrOaVF1H4YGVD+XPU
2aCCLq20cgpNutTtG2bfRWmEsb9OSisHAY1t8ZcXGwbJAiBokJccBrvhFq2JGRY0Bh9zSDAdGEvl
sImLtjqUUdi+GKZs1jTjJYa25NCIH9igG79COyVv7aiizzmM1mtMMPzjgvyje4yDVIED13RQB0gh
tGpyX3RzySooR5uqVR/7UCop/vBIwqPJtlXZC4Gjf1BYhZdzpXTqXu06e41x7QtiLuwfwXywjnkM
aMmBHP38U3KpnUa7HmuHmRKYwl+wxR5kL/yJTNvGVqg2gjMniT9D449ctUeQAtFITd5wYbi5AUQK
UKes/i9VQ6o3HMPHCrpp/b8yS0BrfG6nqSgPzxNkgrtlAJDIlYFvrLbxDQc6pSiG/WC9XXelhev1
zMp8gE+7rZPNOkOGFdKU/A6ULXVEIxt4Vyqb8bSTWZM+pVCKCi0gZSAk9nDd/OK5hZwKqDMAnrvI
5jCIUISyjXMLYMghU4B/ltghCMNvXIP41BgUm6XVMU50vkpjCHOzTKbaiTrrvpR7F2PWEcZQVnk6
FvI0gnks1C1kQBnwTD83NFUK7618jndkND3SZehOjSaoFAD6OdYhksYpLFRHzRROTbthntqx8Pn6
ni7E3FlNbr5RcGdBsub8N1T9mEDna45TyJf67k8NfgHd8IY1/tA1O8K1VRcsLzWAlB1FzXxiVgfZ
CF6TzN5zKGI719e0UH/CYnDn25DemfPv8zVFwVBmyeymdYFyoXZMoIINjdOeQ1lp9K/bWlrXqS1h
XXoQ4S06wpZE9qTeGFF7K4eHzFpjOVu0g/4SEnqUCwFKOl9T0iPCT1BWgSqfCv42FamzITXKH2J2
GLwxDfZyfV0LqQxE2dBcRBxFoBZJBtiQxhPm6HDUc8yhafwp52uFsoXjfGZiXvJJNOlbvSIjQVzl
VYEZU8Unyui2ffON0IhheYw9ImvBOKuwc2FsK8U4H2e9/qxz5gzBMZF+X98tZT6qF3fEiRHBDfIw
MhrgW2unsr76LnJKh/SdyTtFedGyjWEPwG44vL3ryAYA/evWFyrJ2Ei8eWQwF6mYHjvfyAlUPwwY
OKTUZkMtfQvRTnBN36UohkZu06+Jsi3dAgryaqDjZkSMSHeT9+DpGOvZ5Uu+CxJ9owzDf8BU3BRh
f9B1BrISfWdo/PX6Kpc8cuZowggmUH8Il+erLINQSs0Gq0wG8OuoxR0mbf898s+DZv8zISSGWZ/k
mjm7iiHHj72cPyXRDHBdm/Fccnx8LRCOoXilG6K6ImpXKTQMGGJhTVyoavlqOe1IPrrXN8xa8gu8
gJANzOp5GOU+37HKQkVW1Yva6SKlKmhG8MFoDZIcV87T2vD7yDB9u6+GI8g8+7syy1I3U6sA/5GE
H0ljOW5HaslRo9JkaCuLtkNduLJRS6NTRwkIIyHbdiuhAOplk1puZtqDkgayPByC3pr2OkDJb8Ok
JpgcJ0H11gYk9+xIAWUoxhLiA2/q6ZHovHxuEjLte2Dd3L4tJ5uibmJhFHVq8b9qZZmADtDUcoOG
KG781KDa2HuFWhRbiSnEDYcoeLC5WuGuVC3uZ/rAHKPU+41WDQRaWpjHQUslegD1c+zLShVAJirY
pYWk7izJAM39pPmstEZ/4iUBTI2M90SVJwx+SPrBqPDaolHWFbmnsVR+1AaTgaFz0LXtODXT61ib
Sk65lZQP2oT+OM2GqA0ohOEzzzai/nnIBmXTVXn6IYWx4oxdbAJzJAUAPl3/4ktvXuCpkFQg0GFU
VXyAqgQKO5mFh6Fs6dYhDqryruN1u4MItP4KaFuQ0Jp1g1tKg30HCteE0SEZ+5VjtHRXgWERdRik
FiCqEoIhCAQTmUn4FW0i02LsHZ0fNdsbm5V8cOmeP7Uj+Dc2UBuHHNUXuw4htusXJAUNkVvxY9/b
K1u7tiYhNEAPN+vbFPmLnMe0A3lRBKxz7lXNSvdo0Q4k4aC7a+IhKMbyLiStpjZYk9ZGbsHc2rgt
dZtayva6qyxF01NPEb5Rhp5ayQ18I+RfhyG1nlLWba6bWLon5nkaVJTAkQ16qfPww/GMa3RUYIHw
U5ypA+lbgTGXCARSUlZ8FhjjCRJ7V5pr7dsltwAfCSplcD3MLs5/fpJXEMKlXpu3kCkHNXYKKaQq
yo1JtkVr7htucWpLKJnlXTLkVo9tLMF+TiH5mvuSKT+3WVU/AaqufedknWTrgseHeTU2mYXimUGC
TxOvXxoC+tXUmU15YT1d/37Lrvj3aSC4/Ai2lApEU3NqC0nJkNZm6pXqcxCtbeLlB8PA84y7QAt3
7ucI+UsdQ/gTmr25o2Qoi/NnDeCV0HiSdA1FwhWe0ctFAeGBNakoCqJCLjpHHOQ9GTMdCZINKoE/
kuLm00M3vP7r1oFnRJkpMMA1q2OQ4NwFR4ODAqMwZhKH4THRPiEYd1sy263MNej4QuY5izfNrBRz
TfXiEVnpoZkzC6bA/OMO3b7XUGnaElyN+o1iOMPkmaBMSPhHYt3g3v33daIoiLejAf4vXDjn6yQd
+s9lj6Raxo0YWRvL3mHCHoWgNc2Gy3CFhwjQGED86zrOtuAithZnJRlhCLTmzph0d0OoP15fy7IJ
5EogFcSTXOQAVQu5jnSDMacawx0yGXQq+vLndRtL3jfrmYCGDpXpC9BzGHWxrQfQNp+MTxukFtZH
XUGzg6+YuUww5fmTyPA8eDp4784/S9glKQfeFbul3xQVuc11y4X27crHX7MixD6wEnFNiWEFaIPN
FNeHxNB/5SxfueUX9wxT9dg30NaAoel8MW1sJKToYSY032P2OWQBrRp3VUx3obCOTfufHQzknNsp
zbYwEg47GWtcqdpMw39asZ8iVPPMlBrkrsCEdeVk/44DOrcruLZaEWSzwWxXbz2I9TmsJ7isbK8f
0F3WnpBKOf/shURGADQxEjyLFAunlg1B3A5tihyZ6E44oIIL9FGgvQbDytN74dOdGRJuEBPyQIo2
wlCjZfkRTUJ1BybB4masy/9SK1obRL5878hoTkCznqCihjFQYV2dBOVeRUOQaMr0Va5QTAi7jkKJ
jiIfvdVALBDo6jf2Eo9hsD0AhGRfcEumliLZcdIxwI5Nh/dAX0cuYSMNqn/uv2CeFgXeL/5X3FzC
4uKe15VtIXSAqWdv5yyipgJGIA3PpH/3jlPiB8EQGeWy5ylWNILFIlafe/KoZV5cr2F+l26uM4YJ
4ZIcgggAvByGgom5aTo5GvcbyzNHpzT3CgooZeRUkttAV7KbbmJtxTkXwhdRoeuHT4cpP0MsYzBS
zLygILggUBpSpNRTR91T1GIli1pIbk7NiJpGgd4pmZTBTBgBixX8x7XqqMuF26rKtijXvGTR2nxD
zjSn4PgSgmU8VIPE7QmLwveSy+JG1j/j+HfYN26E0czrnrJwY6JAjjo8yKMwd/31gU8SbUVqZHDx
YmlazB6kXDtY1Y/rFha/0YkFIYBU8liHOYEFK+kdBtjEpLRPepr5180sLsQwMFCoEXiELuxaG7Mx
72WOwGGHj7I1HLV45Vm37OwYdgLFPYZHiVjrL2L867ww4OxD8BTMrMXFswWGAb2k9pGhtN8/Wvqt
9VvGu5Ll7eb6ApcCMbqQKIDOuQdK4+d3G9ObKjDGkTmJfZ+YeBnxn3HnBfK0Eg2XIrAGPqF5mbaK
MYVzO7WRc0WNQfibaNYt1CvcoTBpMAISR7JNj15ZnK/dMQvQP+CjMB2NvhAEYlBzOLeZTZwxPpcd
MSn6pofDzozz7j8r027K1rhlXWM6kx49m7X1FPOBUyONlF2tc3kf5NXO0GvNL9sKLEGK9nJ912fL
50VhdKkQXubBKBA6ifW3ujQUHo9ohdUcXcLGQXU2rPwy/x1gJGUkz1204sdLn3l+bgOJgycBvsL5
VmBe3IjNOmQO2EVo0H1aFspaE+YNVj7z4sJO7AiZn11ZkWQXEshS+pd2eOjZTjYGNDu3JblVSr/k
37j7AHpANWk+Pag8n68rhvNKAY+QmtsJiklgsgBUrKmVlWUtRZtTM/P2nsQzvW2TRrGxfSZ54FZB
W+iU2OT5ulMsHRFUDPCZZn8FnuLciB03OZC5MXOU4S6IbvNap7a1BaanZV40fmfjTowJHyqS66LJ
swRRR5dpVd2o8abJypVtuySmBzcD0FZ4ls0sTrpYzwZ3GthzNMS2qmqoEWmUm6BHQOWH8iHZqUXg
G1wHoB0VEiNJHQXEqga7TSH71UNFp684rYw/RrUm7bjkpUgnMYIO/A8mdgWvQZgPeBLhQcdaywUh
P074n7RsNoXywibMktyWuXv92y45EMqeOuik0GrCuT//tqUlteBvzPBtqzzZVnKmA18SDbeFlpnf
MYV9R/ZOZLS3hKinw48CRrC4op5uyQhqxEF+Ni1+vL6iBSQ5BgthBcIiIBu/nI0BPVgOQDterMzY
WGn00rfxbdP/HoNfGuc7O2rRGu9kBzyARyUePEOtS1dSZdob3dr41lJyc3p0hDWnTdhAvQFHZwQt
noXJWcjsRcWhjV/U/juR9O/BETH8PcB1PAthKlQ+Sns7pI+1+lyVu+u7uxivT6wI17JJeDo0BqwQ
e0fKt7G8hyZIz1cu/6VzME+ZzFg4GbSlglfqIfpacY5XWKiFLul+yyiKwprVQOdZin30gB17XEtE
l44CQfmBAPqEMph4FOKkUPPaQuRBFu8R4HMS1Oht6/H6Bn7NrIhX7KmZObM7CdmtUiWdRGBGQrfy
pUuNHkCrJm4Trzes8ahDqC7wMYHODAr4Q5e7pUL6H4hVHKgOJYSmnN1nkoOUQCmebFVqX4dOiWeu
UcCkIEgA2I8/RiAiJXVhfebjRJ56s85KVAIU+5gECXkcTMzG93nQfFT4W0D6B/zce1bZw6aNgG/0
Q0nvWzA8QWKbRi1Iph5rjkqXi0PbDE6SVIXtqJqc+jwaNOZxoHca32oyk/Jp0tymtsqHMqimHAD+
DEjlrmwtxxqM0q9AMpeHLVQgG71gGPKOupKA+IhXd6RulYma5sB+SZ0Vv49yCqKe2AK/MYV0Ol5V
gw4WHdZUYefoSama+7S3NFe1QvnIq35Ibjt9NB+UKCeDB11mjg7LoGb3qRp3Lni/Q5NGOvTC9AzE
oFCilIPXqCSDdRvlIAoEnkyz7tETrndRWFv+kPTIDka9TOSNzkhrOmRMrBeeVBA/7bo+2yh1W/i5
bpfMT0jbgOIr1vkNSIuHH4EcJZ3DB6n0IkMts5VIunQIT11IuCbqiU91n+B45KCqaoK7LniyUPSx
0+frvrrQnEM/DOTiZJaIAMOYYKhJZD1S5gLjONyzYhtZXiL7Y/ViQ42yTG4Ca6dJ2+s2F0/hiUkh
oxkwpGAxCRWRGhztpVoBAhuVj2E5fVy3s7iHYPoAzxwoMnDmz48haaqpZxnsoEG85ZBYKKrkJdHM
p7LjK59reRv/2vr685MjP4yMx8pcCp7MrWJ/yuNjq8fOaP/QS2+avCZ9TOo1KYmFR8YMrgPzB6hm
kEnYQqQGmWlYgz0cRTpyG1YPBb+th59h9GMEcsXwRxzY+BnnnEJ9EGOXtFDdOH1vs8/r23wZyc9/
hXq+zVCLsoM2wq/oU0wQBMd6TF0mD04wT3e9RbETr7UjLx0IFmfM+fzCR/ldWDczoD8YRy1zUoz2
l5Xk67G948GamYXiK+wgUwPVlQnKJZE1KOC9WWZTgZuQm0ed9I9xH9XbNiJ7U4sLmqspdyINj7w2
rndxUVWeDUzdimtd5hcKaP8wUgQYJTRcRBKrCcjUMp4rsXHT3CKXjTZBbnduO0otJdOIaqwRqf8e
FeaVm9hcBZkzfsD5Nw0U0Jb/H2lXtiQpkiR/ZaTfmcW5WdmeB44I4sz7fEEyszK5ncsBh69fpbpn
K4JEgu2ehxmZmqxKw9zNLzNTVZLAaFaiGfYzCXtLrjCTwouQvbX9ERKT/bBUt5md1hOjyrlRMfPT
oFIQSFwdvJhozyxsVjlw95fjdWatwrmxBAFKY+iRTbMeIoRD/FypkQ8ANVuWHSvzPsNtIwMSA+1Y
blYfMn+JP/z7XjTaHDtrMKQ4eychm6Fdw2wqhGydfVZ1YseQFfABB1vq+ZodwxM7k8Xog3unRy0W
e2u9zdN3lrmkW7jejNNwfrs5d2USG1VsNuCjhCusuhnE3OL9koDH0mBNAsGQal0NKZxIQLCOk2KT
RMaNnu4MaGFYl4NhdvM6Ga9xPE/27awwYpRY4Aw1rgT9h1Br1sA3Mp4uPtl3xLdqJi2YnPMOK2ok
7EcjI7iozk2actnwzkCGWWKKE2ZXfXSk6CKXl+Te50LhxM5UaagLa7kXQ9gJCd1phLoMkO4hDZzL
I7hkZhrZPG2VRoSZBnLfJiRCwqxyimxRaG6M3GnYYSfSwUAPkilcH86HrSu7IkKfNbWLqAMIKOh8
ZSWxJurR08jk7AChFOTMjFI4okOsdWWQ0LwaXdbupBp0zlZXgejzr3sOXkGA5GXsyziLzr+oaM3C
jERw8gYaEAhVltZ2UHa+2xTk869bOvV9HJuTKNXlSsEzAb4bfnuX++RHrSuOni88q+fWwqmVycIm
tB6K3sdM6t2TyQqL5BCvK2/Q7RCKA66ezyjb/w2/DCSckAkZL08Ti0ERJUUoIcUdRYa/iktR3eag
8ERtM1UXJmtu1xrxd4Dj4yDFZfd8CFmdMrStw1TTyGD6ya8jqtmXvZk9WFANw1MK12mg7SfuhH4S
g/cBdY6SN1YwgpI8SfRYu5KZS8xrSQst1vzl5hsgcokMqnKku3AFnNgUBFPsC47kNhACaMgCXcjQ
bzJFcTXKFmbre5IQppCmRwsdyvho9z4fQj0xy2qIJIqKYmYNgjO0gUW0l0o60G5Lq4fLozm3TZ5a
m2QJ9axjQ5bBWoi0sUHXssiQV6mtPFoYwRlU1Ahqxn9AeY0u3imURhiqtKajX70qOobKVrKZORHI
nFkt2LFOnK5/go6e3Zf84Kf6yo/7hciZ8xUfgDQyGDHH6Dkf2SxDDxqHyAN04OqVn300RuhkIC4X
zWhhDufW+MgdCuCVOUIs1HNLArreNFMAvbcZyy2YSoausvyO6ADL1AqoyrS+vlKjoAOtDcqTeA7i
jvg3PgFoOtyEUJ0eY/f8E8Csb1Bwio4tLVet0a1GHmZ2rRp7Od50PLJ0vVpY+3OBi/IPZOYBXx+r
MucWDS3gpE6j3ObG20Bwi73OQKZek9DSuRPUfx3pgV1UxLtkjCmU7yazKZV5AUUOwAekxih3Za8Y
W8hooEGNK3HkysiCrBkz6sU+2/EEnJ6QAONCbgL9p5CqmZyQatTC0URH9pX6lix3EEi4K02L01e1
v4oSoI6vNG09lGx1eaWOw/fdLrJpGsTuQfw2GV5i6I0SgMXKZsKboEg7iuwIDZZqlXMbOC7syFGg
QV0GAup8EjVQaUsqCIRtXQqtql/n+TWPb7QMObV1qHlivZek1RApdoe7FHnJxIV7zkxB4WclDwrT
44sbaK7zD8gHIiamIKLZdl3fGnbntjuy0zbUUjx/D4FAEGqIO30j3f7V0R3NonUECUE0tU1fDl3g
t1knK8DYlMYTOgU9kmsHI1SX3BvH73wWz+1M7hhEzY2ySmEnhN59XT6AY3OjAfxZSz0OMjTMC2up
be7qCKx1XW0VLEKCNn247Oz37en8IyaTrOgZiToR4GG1l68aP7QjpXbjVNkLWgBhdMNFzcbJYf6y
2e8RfG52jL2T+1WbSODULWE2qWTc+GWrILqbLTEQLTk3WSdIGbCgNWGlSm0DbvAHNP7L8nPvv6XJ
zudLb5vvp8q5V5OAFXMtKUPcHe1KcUPwdIc2NZ/EJQK5WSsqJMxGDkDgeCdTRtNQxG4H4A0ECkS+
hq5O14B45fnyDP2Edn0LzxMzkynqB0PHoxNmlMPwrDeW/I42ftz1t+xJ27Cb4lbDZeRTWFoV3/dU
jOH4akeLwtiYO7nzRIFe65CIweoDTlpBE+m2+tI1R5eu2tzSU4e3yLZ5l30df+c3V09sTm4+Aatl
vS9gk/BVEn9xtbHGG0h8ZOFSyuX7yYge3bGFC7hwNDtPG4/zkOlZVWPRq8ahoocmPFTKFSse5eGm
VRbGci5QTm1N3GokYeibHLYUAFdDzS18R8kLS+g2l4dvyafJ8RsRJco1oICBlE0BiUYdIP8RadIq
pszSqGxrjeFetrjgmTpp0hy6oCmrYBzF4ioPPvX2IRpiy1w6gebiAtczYFiQvAKKfxKLFU3FTtDB
D6PqiWWkR63bgm/TAn0eUE6XPZrbEE9NTeaKKynPGw2mknjj52+ivlGDz//MxGSaaF4AaanCREc4
6irXQvFR4glz2cjszPwasmkOxKyha+mTMeaiRkFlg1ZoOVbR8eMb2hUx/SVhuNnYkwGTAecwemum
uR2NFUYFJRfY49LjEMcB6gHcqbp+J6bU6mv5STP/erMn1jCytHi64Fb07YJgon4TVJ0P3o28Qsci
DhLwvoZOqtz9jbEEggs3TPR7fmt5DnJSAQisA3xLu02KFCbKDKYQ2MUSGcvcOYndHM8DdEgAQzo5
J6NOiet6wCCW7Vtd7NDhYcn5mkNionJQiyR8Idhn19WJvTGITk7/rKBBJ3HYkwYv7yxZcgL2opMD
LV4vj+AM89MIiUAxAQgMDc/16QqWog47O4awO5hH5CLIU+IVXnSotukDsWvBAsHVNWTSP83GS96F
1YL5ucPs1PxkVct1WIvmaL5d5ccGpBnIrr6nO2EdObUX5vZlc9/XHjItQDsB8Y6GIij6nQ+rlAlg
R43i2ga3BDpoO3bwB6eXFnb7WSvgHgaiC8OqT2tBEK5VpX5A6q2MPa7uteCh4o5gPl725Wf3+fmZ
LIPmE6KSyNmifWf6Qu87MvAMAC5Q+QlW5Er473pNdvJR2oKFM7DydS1bIlJYVrjVN5EDCZ9d5JQL
j6DvkYqvgEou3nfomwQwaTKkihlDVxm/OwVr4eAIxMqKVZhfF9VCpI6/6Ju7J4bGUT9ZEp0RhCg4
wl0uf4CZKGuhz/K+MKRLNiaLQWtFgwkJnBFv2L60tY2xktcthjWymdesgnVoF26yphbuCE7sqhtx
bbjKYel9NXOzlJF4QWv+iEwZH87nvir94HciqGPs4LH6gGY1SNmutHVgCZ+6Sz1QphzItl9o857p
vD03OlmKkWrySBqNsg90lju6NXjVPrKUTb0SXqtj710e7LmxPvVxctgSIxFDoYW5uN+Dn0FrP/Kl
joWlcZzegppCksp6gI3HYmMcdCu7ESwiWv7+yYToEzuQw81/5JQ6yXdws0mYNBqU+k2sbmRxLSzd
7L4fRWfTpE4exX2W676fwoR+Jz/h+ugUVnRP1/pCOMzRlJ7G4DfqSBGY8qYf52dT5RYBL55NVulK
ucdacPNNv2q8B8OlVrBOLT9apAyVvt9bzv2cvK4CLfCVegzHzvXtcK8c2Sp+yVy8rnb8tvUY1qCO
tShuos3xi19LV9BfdqN3H4G6pLy+OBaTTS4XaSz7yI9hPTau7IT7eEVBlr8yXdCFv0Pq+FFYx8e7
8NDZ8Xrp7TWT5TkficnOZ6q9qibjTPRbzfXXBpKTu94l4A783KP/5gNw+RvDMxfeRuP4TvdblJLG
0wUAKOD8zvegQih7kRGjsvVIXKcs21VBvkCFO7cFnJqY7DiggRP5SBllA4jsFUXgRVgtZUMXmnvn
jigcTgCJG/qIY5mkA3Q5Zain4jaad+pbEmbIp2Q6mk1D9bbrmLGiqrRwkMytURBv6KjpgFkYh/P5
2Cm9b4AeYnzvIaGbBsfB1NZt64bDJkTXL5DIWbKw8czdOU4sTmWe/FIV+6YdX0f5Y5CXLi+j15aO
Gq7tUi55bmFCPnCE3hsgSpseTsggJ5E/PiiAGNolAbvVsgTadqV2zzv/tgEPFFL2D5f31dk1cGp0
EioA0JRVJuKeqAfDNbrsHC0zPox4sE39tYe6QxJEq77C0sh74UbL6yNgkmtRfxBT8Fkr7Zaq+qpI
gtvLnzUTWcjeAwwpjZi2b8/fXA0qY4gjEIgKaMQ5xGDv1AtHw4PeWKqSzHT+IHePOhdSPgRq79Mn
CHT1RDMvcHcNYwiHgKS1EBzSFlYR9asID3tdzgkQsj3SQsMtVWP3squza/Vk1ichXVL0UfsZJoCw
YeU31ZF3hZ2H5cJEzwYXPNFQF8XjcfocQbs2mOk4toSMv2oMnUR9YIuxrYnXA/dqXbAuezUzgeAC
Gt+pI5wZ9E3nC5WJ1SDGBrxKsxcm05VBypts+KItQDHqEgv2rG8nxiYndwkSQL1sYcyvwe5CEy+p
UU6ztXBXsw1Bfe2yb7MzdmJusu1VaMRTqwpDOfjoem87NwZ1MI+EhQfAkleTc7oBjYPQ+tgOOARW
BPkNEl+C+Ebip9bY6cKPyz7NbnMnPo0+nzwCWm5WZlRjCPNUsnBddUr2I+B0kwKX9J9Zmhy6tUCr
SBxf/Br9ykG+KkhWUt9T8FNdtjM/SwAhgtIB9c9pgR6UAYoeExOZBVmx0PZ3ZGjcCOvEu2xm9jTH
Xv1vM5NZKrHaVL3AGViwRHT8PCJe3wWye9nKfCz8sjKZHhqBeNdo4IxW70HCtZL157bbFGwNQsjS
eLlsbD4WgBgz0E6LTP9k7UJ5eDB9AfHNDAEqc3gPAjcmg3wppNLCRWXWLxSIUa1FdxQe9edhV2qc
yD5EpJAUBDGQdiuXTzoXrCEHGwyxyVKz2dyuhLQ0+jzBSYDi6XQYZdSj1RBbPa1UK6mOFajr8uKm
b58r5S/TfIwk0MjRod0aOLhpQzJVcMUH/xIyIgFRvbYKcI+W4mhNC/U6BYnU/eU5mwtD0IqgyD/2
1nwTJW1pnisZC8AzXsVuJgXHPuCryyaQ+MNsTG6uIAaCLCmU68C6P6VqjHMj69UkqW0Dya2tGsfh
ix5ADpawDk1DqZQk99QXOleUg3wjRHL2wXJDs1vZz+/awgjvfXSy3gQ9rd2ECtARjCMViRxD2Hdy
1R4bRjpqoTiJYSrkpPzgRlY/JymXbbUmxTN45I3Q5qQQbN/I+bsoCOptDUz6sUpNH+2rWeiRNuCf
UaNl8pH7SrgJ9PGelg6i9qVxlteOnIbSphi44HbBkG4GMdQzh5mJ6u+UJIz3aoF6gpXxTIU+Rsuk
3ul5r0FBQVCgMZZouSlByU0CatYfMiV0Ib0lU6sW9RrPiC7s3FTUWhcvyfarbbhZQw84Rl+0GTem
bPvdQDc9kfkuJkK2r9OsuzeSoXishfIBrKrXMNV6PKfA1PfiMLQW000wfYVShqYzX5JXQOGnr43O
DHsgRXrboD7qBbVJ0H8ugWePclSMQREbVYWraEnX2n0maqARS2VXi8V4Q1IquSkZUe4y17eIJMGl
bVVvhKottypoqzY9MPMtag48BOwC/NUfid+QYKukQ2rjqwtjWzEtyt1SqXTwzoZcsrMBQ27hyuZj
v6AiVA/SKhkZofviTqmiGJfXBKcX8PaPWVH1FhNMc8VbH1Sfpa41lqHU4isHIAMMRmnea45iBhw6
NIC3rNAfEBd2WbTBXTPUzLhLU970dqtS6Yl2LPMKhRfE1kAWueoI6X+IegC2oIoUhZuBGe6hNzFn
DqG+lqMhQoFNqVLDJwXUwsZWCUrzHjfvzOtZU0u+BZFn+TAAiGZa4PfVDI+Shu25BIXUbY3yAuQs
Rt5fWoqQ8MtNw1ctsAX1rZVTUx+sJiqQ4ZG7vF01lCqPURYkEIBIKd0KmSh6hZ9UHi/Bi2NUAzpe
geRR8GxKJJ1aSeDfqy10LFouskMjQ4ksxE62rUNaer7AzL3cpZEE20ESO7rIAo9BQ+EWPfnDRu5Q
UEU/a0Tc3GfRWuEDCJMKswUft6p2gVOkertpqwTNODziEFwA98CXHLVBbNVthOtFK3HoYAbc38uC
kN6Jet59QvUtcntzgKpblzPPQFPaZyhwsPjx2Bh2CY19EDOp8k1ZE8GOMuTBLRk+r9SyhcDMIATV
K/DzkWTpWRG8SHGMWlYRFUZ37VOabSs/BVOPIbL0Rulq845JZXCdybR/6fq611diIpvroZN86g26
UO9Dkuo4ANG15GYs0W5AiiY2TmcIKdkzMS1uVYHRnSRo8Veu4vIEBJOJMqAC3mMXuFpIiWqJ0XZ3
rKOQtADx7FYb9N4BG3cMcUyi9wvn9gxsAw9jAPrBWo6EI5AM5wdcZ+qZatRQu4YcougIA/qSOGTi
ddMxNd3Fqfeglp9KWgFHiN2zsZLtex/kDs0PoDl+v7yBzzS/nX/M5K5Si2JRB8l4JqWggm7vQZXj
xPor57IzNMFXXn6UgboPfVzHGLOixWap2afW6WhMzt+UCKlB+ZjA7+JtTBunKaHRUEt2lSlAvBFP
AQONlqIhDuVcwLGfFgZgvLlMDzBMBrIV5the8637Tyhj0ObjANOq9yRER3YdrmRavzbpUy4CmV+1
OTqn88BJi9AyC75wSM9crABhHZsMAI8H+HriPvTLZZ7qJcyz8koFPB5LZdvSLUXFesHTsQz9zdMT
U+OnnNznc6EZdNZU0AUqSicyXTEuXeQ3rUq0+/ZRi9Y83DbSwl145jY3SpXjdYneRgWX7nOjCeDG
Psp5uF7hHFSH7hGQSG8YRAgaUt0uquRW6N8uOzpzowPgG9wf4IHFy1aZ3FXDQBCGtIHJqI7sTimt
QAoBzt/4Kbgf15dtzdyxQM1qILdOcKuHjt65ey0Na6WQeyQK5A/0pFs6cy4bmIuPUwPj+J5MGrZB
9BMaMNCwMoJ2mZIdaec/p3HS47WUlgvmxnCbxgiQVSCBRd4DNbvJdClqjCNcHTBd7V3VPYbxU6At
ZAhnh+yXialwYtgLfSF0MMFl7mgcrFlL6r8LTmiTAKD+oHSaBAtN9W60XqM//I0aNdgjUQFD6zo2
D2CJz6dFHgS1TxKCu3UUZpbR4KwHzYBAyDOVin0bspshDK2i7JY6GubWE/q8Ue8EZSCwf5MJSuQU
VEiiVNttTSw/exczF3c2IQTGML3n4kK+YfZ4wDkFiu8x8aZNl6+Q8V4ATgXb0yt1AIVJr6oncsQt
apP/KJnVL9ibi3YgpMB3owNWgRV1Pqy0KZtaHo/GhNyXOfh73wV9x5d2wjkrABugax58+tj2J1aa
EA8+UUZ8xPSqruze51Yp4wrx1xvwZHQ4/7IzWbtqYbIuSkR4A7UFMde9ekj3OS6qKRUXCrZziwqc
LpDUABsdknmTsOBC1alxiLDAdWOfGsO+T5Z28rlVBVYq7ArjcxkPyvO56VtRwVUBoQDsdmC1GgUU
nUc+aF1Qer+86c2pW6APHWsLaWhQh5uTkcNzoxTUzMStxOXPePigzXfH1qWr2MOugJaaduevdFd/
QP3d6nOr2tKFJMSssycfMBnPzqySNNXHD0hBOc23lH4mS4zbc3n2Ey+BHDkfURP8JDwZYETwcO0v
3UPmsncIuK3TlbbJP/z7+rp7goT4QmPGXPEZdkGbAdwSclTTvK+qK01FBdS46sp6HTxorESvIbGD
zV0pWpKXJfZi68kYHNNz5dTkZEJlCMt0iQ9XRbvdEC9oHO26BYDVJbbwonnKbbyVjsK16C1VcGdv
2yPlA3J7JlAr04KUpBZ9KDMf0M4130sPSCHFTrT2PfQVrMEgXkL6q1p3u8fLETy7Hk+sjj8/ObZ7
kjalGY+q7/w6EVXLlxZQK2MAfh/QX26NAXxiYDBavI0DGKj2YN1rd/EXfYxWJlBbPy57MnsEnA7g
uJueWKJUq5NIwQBmUEw9sme6j1wBjZUrdW1u2Tp5umxvfuX9cmyyzQRhELUMLBTQ36scjaiWAiqe
tLu/bGWGQkbGGvhlZhKQeB8XOmlhhjnZUbVEu3SfAWsSN/6duHqrvWjBrRlw2LnByY6iaDxqW+hg
2/IHGnqzwyDaUmc1z/U9tLHkJffm7vpIMOJdofxUoZ28MRU1J7FeIjzQwc+e67X0gnaWg3GlbtWl
+Jg7TUHrh9EcL/h4xJzHRx3XpTmA8cNGZu1WvmsddDqyffxsbMJb4NCanbFib/F6Sb96dmGf2p3E
JfB7chKgJGqTj8QNH6kTcTBDWvwW/dmqLR2V11iwREjKLkmEzMaODv5wBUxZaHmfnoRaFJVhDtkH
u4nF0qtpgmS1yvreEcJY2IR5B/eHEoWgQlYz7KuGEt8NpVg/5B3QZH5GuJfLAz0UVSHm7uXAVmb2
hdNvm8Q1G4yKgjcB+wJtbQnEc7nQrS6bmA1lJHuhOoWX3djReD7jpRhDWdHQca8ZFOQA5TtSvnRS
6CVZaxcU3QXZZ1GIN60aLmQr5p37P8NTsWiEu1FHPQbej8mq08MVJel6wbnZcP7l3FSZJdSQ+Rsh
9Ha3LfZA2iL9gmNSfIBYY/C5Fw7DW/olWvJScXRuPz8ZU3PMs5/ssmzIQ1JoKvSZqfjICskL/Ho9
6OiB0xVIg5aBbZTadV0oL5f9ndtuT+1ONopUrtD5I2JIM8ixp++lsNWLh8smZkdUARSOQF6EgAjw
3DVa9tzQfYxoho4C5C/VKw395OLzZSuzsXFiZRL4TSQoEH0f5y36YRSbZqklfvbWNMLq8DgBlvAb
bp/GkDaOAtyaZGgagwS2tPSjeF062ke5MjeNx5cqU7Me4YmJe/2IOfuZOTsJiUGjuIbnODFa6VHo
9om4sI5npx6UmACXjajeaTW0ApYA7ElwqKlyNB9zkDTdtMNfJ+TGYw6ducBB4k2HVNr57HddiJ0Q
5Cx2X9/mnVv211Wy8GqcdQRNGniXIHMhTgMsIAZrWYfDrux/vsWPPrBBcVf/nTg+MTOJMGPI8HvH
E7yMwdCZWJnvKdqjmC08PWaXy4mZyYCZqYjU/Hie9r2XFftE3zSCkyw9AsaPnd4fx8aWP8dMmbw9
OjOi4IKAFUm3h3gvVq+p7phQIOUuWRKOnj8w8WwE6xZIZuUpAFdI1VbpypDZzZvRuGXr8q1BLXmd
biMHlOKxZbQO2A3khb1tfsme2B2H+mQFEVqBRqYa7W67tX4l3OI9d8gbmx2Yy2z20niX96DZqRs1
GYGmAo57SnSsiI3GZRC92THZR4Nqg1hyE1c/EqFYqCTPXspHGow/LU2nT0V5x8A5jOnr7aZYGdpO
LZ5I/xTSTUJzJBs2LL7JCqsOljpd5u9dJ6Yn2TW5Ip0uNnDShEynZT6Fd+QW9BuBRT0OagA7Eezw
IO4gyaRbl4d3NmZPLE/OSEg6YFnQhIEZD+2Ftxnbyw2o8Y5ZvOflEtpqrp8ZkrLYu0S0FqIHYNx1
ToJHjEPojJTws9ad+gBiXhTJtoPbX+vrwkPJ8SAXVnYl3V72cbYeooOeELUedIKCSPPcrJzTMlEH
xCxz2ifs/ZZ/F2xewoPpDdcLpmbH85epaRDFnWEG/gAPi+fG1dblUX1PPvNDf8Urq18pK/U6WYmv
wUtoLeYDxmvFt+3nxPQ0iPpOzpvRy9Yhlmll63SnH6n38uDboAdfCpz5mD0xN4kc0oIAtfo5qCvT
It51a0eH1tJt+Ta1Alvfp4fsfamRebzWXHJxerMaCbYoEJZA3V5Vwi4Rr6vOEjT0A7mX53H2+Bsz
mQCiguBkquuC93GcxVBPsCMTcG2FWJ353oaby0ZmLyMnRiZbaaJVrDFjbDiC6luE36JKednA3HCN
XT8Q/BJH6NwkIkBBmWVGgMU9oFrD+tAegvSQc9MOwI5L9WqhCjG3VZ+am0REwGRA9QqYa2LfSpVg
1VQHoVhlS/Do2STfqaFJGEgVj4NIwsDxlbyJc6v0VIs7fAf27WqH5jr1tdkJXmfRG760vpeGdJzT
kx2sgPQ7MuowrazVD/QI5NbgJK7pKldVYZs3yipdB5vB9V269JpZsjzdO42KyU2G0TWNtyzcpvp9
n6L5wWuWBOjnYv90dCdhaTad2jEGQyraE0tq5eFagkjO5dCcPQpMYgA7N/Z3fEeB11ljsPEOW1I3
EHI0wuyC9KlSNpB9aeKdGEIWCsoQYCvYx9I9WDv9cCHdNzegp18wbuUnUymCaFzvxiwmy67S/g4d
BBZ6WVB0tcx4SVt6bkzRz4PtZCz8GNOMqS4m2WBwXA2j/koSfpTZSl4qmy6ZmESmUNWtJIwm+pzc
0BgJMM1fgdDVXpi4cdOY7sGnrkziMGkh8At5YhymUDhN3xrBrSQ3yL9k9YAOZCfs7cy84u3CNXDm
XEWYgLQRnJG4QkyBSQPvUty7YZVUpUXIewsuoSyzFHLHfbSMN6vLXs5sZWfmJltZm0dpit4xPEyD
6rqk1FFYvGoBlsXjbmFAZ06BM1OTzWzAa9HotPGl1WZuxZJtUGvuf+bNJDSqVtDlnsFEm10N5Kkn
d8ZwR//GkxGOaJoMTW0gmqegkbIDF1Q+Xgh4d4cmHDXa0CVanLk02amNKUyECMynrMC53BupA6S0
YwaZBWzpCwONvxSU7ijiOkTcK6P+5vIgzr24zmxPTtNekripdrAtKs9x4XbJNi28PHocSrcOHwLV
Y/JdX266wlHEG1lb2DBndqsz65OIBL28opTQGwURtGKH4o/KDK0khPpDLj7mRbsQMUvWpkEJIfQ0
GV9djXlN5E+ljW2Dgoo226Gjc2Fcxy+fbCjIeeLqpgDkryCtcb4PyyClbg0fnqk9rsulsBdR2u1Y
cF3GIcq8/ktO0XDKyC2qXVeGEo20eZc/YdyyLn3B5CTIM0MwSQJvY47OJMPoCBrcKmLrpFziBJod
2BNnJ08RTQY7uEjhbBOpu1AIVoWibmWztRIpBU3Qj7/jGJpPcMJCFmaajhKDIUwpgWNquVE4JIjR
tLi+bGLeoV8mJntLGrWlL3CYIOgL5bpVQN9poPukXcfJ42VT8ysQ9Pb/dmecx5MTm0ghSAUILl/9
FoUz/0BW9cH4gUrMNUjR1a3ipTdLp6o0uz2PvdgatKjRYDhZ9SbhCWkj2GT3jRs7EAvx0AYrBFZk
o8zryuvM4W62Kqxwqx3xgz1idydf10tNKjNEBzj9Tj5ksgGUCcKyS/Eh6lVqPyY7ML5kmi0xx9gD
RGX33lviFKUl3NMHeRMuXO1nj98T45P9QETHb1SpmOU+9arOFuUd821FciN6W2jlwlY3dzc8c3US
UzmvErPLxzFfFQ4IDtbPINBvvdgxb8ktc8Ex16/9hWN4PrgMsPZI6O0fpTDOgwujW3aSmOL40jSr
Btwo18Z+6MGCbvIhVSF4AlSepAWuFgV2SiRwfydOo34AWbfwLpxdUidfMpnpMCS8HtrxHQUMWXdQ
TJCUKkBKV063JCQ0H1UntiYTGxlFUpAeXitbuj+gKtNex9fM0+7xkEoszZLtaNX8EJybGNjdy8t5
yc3JLItSB32AEKYFHV0LGnAoLHEqULrH7WfYKUtBNVO+BXHgr/mdbB5FTCNDLWCuF554qFpNual0
L/PBcaXcm9o1aDWsqFzwcfYeaUAWCgx7KDdMQY/CIGlNXsGoD5rlHul6QytuwC5B8iU27PHzv51h
J5bGLznZG1W1BOeUAksBCk8RKCygMCLqC9vAvBEwrUBiywAyZXJ6RUbNElXMmN0xXIUh8BzXxioU
a+dnZPzXB//v4DO//uOz63/9D/78kRd9FQUhm/zxX1fFJ/3Hdfr28Vn/z/gP/+8vnv+zf60/8+Nb
9v0vnf0b/PI/jTtv7O3sDy5lELe/aT6r/vazblL28/fjM8e/+f/94T8+f/6W+774/P23jxx/oPh/
fvvz/978+P03QF/Hptn/Ov3tf/54/Pzff3NRESo+Z/7J51vNfv9N0/45gmbRfYvWX/RwjQu5+xx/
IkjKPyFADMkJCafTyC+P/YLmFQt//00n/0S7F+S/R8oflLxGKpc6b8Yfyco/QTeLZo2xN9CQQDb3
27+/7WyCfk3YP2iTXecRZTXc+Uk98yv+0BksoWcTVEYiaJOAVFcnqzkN/FzKUwIBJpLrFTnySiyC
4go9O1XeO0RtGpGskjCPIXyKcpMh9o4S+4OIXB7EGRke/bqUmPJGDyqzvQW1Uymkdt0RDX/ojWx4
ZEoXD495jzPwCxebaHhU86QqZOvPf5/Hud7ekrqi2rEHfKdLrCSKWPIWRS1BZTHTKvw8isMUvyWt
xX4HXBBg2ehGF/GLATWV+l0vDGXypvtSCikYkMYRvhtSmqOCwymvtCOQry1M/vEHPdPiAEQGyTB+
Rqz4+J0N4Mx1tG4KecCvxr8d3WhAGxh/+SUn/S6lXYG/3SUCDIF5Zug9sJdr7Rd4YzPfCgGD7/MN
QMpqvQokP4IbUtz3+GUASWUgQY5EtF4lNoO8QntLfzqFtlZIT0J6XcOoVG1t8hbyX5mmgNhSSJO3
Psry+KupDXgw1EKCj8ZdUW1v/QY4rGPK/RbggLSMcsxRKTRF/BVnwThokgF8x20thRh0qWG1iclT
QSJJXchRc/yjOFZDnjt/+AYW+yz+EooG/61qATwYGqbVoPCRK8ywkqJodWv6LWYAOgF58qaGNY2/
QMGDMrPTBxn+LqU6iNKcQmjCobMGQD7H0RKyEr9AirICilO6POgRhBVBt4sv0ESF42elVHTGj0Fm
sm+4oh9jwP+IkkbRgzEW/nAy9gMkXd3AiPHs2NBAFNKrADwRmHotEc37nDVpsU5Bipq8oXwM7uBU
0Sj+d0jiMY5NDR8saWScEDVpBTBrS35d4APAA8VBWOqrJnR89QRrGXlXpgV9Z4XQycKX/vH7IBnW
1hkeVkEU5k4m67l2/PMv0E4efYeEaRobq0QQxFoGoOhnlCqh1mFZkYDl+Ct/zGjMxSLhVtHJzWBa
FaeYuPBngLMsDuG0DIxP/AXd+iQTrLQoh+SxTNH4cMhSv/fb/6XsvJbstplo/USsYg63O0ySR+NR
sMINy3IgSDAAJAGCePrzcUbnlK2/yqpTvhhrJxIg0Ohe3b3WjVLm2HqvD2ZGRLdLHrpE98F0EXne
sAfqput4DlO8H49jfNl9ady3CeJ5dVN10W9NqkPz52ACxoEzwULZdHjM+OvQXn87DOuAiUis1zlO
1Mv0BZEZFRAjBKniz/Fl9xZlw/vIq810fS1B02bwYSP1tLMu/SIEtoORN9yJish+qptVCTg4fgby
Hrbqn7YMEuUcXwEm5UOjBHfw32dpt0Ff1IkqOgu11RlkonZDXGqBGufJ+cwV1K5wM+4jK9nuEQ6i
LPOHJN4U71AygcmK5mqOn4yuZ95/fanqVtv9DEb9tw/FMcydpsdePaq70+x/CHRHJRG3DCIKro97
1Ci3zNeoTXaupMVQz1fdU291NxlzzNo/Dqjvh8A/jf6/nRsuzgULmLUpdYDYkJ6Nf0/T6LzyfqQa
a6RJJX/wkJEw2sWmQXuKUKZ0H/esTuVPcvn/9kFeror8MsfZwbxywMf/vqptRV1nyRRSsNR5Grq+
P5FS653pd8u+8+J/D/SHXBfXzOBhpsf4oCGEeKP44ZpS5mU/1hOltq1I8vd9vrU6vo2aiA1XxXVR
v6HMn8bGq7VpMX5KbFuu+2nqdL8Pv7SRG/pfG7WWWNKordL7eelYI0Wjj1udN4h4KVwcUlp3f3bj
HP3/XskvGtkQblBdQ6NQ9sON+zaXZkNc91xZGWSf5TTk9RsjGu64VPMSPxWGdOl8boZOyZtyqmHT
uTRZI+P7ctrU+CHLRz9BSOi7Mvv837OKh/HDzaFbjDjjoeCSQH4Y/+CyWguclncjjbdeo+4KqUyz
tgR3xqVRe2kkHWtPaUef77tsA5BNT1sv1+B9mw1leh8FTZbeDXnBMvOcdfZdU3SceJVQ4fI2MDkD
Vcrty1td+GOdVAlN0g8zlYX9VS4jOY7b1gvHOwVKU/XNfw/uf0wIKe4sSagVRaCZMukf9gaqRlEj
Ogow2s7t8tPSRF37HGLf/z8pyo89SFkERDbEGHAC/s8j7oN1GGQfc6LYklno+6jT0Rn5tiAw56iA
yOdbU67MkitctX3cFWCzIaBcNvmpklK0z9p1s/tJ88T/2Ab4OilkpEeUFkDUwn5YeO2CgEmX9f05
WaMx+qgqHax/iwpX417RDKseC98k+U8yOj9Es8zFYY4ouyLRAu0ABD//tg3ZBG9sMQeAlTM79m2M
koO/26YdT8RtSSffqzD32a1MB15PRNcsvzbhOIUL2sVznlz7Yi/ra9eW6f63b0s6JDU1qXlGq3B8
HINt0rXB+1pQzfhWZm25fZ7wN3+WmDqiqH8dP0UKmUZeQnSfU6lWHvvmH6GclD3X9w48cEcr68Ps
xDQT+w+B8neVTa2m9RzBvPDt1sVb9sUWtNibk16j4md8GD9UTpAyLpERQXWjgB0XbsQfTXxY9Mga
t3SkI8UC/+apTWfW2OZyE7zPEw+N+KmC+DX73G0jJ89uEpF/jqeQ9RTEQ5He74p2/8t/760f19Zx
U/QYseCPLs//WfHNtJdmKnSP9kCbC3+qbew5eKJadFt10vPOyp5jxLV+ak5fmCv++Wgotjp6IGnw
oAUdibgftrWRhR4KigPOoZ7ShqrLKtShpPQ4lxPqkmZaaHxS1rpV3wXbsFXVJZ7p3n6YE6iPxmvb
RkqmJ4iucEKHYqGxmgnsYKo7DzIzwU6pT2z8r1Hf4U2cc0Wf+ocoHTXUorKsRPi8tcWWfGgDEUNb
kET7tN+qSsjsi4x9hdDtQJhY3sKmpfK7bVRD/LHI6pLW/pW+eOjni9hRl9Gj+fi067ihtEGhin6o
G2SyaNdLoIeoiZFq8kcHc4QkYzfdC5emGI1G5i78pdb1Enn4cMNMX01IyrGkACMIBFYFArRqeJgm
nwTzbbl2dL+fqi3Z5scy7wQNRrkea3kKu7xuP8weScu/YjVVWYU2hzBpde3WSRZvZj6AcmY+Btq+
wUuT+m8OAwPDR2Pwxi/euTn+I5cir74Vrpf+UZazJjXgGjQP/5jTPaj1ieOs7O6SeqZoveyKUfqT
nKAZ+Jqktm0+q3odk6eg2mxlzi3WaNtO3WDrOj7Hi7T1n6OEhb1E9das2W08+lX0l6heeGgnixpT
eKvWapja2w4W2PxDaeahRcTFLWH550SekAbGfj3O2hOgVlB8WgIlgvthH+bsTW360LuzD5j8b9VW
jOkXY6XusltirTqkzE0EYTbDs70Q9Jxy75AFuwQ71McfaB7PWIHBCObf33JYKko093iL2+ymj9es
7m5LhEeG4RxiEeafHGykDX4wT7Q/0M5Eig82LTReih/2ABMkmt1pouDa4FMo+mdrJEm7XD4uEHnl
t10ZH8GCpiUVBSL6iTnNezhw9HopClVyLvvYyU9SNoN6F9Sdog5r68sEhGyFieCZsucZDdVwDWbq
0SNVmwbC53lM/B1qQ+X0UU7E538MbTWs0ykpVbNcs7Vz48HRkez7fR0Btb2t8GPcR1m6fCkvVhFe
v7HdkIa3ReF7fjgwgXDFqYZRgPyL8QlR6xb7IlIP4e7ga8iHfhvdbTehkfUui1fr3sG00Y4zvOdm
GJfboc8VcfcUki3zp6zqff7WpfuG8x0f23E6j26Nol+xClOhkNkxak/ZOPGYvjF5vZu/vZ+6DaA3
7Sb7GGn6Nx8WKGWSe7e2zd7cxv1U7PUDEoU4PqYbiJ/FTmXz/QBfxhGH6C6nlCeTQepOw+gasGmd
RnWVXZqoV/YhczwuNn/YwgaBnGTR1r+ppKP1BKriqU3Sy6IW7LRqzNb+Yitb0+8EV1CEXzRkxeFD
WLISzOBk5gxPsXbB6r4ONmKGe59M7s1iiMvMGVdv5Kl3q0ntu7WcmbO6FfDEXOa+F9lnk3eE67et
mPGA1V5q97V6CakCNwimRa3d3g+XKatW1O/SpnZlf6fQis8fJpE4nNA5bnoMfB1BnnHj/LJg4PtI
jPKmqlGBQMZEL5JfyocVpAf98lx/W3Qct+FNgooLZ1WLbVwTrIAXVJeMudpU/wG7OBcf2zVl550q
G6uiu+tdt3Pc9WVTZZ/7Xejubx+MxwmIQV7c124vHf8wi7LuawG3n27/AoTp2+dYjRNawEJxC/Ag
Ef4syhzLrcW/t/PTq3/a+IlDau3kEpAzjhf4PFzb1urihE/TOxtMbB0odXAah3zHoaWDK287+G1A
U2mCropVftIib8riHE0TK9cHdZE/gD6wRIJ09svb2lYErDXQX6ZPql9qdW+7lcdmpeCJb1A56m90
p3ILvtLQt5whicFXlUvplrdZz6q+jMJH+ttrMBc737bPr561nhXed9xiI+7cMAb9nyKcXPC+CWFb
+bsBwmHPD9uOx21jE/Jc63DhHbkuUX5bVttIr33hippwI1NtyI4pRsVcH+0x4Cfj4IhdiccOX3Z9
WaGeajnxIY9WmHH2Fttw9bWXXXLOs14lD4kwWBbK9hj/0DdWfiqTZcKM5OFyOAlRsmKagj5m9TXE
IvYduLwcPwjRDjCyFhB/NSdONr2PQHkrEUZVZEcY/RoarePO7Y9Lw4g4o4iflk3j5czjxIAMJxkK
VmqPWYxDtuEdScUJdosTedzDsKcQfF6IEBNuJfEpk6riiYUS8LjTux3UV3+rlwmYLgnbOXjfTx0V
UqcgjhAXuoxpwk8mnlf/djrl4U70tuS37UjR/GNjY4bbQki8vN2n3kcXs/fAE2RLM5Zfv3O3s+mi
FkaUZJq7Rz+DYz3Mpn2Jl2qvv8GZYTEnYwpD0nQt9EgqeljicXiOOnTFNf0SUbffvy6ydE8CFd/6
TsY5pWFhOr2FQ3SN5Lm3Q6wuQ26W8a7A0ZGP08vpIDmJzNckBAx+JsZka9SJwqJtzvf2SxvrRL7v
s2xNYE9XlKu8G3dJp8ZJbm0cU5BtsoaNT0QRWqZkPLbmkoNxwU1OV947ndgh+q0t9a6h3pjbWVxa
G+jyV0LPpZWgsXsXvU9Dq+VtspOlvpUqBSE7RV00yJtlyiQbt2Yy7/AgD6c2blom2c+0592ZcZ/F
dW7qfXtbmFjoT6mWOruZdsUqaUW3toDQxUrx7XmCIoF5jGfZoRDeoNk7f27mvsKMfsdF1n1on7sl
YnnbItDBezQtnUsvenCbhm4HZexEXdplz/MHtWxs0SRwwfZx3kVVA0bnTf5ZJ80gLnGzzOZ3CSXf
8KvIdd7MsE1ObPkY85bj3rRHZE/sYOSnPZ+4YCaSY+rM5mP5mIwWs1F7cMJPaumVKR+7opOmO6li
MmBJpt6j8RQEmrD7tMLowr5cswb3GANqRHUjcDoUtGQikMWv2cx+K9GFPqKmjv9nGoagEEym2tJ1
PG2QgxY/yZT+iAXhhsDZgEfLf5DN/IggZAUeRLnK7VRVAYDtdwRZJAC2rwj6/2fgAX8hYllH4TpM
FXHyQ1ALPq36qUGE2geO3efcUjMn08vhHEb+gChoZGQX/vdlfwT5KBcJSdFw1SO7A/7073iwmTsf
4EFyOG2iIcxYy+14spC18Zisy9jLaUNvW3lpI+Rgmp9kxg9/7p8xDw1aoATYJ3gRwQt+rLlCGLoK
KliyTq/ZmNecAUhSDfb93wP9MbArUoQrid9ptqTbo/oxuoIuC+uPQ34KEORkHAMFMux7UJNjvHqI
7fRlzZWKfwr4vhBE/WOQOfRmBLrgibi1dKP9CJRNm6XCwam/46THsTiDL/qMeF8vCsdNuMTsAeXM
yHn6U1oFPhGPgV93XZ6zUubZeukp7FmXx2WM/PQl6ZKg/DTX+ZKJczFaG/dvFto7zXoJ+36t9tsy
rVViH4otI2OTOkjlqrPV0Gro84a9dc95CDPcsyTuw6cKVtyl5erd3KXRpW2nJbWXukiCx95nNEDf
VGN9wLuyzDS0jskYTWl107RF5MuzANb0zcfC+SJeTla2OmvPyVjNpKlCk2ZmImwSdgXlaOqBkOZx
jIt9zi5IkzgG39cdcCu0UdIQ4VX10iEw2CqMH6zFkZ8XcymqRFKFSejWmuwa5j0+4pPIBZN5Hgox
7L8Xdl+pOuR9GMJet+ZMikVAIuQJ8IuvgQRP++SNE216DYcSy/umtLkLmgcQ366uqLqj+m0+kfAy
9u9uJc+RQbkGVdz0xodunBBjF3u2UpQTVUsOxVm7MaS9wbY9qUnGKr76JgIcuuzLUFXDWZWV3lAJ
OJRnkFzmCPTRNchgVwvOqd+yNTq5OHUSUbZqF1yt33S27Tcsxrp6NmFTTPpMOKr37I1nIlmiK/y/
fDDXUam7G9Vk/SrvOjN7qLRjVDX0t2oP57w/j12XjME1ds24fKAlemuiSzPqWUanYgIgK0/tUMum
u6mtSMfuAlVsr7vLpuJeHbLlYUgw26Qm3XvKCiJO4vNMYLz+qn0nxAc3JtX0ORh1WjMWmwcQPnZQ
+YnwKg7Vv/HUQ244ihtODyu2M0dElqMJoZTs15tdzcOO8Hq9H4tPGFMAAYDx71j+INhbmZ+rnQMs
5UWaTkiEwZfHsJM0cCympJF6fRdZolmSenUL0dc5yvulWB4y3YUclkPJA4UDVw5V9A2TtbnPAB2d
JtlGMyiqQgRoo3+y+JXZ/gxa5lbau6F99PVlrpcYIulzNGZTmN+V8dxUX0EDLPVQpRk4yO5YmUsf
3Tq77fT4TWKEHul2B5NI9J0wS9fNb+IpQef4JhkMOrxgLoAH3TsOuJXvyU2vsbyC8uzbpe10AYVz
jUuXPxhyfGt2qpZgyJuzk0kxvtUCIRP5DffcsdxeH/KOQV3v56ZLWFiiJQ75yiyL9c+NTHE7nfeG
Y9KeXZWybs7GT+ZIc82uZbqXBfskTksajGzQwgfhdj91VdB/Q0aYPHUu1MQb6WKoX790pKOC4Zpy
EyQYbbNXWXE/E1TyS3k74j1kZgk29WVLYWpM3mUt6nUUjja0mBMclk4pKumwahvrlYNgcv42qlJt
w7dirMsmgzhS5Xyj6IcaR7Rq7PF9j3PLviimouQmLNvLiQsRDwt8q0m7QvFGaydXaNf1uLEFBwyb
Jo9wKOqTgl9yuRj5QBT54wdf79Vx/h0ZXZNvhtg5G832eYUoUn/rXXhsUs8j4tO1syV/UBVomAoP
rw1ubmIm+zGcgoaK1QHXXt5lpHT9b3beqR5oR3FsUEjMpHueMm/rxzVsIqeuxLpmWX91BR1NgFVx
dSQqRR6QXwBTFSGXnQmL3PPr/E9OVE18V0GFyudQdBw8cLPP/WxJ9x+/Hpb18dx9yqsTIMIQrPfY
n/T4x8sj6QKY8xiF38rwUzAH8EuOY8sMblOdyEeE2l22nfstHJr5tiXxy40nZPP1t3ksD0O0B3Ya
/MUZygyqk8KxZekF3RhzicKPfPDVc3z1h4ZXsyXpIUUJxYY8pKLM23lFp7U5dvhYrscTmRXo3Hrp
agoafiOikLz1OretTRiX7eMj3w5mfTwKie1KeQYvaX4gfoUVNKU93tJJcXx3TzPPIvn++TWFDvN5
mT3HGmAcJQD6dTCFyFnWpHMClhJuo2Yssrb78dUBOCnk3OsTFvn8alwXyEDX+0ro44deDbPu+mMz
rHCe8q1E1Md8vA5eGpq8EDd9vVZU7mT0M5kdy8PhUMrH1xHu+V7yOBtH+PRbH7THXL/uoiICbYMp
cYUP9bmEE4qfXl83Z59M2THclzFNA8yGMNnjTMnHMghmTnmOvuOUyvtqYPqgM++Gx17XOi1PfRhv
wV9iRLfe/mLaBMZXwt0y5lKvx6OgdvfI4C/Q1WHqG9Nl9i5PmnwVj3k6NvpjhHCRojk7Rc10v7CM
Rf8O/Mx5SdliSqrsJtsXDS6EM7WYg0U1Xkz8GEDPCRFtFi5r/ymR5YJX8LoqBtsBrEBMfMS4Ltd4
8HUfEqyZoq6Q3F5GdeQC1xxODnEbDhpXZwMN3j4CBFQiOGUxVQBf6EIpcYtVvxOt7pUt5z8HH43N
n7ZWbFRU0EIk8JZprertvKws4q8hUjrzp6ZqBtbNKwymZEQog3Um7F43Xa3yA0UiB35WeuqH3KlB
7WgcThMIGVfDVpQqfCeDpu/V2Towsrt46gzhTqz1kXjPUnvsbItoOUZDTh0Bkev9kaD/Dk4uO/e6
3HeLAta0jsB9uc7etrjco0547Xsi32V8NTbAVpepUbObf4ffbwym28hgJWlHyI8LDTo6cgLh2HMr
ai1fcJmV8gjlZzz2vrLHXS1pl6jP2d7m9XsJTwYvcfyTp9vkbI61j0/OGJS0AsSEihEKNq+QeQeM
2WnK1RtSfTu1BdcebwtazRdzuVWGXR6kFOl8Tgs5x92D5zQ7hrpFTfUFnZ8iucvHRI7PdQkyI6+l
GKlY0N7uIH+vsA8RyVFWVGcF+AXkzmvLn2jaQi7as2ZB1wg1+Tjgx3F3uujj9m/yzGH41JR+ndpf
SMYXWK+1lMeJpCIZkvcIA3/Ai1aPNn6KRBtzecQpeNy7GHrmLFniXHW/96lL0eOy1UB6Iorbo9ai
epl8U0TUZbi9ScQf66gh+n70Q0B3Amw6x083IOXMpJfLgU/VwjeWHkjIz5B8cNFWJpekoXxoOZW1
Q+vk7LN+79tzt2hgN7Mnhx0syw4rUMIHnP4pwwZC8Utjdo/jOGddCLnYMuNXfdx3clSQcFDPk5TX
ai+69tfXQGlqQ1vftGvVN/nZ7ZPSkJ02/lA0mNi4LISXMN4tGwvkFR2YsoBrLsCS8iveuoHuW+dL
g6nG0WW+R8OTLx7iYTwWKmyue7u9GfTUU1KKR5NN+znOxTqCGOmgKh7aztezeFdn8XEmex+Yqr1d
B5NXN73cEgXIPg50ItzrJbY78toqiJqmvwtEEib2xrYkJoorlVh93h+qhDt1JL9PQZQcfyxRftNT
BpTWZdJfW2wxJQPnRFeVQl2IuinRbsuN5t9b9QfJIplQYrvaUk3lH/2UFb4Akc19u9d/p7ZYj03T
lS50smZtFCOJlhuzRH0+zI9GVqoX33xSBib5dlRV5RRgBfs8HAFi6mbvsD+bi7AJUGr1OcwvdFSF
UeoW8F5DbSXgBK5Mh494mvK2ipviorZIbDSbsM6GPFKXLrbWo3azmrDY/kynau2K+0YNZWUjcm2l
UtHv47Km8E6dinZscOtPJQcuku7sWiW7+DwucxH9FeEm19U9hUxRZJ8i8CPuMpOm4I/1WTezYGaH
M3UfNtOw4+2LMeqwmcLmKN+Feh0EIoYk/fM3kdzJsV0I39Z6vUbDYNw4nKWc1yg5OyvT1N63vkza
/r48guf0POBmFsFTWOZ+WR/IM8lFkHkU0PBet7mkju8G7SB+7jbYLYno8xoTqsTZmYKMJOyeGk0l
aqNOulW+zv8KfVxMEzzuqyH6bTVYZ3qvHbk5YvImrfa7pUVsKT+3mWvqT8pmMo9+cyIKqk9NusYd
pBR91qzcis0JBh/J4xWWWpqcAT2aEAb/r/0UE3x+kblw4YYmTl+R1shkFwRs44BFOnCuT7YCYSmM
ztP+cassfFxPuKAj3xArMri4MEMpy+TBA4kzqSNtijK5XSnDirYLXXxQPTdpIebm1JTwn4+XvM5B
Ya/lwsECoJa5hEei8wgpkHdaDiyE27UD39zvuiQsRAXRha6a8sGElen8zUR1HUQfXdBZ177pygn0
5aYyHC3ljTISL/bEirWB+YVSKZMd3Vrx6kR9rXwAhfgbse3eVE/GL324n/e5s218Zwt73LyMmX7c
BcrbZnkleWMPdNBnx0bO9gAAGTy9zvXNEFhkWW7SRYT4pXXmDz932vJlHy4pQCwLqaP4sfqU+mwq
mnPiZVIXZ11mO7lLp7TBA9FBuwXvyb1InqMbwhhFJDtuY1CdFksHUfg04MQA7J4mb1fuZJSdwCwt
KgrhzB8hgzfF7c7zy6Ae0bY0Brr+BsbzqvxjC8PMU2OR1rnv9cNQAw3TtudiW68V7VzQ6MTz1bQd
yca7zgbRPJ/6Pa7dOweKKhEusTllqvU8xOXXDPmmNX2zaeC24bdZRJV7p1pD5oo7zudosehntLXZ
nraEyog2OS/ZvPrlt+Gon/uiMb2u+11b8nK4qOWwiexZmwpCVpIrhWSDUgtxmKKCCB+IA8LqiReX
atJBcmqUafL4vYqTwbZXpA76MrisgRqC4X5gqRTmDYD+qvrxHDZkB8OHJZhdA2jUiwgtLQunj4Cm
pdSVre6G3UYxUjpx6wN9Qoo26sZb1KiqXl8hVK2G7iE1dTuPl0ZjmcYb2lKGEJAin8Iwvmw9kZcF
OY7GtbjJFviZITAufbln1N8pGClvlDWyj06etPgeXYnNhqS6RHkxhcHFqGLcdyqR9crXa9CeVLxr
5mUxzc0Se/KLbzfsYBKeGiuWOr7Pm3HgXtY6PGJO22aK96CHl8MvdSmpCT0V2bL1MOsoX5r8tAuD
33ehWm5NihM1LHh+ZxrtsvyriqXmy7rdjiWsTHd4CW1fKH5Y0aeRoQW6ECVdKYVZ+WBXbI7Xok3U
ePMhgUYH+/V8vLZM8fHxONEJf2DfsOPHdBimTZ/nKS4jzJOoh/CN5Ghbw3PfZWYjgvUc5v1NU2vP
tzTVsPzuYrDtX4/cFndjBUaVJ5bJiRuI+5icxymdl2YsT6JRUZedE7MeU4BWcFHF90OpRqYnXfPj
PR9MJNY0qTg+QUl0OAR3uOp5/rUe1opBV8l2XNq9TuNYWummuzDdGPTr0E2GgzFcqQtZlxQqYh65
PnVZE23DZRZBNYpLTrFu0J6necBlORNCtmQdSGf3iCFAycuJ/H/jz2xif4uSk2e84CNHx1QhVMUf
IcpjgNXLvf2/0WrBB79P9zrVx3PHRBzIRKud50aatYBOH7raFFJECk+3jPc64ir+NcaGdFUFVMEP
U8lNvIZOFdNBvr7o3zoAL36hjxKOyikhQ+vPaV7LDvLjmtKP7BxYNR/zW1KYst7SDZUnJH6SSFY8
Oeon+Pb3PTDKnsTVjROh7Jnn3JeIW+ypjsMP/Z40jb/DVTiCqzWezVydqUCeooEOxfV4uP3rstIT
Xlx7aorFkUAqbH/c3vcnEkRBzL925Eryr53SxxRQ7nsA0oOLPU3VIP4iSM5ThjaVBbdrndcU9Wy6
hlLHwGr9yVKHIwDxsphnctqTrJXDY/sKYXZSTXWIgApe6aHNk1Hc+kuEdHIyn8ANd/DcKl+n/Isz
TRLiIeW6ASqIQJUZldyKOAjP4Yqi2fTcrRwy7qaEF2qbbnSk8UH2pB/sUzo70SDQMqaVFZd5p5TO
nVI1xgT0QUMc8OhesAdTsiXtL9MWbxwm3/GMYpIIKzeLmlBSdu0ck9IX4WIfww25UAgifLUH/gRX
+7yOZwuKZR82SjC8OK2kGrHI27ht7oZMpk2+xhGWfjyBeKP3faKd3Pv3y9CnR3txR3EM9e+Tz9bf
2jhszL19QcNFuWji6UFERyweuHUe/tiVQKSiDoZlA1ELzbw3iLm0TZZfwoVa9vu9TQ4YQm/LgRmV
2igGG0/RsdNZXoAcwAobMdYrRNPb7YArMD49rzEpXZ5BMdC79A/wQ9GYp4OAkoOhNHWU0Uwb5Hvx
5OE8WT/pZBI5JRBajdo9+Q7/2N8EwxbN79LO5AN96Uu+7e1RFrKvFPa9olGrIMUffV6mbKYNhDZo
YlR5ogvR49LE0jV2vPguPbDVyVMTN51w6Kv1XtvqwMnGsjhaMMTLRM0p4WKJYHlH0cAN7mMvynMz
a5f9ZZs0CT4aFcSHKAvObN1c/T6CIz7arNI53WnpbB06pRMyKvO1WMJ8+by1pN7wSgJ88E+qFU2y
AE24LAluZEpJ1HNhK1ykUx5HAK733SAj9aXeyWM+GxIgK9VNZZpBOvN9sCQKtDCoVfdzmd/MwpAx
uyo6lEJ7paPoAErCAWY9HpUdCoNycUzukrTImm1KPI/j5HZxU4/5vn+dFrPFXwk8srV6niX1pM/I
CR7waTPQLQ6Rx4vREdS3sU8XSVMymB5pCX79sJXMJBRmB35lpioCXmyGIx1ibXQULm10AvfJBbxk
UisZE2p9gPjieGrcrV7qwygHLTnjx7DbXpC3MUkOtGqLD8zwO6iGVDcOznkjsx98LNY2NwgBtmz9
x01Um+x+mRlYNbLm02Qh4CFbkseXCXVPagFf0b5VQWX9Wz3kOYseOSfAU1DkIULoZixD9VtPPmUj
uJamjmEI9VD1iVP8UlzwirCR4mUVXSkv096cPSelo6TPxUs+f8cJjVT4Rae+b3zyDChtQPFqh9ho
e9oXWQ7u0nfmsHU0lxxTAz3yBnQW4cewH7PdUIB99emgm57ssjJ7CNVdlB74LuY8CAitQqcHOtuX
4+vFoo88E97+AT9StHPgoGNujhXuXiczSWe1Fk9LGq1L8LY0wYE56kYjFXTpghBLVcFSywOk4PBA
+8yUHCfPHBcNP2IojvXLbccXhvwqHOW64roUYz5CsFyEtX8OOkg1H2LaN4a3VZ2pyd/Kbu+ICaii
WY26LMu27V/T1UT7r5JmNiFJYPeb/7opyvWooXFQ1Rb3uXXS5eeCwhE6919NSCMljjPyiCksuiex
qlzPWG+H5syFDMMx2NfNqpsOosh7M+qNz3O2jO75OzTvuvCw79kOnPN+hQg/+2ACwLhv4hUIHlrY
nqZTLYRnYoiXyhYPZB6InKGF2Mo9hGPG91v+foxEreSbV9QdXZwSeNKnyV77P+nmQ3fqEiFFoPx7
SonbcvycbbicBftZm/2vAkmnlMgoo/kEF32V9Fc85e1wlHhRtk9tHZjqdDybxO4tgk6LQ+MOkasV
YpDihD5WnWVXlelJ0/aTVkPbXep4j/DbumBvFowk/v59sJLmeMKJmNrm45pQcKCvCaUvdXyiEi1g
HSXZUvwf7s5sOW4kWdNPBBmWwHY5ADK5bxIpSrqBiSoK+w4Elqc/XzDZ02LqNDWamzk2ZVXNqhZJ
IIEIdw/3f2H5N3nvck197CgqPpZLXy3tVyPNJ7U6DmuzeGlJvXaV68pVHafabZDS3x96zK/N7Jdw
aTaCqqTtJLv/8PIyVAb5ieFl05WHp9wYQL4aBj7xyHXiOVnVl0Ok8UsTzYjQZOK20VydLFJVYPUF
3JuoOXTUncFqppO1MjLXv8Fe6SU8ZDiFNUE7rgtfUo7E3J8O9FN1pOGmb2JPOh7SJoQzxvYXs976
eTjGMwCxy7EuZZ/uU8oktHbQ2aqs+BwWjiPbSG/x5tJDcMsl3l9askxjGVkABKuvZr/Srt0nXbt0
9VVjuQCQv4+ia7RmR2UwQVYZhCBoXlUim2qHsrdysvHbALKPKeGMb5u0I2H1Kv3CRxMjmrBL4Vbj
fhqTzJxO+2Zc+K+kBLpJe6GsvOprOXQdvcuZkddEj60RdnzHSce26HBsi/A/zltqWEtol4CGv8YV
IfapL7vJm248mOGdSm3rNn4uLGt2bxegyL0TUlWpGcOhu9/4nUoY9JUYIYBAA4JKHasiTXsYuHTJ
rBZRTFKYzg5dbix7VLiRCacuAprrqmzwOgSmk07xcTqmXiEfafmLjfFqpdexiFpfrEMfDdugKkAn
n2ma0HtPLPcf6tgE56+NE5DlRgWGfFZ81viVlcTB1kMDSe4YumtOcc2pqtU8/NNgrSx73RzSbtkx
cTYXK2RslBUFberJzusLLUnLgXohbQW9y97M8vJrKQhvy86Jp1FJVMb2rOGr+IIR0oXG4MLXRMr/
lrZ6Qoz0C8PmdK2ZDDDR7Cys+6Vo+uzbUvV0h7NEdj0yhLTlMjohCy0FXMHjUpWVSbsMAumFNBn5
FUyUBnN5wrulJgjTTaETudSYtWRhldkvTXU8v+LPmJ0bTY+ICp12StPDlAuGgjrbzbRiljshehW8
yl7nPpcyBvywGKvb3sveEcN6mYi+rPurZVqN4k5z3JU7x8cK18WAIn6ofYBZfaxfd0KvB/1yknVu
wH1DLN02T5AEnTl3j05Z0qfSR9Ok1UfrG7rlriObTRXLs43r8hRqUdFr+3ytO59DJbCedAnyFqDs
BglpmY1HTRvQgvnkN2LA3w0uS2V8IUFL7yO9FEY3AWZ3SwPseO3pbYQecRRo2poDtfgna0tmHIEG
jX4odlvmlsYXw0pGflHdqOJfBXf1a0GCWWO1x5ZKlu6JnLlV+K/ZtLVtoMNgngAaTaBTkXzr2yn9
OiKAZRSRySwhLU9hfsFYDhtMRBaxi1/mepUkFCBVmhdq6lo0rUvLkAujtEb66436ufGZn2EOQare
9N2y1Uk6n8u5fgnoZaVSTy8r9U4Nxa8jgpqceUEXtBkvy/EW9f9Vtd2rd7GNGCmCzpNL+WB3vp6s
t4fh1et2SuZJDd+0ntm2fkKZSBYImoJz/Xi+jqCaWCWxpprty1JnABASv6QfsGtayzLHnTtBe/dO
0OOpq3nvthN7OWCCkGzuuTHQc1vpoNncOyXznG3uKdhiKv/7oRJ51n8q9XT15tOtyvVRqwLmBOpu
l0Zabb2j5tas4VxmC282NqZZj0MdhkH85LTxmqR7W88Newy0sl3jpwVkSXtvpIlo7z1qapyqV8Df
fLYihTLHoTg2GXC39O94/IdZ4dKXk6/RnUl6xEMavbEqEVC4qQGuTHs11AUXPTESfB2jH8YBQ9+p
xP766OxaqiPHa7b35k3VC68FEBtQjW1fc1RN741XAztS3Y+de2piqzPa5swD0m+56+FLcU3AFs6Y
RejkOxjPSTVBpvNyQC+8ToDtBKRzcglPOpliVtZaNeZey3EWdEKFJhBn+Vi75kTqoKbvdnoW48B5
4tc4hf4BmfViLPZvXBZCYihDqYkjmrHQ6VD+eYt9cwcfYPKW2ZFPyYl5I/P/fCjBynhq8DTXAhzw
uKFKIfZuw3BW39E0luCNZ+Eyi6MzojC8tI9XhlYxERQi779wLYx2mQ5Cb1JfXviqeBilTLzs0lBT
MC+zGRBrxaICWGLLmYHogXZ4GAeulcZQj6MeNAORVS+zu2YGzgvVnDkSuIkJex2IB+I5pk3mnEOP
BRwJaF6909GdKeh7hO1Q1hZtk5mMAVYg7BjXWFipR2UP1SALqlkOWUYT3By3v5ND5+mCm+S045ie
A7AQLfGjp1sId+xoSe66YTabvb5ldDsg1suBg9f72L63KMLDpTAf1hV3BHjfsQVxBboHlJvp7azO
bTh3FcsYVGZRfn7/Mm+5c79f5ugT/fsyDI4SNPFrZqDENGabhe/RE2txj8QKsR8dXDFRF9BA7ol4
SYJMDqPxBxF1Q6nnvFm9nNmQuATAiUS3D4ry7fM1JkYhzCtmymL2zcNadWoNUflxjJmXWg2AY8/t
mLsaMUuN0QqjwMNaaWTT871bTnOx/9dAc55ahQp6/5G9RV1CaKaxbCqaJjriClB7dJPC7WVquTAU
7LhSsgYpraJB2UICvwpbq0DVAmY30hHvX/Zl6/76cJCTUpbNEO2RDLFeZEt+pTmCF9+c1UZp2wRp
SyAbfJhaP9tioDgpZ1p3FONJyth9Q9cmjUi7astjv8x/HAbc79+QWhpv7gdlSaQCDdSwbdMAEPr2
ZYnWxhQ3EfGuBXQP1YyeFhIdsrWr4ntJt3q92Cy9VmoUL1IghcuI9OP7t/DbgvFgVLnsEZt/dNj9
R8u3g1jggLNRsF6hJthT5S72N3jwW91F3Tgzz/eIUOiHHsKH2242xIHDiQTUxXw7DIvSLhk4QjCt
P4zV37/Jt6BrXpoi16onxWVZ1PZRSEb9A8idhjWybsFDy2kUvFDuK1ZqA9ety1k/fwUMfrmkMBCY
YaHwfviXt68GslmfdoPnh5o30+a5R4Ohrk7Lzhia9iLRnVlF6y5n3P7+Rz1ao+xbulcWlhCKwyxo
Vx1dGGzEmi3LqEe93/DbaX8B3aiyJFseDloLhxyQtPWkdumis1zpnObwcVLLas0/bNUjIQJ1PxRH
tMU99Mm4m2NaNX0Z/FQRFYiYGyqE/QEro3qE9FMmrVBZ7gDg8egxI/2hzwo1sSZTIfSIYh0W254f
1fwMfN2Qz8vJQhOtuJqgJLD5bPyHkxCZdqg47z9KUy2Lf28vbt0FQe5gkGbAndWd43cYt7020jLg
UQ72hJDGOqnzlz6t4KUyZnnV44yHqXDD0k8UH6i1odQIaKvLC1gkN8EZua1dwrurF1fBdlyRglSC
zKNQMG6DSGWOm64C7xgNCDnyvQkl/jzZKGHA8r4k5fc/1G/vAyVCTwjsoKjoXd0+Jpyv9eb2aZlN
IbylA0AHuM3V1HfwiwoCOaiYVBEpcKWCIguTbUirnsk0Br0Zk0aRg0+ZGVMVVwepDDN5QU/CcFMj
KM9kZNaHQi+g1L1/59bbXUyMgftiYB8BeYJ4R8/o7ZYyN3o/gB+WsNILNeAYCg1UUyc4Cj14C+Ok
JwgvHpIRMVqgUe9MfPqgbxKO2JMLTOh5yJEeeGJuYwvgxEW3NhdZNdvyWmcMuVyWSAIVMIrWKaHB
SJfVhMLcUQLgFg3oy9bvXt9YZcYkwNxg/MV5tzFFuuw8fwCODeCk3oyvRQvG/aetGZUdh0VXdlod
rXWmwmMKkLW4op/ppT8Gw0qtbGcx5nO+rC6csMf3H9kRGV49MuCGHhHB9jEWJLW/fWTgmit4Ye0c
wq3V6ZG8loQFrUc216HgBOORNzYggKLMnxjLUg36Fv2u7CTpZc63FVW/5X+oko/SBndGjUafgqrQ
JJc73lFINqwaT62530L9hQWYNhyuOAsYBWTZGtU76scqttYMk/LehS0KgVAY+S3uO0P/AMJgmYao
xPirPjfixOimMAU+QEx9/wG+5bGouwQkQbK3EIWwoXocPT+OWDFtjwFPdgEP8AuthhHzciiYgwXL
tJFG+91nUpzC2atn0f1JNuD390dO53BrmlA88J/wjpY8w0eTN5AlETPAkeBpurHSDdiGuhyzTysR
DKGcF+Kho3BYnEpjKyZe5lOqsJC91gJRq8xKhaX3n8xvt4b/EU6jLCyXroAPLOnt0urRi7FSLAGj
rc7JMPR6gcbBJSsJIL7eEC8tUBncy2rrsf5ltYE1Vft0LhUyD/7zgFeIHZf5P3+4r+OgjXIJGguE
OIs60bB/ixJj00CvmpZz+CUbU2jd0eC0AmNRgJk+LARyBNuF3SyivKaz4g3JFYoRasLmHcbbBj1H
JgXv39bbipWKEUUVZKYp1UFA+fzb26fFbveyEu0dprJgL76WvkBbJ3gFc2ZYnxJoHejgf6qUzaMV
bELDUhEAW3GLUuS3EnH2QAGXTD3pRumAyjdjUWMriAYl8JaOhsnAyHCcRyOHOVvFIxiImikrhmfQ
pfMb5KIYwAbAKQ20CizO5n6MTNagZiJwe2hI47G9TM/1LMEybjUr+aSokBoAGNUThfnQQ/PFhMFo
/6gbhdocgUHLy3HV5WoFokcQgTmCz/R9R+eF0Ph3z93QLcaD5DrKD529dLRKESvxuar858CVH+XK
In2tvl73CAhyou/7Vz2ObiZNHpPI6yK9BCvst6fOyHreGrpLCCplC1G/Sybqr4FVoHJk0qlIRXZS
FdjAZAr4dWao4khLmMVtN30BqdcIMPHT+cZUq8hwENpTegXv3+iRMgLHBwIwmimYNiIfhqfBURgu
nHExBl9CGDuMGvM2b4av8NZqlsdcrApPZJqD769BHpfQ6Fd/GOufAur7oBjSLmvKy7wlruj3O8xw
wqzrnOxHa2D3ReNAx9xwCBxygGcxk+EY4l1oK7wOhaSxzZxmdena3RbpC6iCG3rVClOPEoGqtJrG
UK0nZrpmdQGPEwIjAgGa64Z9n67Tc4vQhFdENvm3/pO47vG+MUAR0mGwTZdjw+88zW7dElRt4czQ
oZXiMZ1zLYtkB3upimBuqZc6QRubfgxrRgv+D3nnqNQhX2P4Rr72eSUkyuO8A59lZEwwJ+GWQdLz
4H+9HFimbBjVQeqlf/P+SjgOUPAHCQ9omdvq5EB5+DZA0cRBv2DFUiktE9Vfa0ShitMm69QiPWCY
TXPhoPv+dS2VQn8pslEMMlUth0KHsH2Yv0crEM2WKSb9Mv9ILKO6qAHyAs87jL9EQY11B/CTeKJt
G9FmMvSZtaOV1sAXShZGDic9I2tCEOgZBS7sE6e0o7Q1sFWm+ZU2wEL6ekndOmyqEfDSbpkpyneH
4yh6Elt864JyX+iYrRUoIG9dEv0j4O06naMZXA4NUrC8Y/epKXQUxoIp483r1+bSJb2A8qF5xnA7
65JQsm/GNTfLP4jYqij19hm9aGXpHPVx4/DE0cvpbAwawS6jObzmPoJZGtXKlwMI5v23cbzqCVyc
HX2mptghIJx2VO/EnRSrHlPOHJj2mwmk6CPQe177oVhMNUvFLs4yBPf3r31cUZj8RfuSYyKDcVe4
x5l7mq21wyESZEFcqA1vSTUSYAjE2z9kFs4iUPCN2mfzxy/r4TBUi22d77HqXk2R3r+r3x49/UYk
wRwKMEXYPm6xVFM9okkAqBQhlgSHV8RuGDTtHAhW4Bnfv9bx2R01XI+qlyrBVrUxKNK3m3Ac27y1
lfi99xJY0Rrtmpt2GODx1JIS9Mp5YR6Z1gCUI8FYitha+xs5d6Tf8keH2+OYQDQwaWB7MBAoX36L
Qo2XAEszLFR5XKYW1x67eL7vck+VDoWnK4Q4xqFQQGCJVaXeXloAZ0gYCN6wYFbdgrobuiipQAMg
zEotalsGc/kJ6D0FfZjNxAZjWLx8tL99lDSHPXp1FIKubaHz+/ZRtlmfjca81pAoWG8nzKLnbEHa
ToGR/NTvip2+FeoTxAmH5ZNB8zr7J+OntrIif1GKu399Q9SlJFnVSzCxqD3aWoBU4WEtSEP0ODdU
F5UB/vis6xcFsdgcZyODoi/XaTTTCwrunvlnUnN/HC82AmKFlAmP/f2bUlXnr3GFxA/RmcrPstBu
Y3Lx9iEVmT6jPRh34Uqjla2TKiDM0yQ4BzOzQWFFReJ1YX0lacXOg2eqMLDv38Rvq0w1MTkJsulV
4jkuQaBteDWqj1V4gM+5Ts+VqoU2LK7sB+TmpCihn96/7Es4efPhOVDRnIEgwPWVK+3bDz807uLO
hkCkZ0EaqIc0kCzw1nTAwcmjlSIFdw6imym99QK8mFJmdXVk5ZhJntSZDf4lRUEa9BFqmHzEnedo
OqRvMSu+Uyv1bXr2kxQ8BExihQeZ0FZsbl6pcpnDOjysxikH2FMGOgI0fOlzqHouNC9488vVYae/
/8HfzhtcE+VTdiph3sWFFznLo5eOjpKd5b7RhmWqxFY466t8/4pC00q4pc/+TEDMAqcpxwE+fEKT
D5rmCwXy5V7+Sjb9KvvRN0PzczwWTf9/qYdOWFfq6knW1G8EzpUc/n9WRL/Mnn+k4zOEmufs9587
yKL7HxwWHBMWm/OBcRgrHWTR/Q8Uex61HYlGIFGrcs2rKrpwP5B8UC9De5SXZ7hEj6GZlCo6f4RT
nmejSUYlQjHv/o0qun1UebIBDUdnvuF7Kpwjmv92V0z6TGHad7CDzKqPJmcdLrZR3DRFXkRzPE57
FAKs69TG9AA0zrKzYPlEFuI3ka5Pzr1bWCO8FTFdbUg+nBQb9uNjAq8v++IxVg5Nu4Lt49g3vlPM
kGZb1LeKSwnuVsuK/hECCqrQpWeeFUrFAhHAdQR7kc+7FstDkzND3A0KMfkzRUIpEsC5IjZPHGZg
ZB40kJQZNBT3rM1LJOhc+n914tV7zysF2oGDspithijX01tNa2Tg6bjEFcaMLCEymSdwmtO9b9Tp
Sdzl7kfRTeKQ4f9qvd83FX8fL/Y3fgH/cUu8+a7/iT4C/2HfEPP/8675X+XT9zr7/us+4/sPu8U0
WN0uQQo8rRozKWPFw24x/A/q1KBO8CiwWIbzy24xP3B2o/FhQlHHqVsp/7/uFovtJ1jcNKwstp/H
H/2Fh8DRZmEb8+t9zi1KzYcu3VFO76Yu6+oxpm2fp/KuqMeyA4ufa7umbJc/9SIpvY7SNbrVpCuC
ALNo7v/F+OcXldUOqXqRqDPa2DfiC5VM9qS7XQovAbI0DG4BTW726qwHGGrOT/TbEAgrE1Ner/nq
WKdVXcbQ4UBr3WBBB/41SYfJj3zU8+8Q5nCMKB2dDJlqy68uBjFW6BzX7Xwm8X9CwsO30fpYgGzT
YU8aNNjXGEi+dIDqhQnqNwiimXn12U57LIeNPrfu6AE1t/5cSe6lw6EwKTJXhgKUmow0uPFf+rhN
zpJs0urAtiffDyEXz8ijZm3Lub+vTR+scGx+8y0NnZl1ddPPzHkwXtGN0i8xNaBO4CeRnYe9MlpV
RH2huaFXtPIaEavmcaAzcQHHM/+Y4B6aQ4pbhcQLp26JXzNzjlCXwtQCDVTIrZSumewMMA/yGWJV
5+xGYxu/Jah93qRg9Kz9uvT2F2+YtDWQfWk6AZBKeh4as87P+mws2amG3QKyChgW3LkwDWgWrMiF
hl6rdV/pgsSPmb+UuCLbXukGNgU8AHB969YQpsT8jV7vYAChM7xHc5WLxeB9rJ6qCtLsvhHrmAVT
NwxJOOieUuNIfONu1pLKOhWjPdiRCwXqLp8tB37QPGF6Yk2Zp4HbEFI/AUUzTWENnfKCVdvqtJdW
/540kKLzWHk2lP26hdLgaK7zLUXYwqQxaIrv0BU0rBagCGAkVNBD3df92t2u8yif8n6eRDD50A6V
VuRih5UYZBcIehoPQockEBbb4u1l123pCXQLsL4NYOWHsZ1r3nkt8jZwhCNvZKwEKQdZ9R2+mY0d
ceZyAZo1xnJijaJ/zlq9wcPBHEkb5uyWl56iqIYm0Px/EviMjAzLVb+vE3PIIj3te0yaWznop4be
D7vUKOX0RcygGwKMAcw8sDBZMXdl4c7fknRZOiQ6HGtgXtSDXoNPmikQ3WraQSxmH6rcOojyDBon
9ACWifbk5Y4LARPY3ahWXWwzI1L2CHoa52NUeCss3gVByyaYUq37BBCV4GABXa33dCZEuTMLVGLC
2K0TUAPdvDx5sy8QQuiKkWmHjSDbDnmPDrUGLRvMQG9XsJaTUQxVAC5q/gmfEy2F2SvZzdzGvW0h
x3bqZOng7qh4hRU0GoyTcNZX5IHcqhyNvenP0/0w9mhwELr6ZgfuRcl3AF8LCkQQritIsukuZUT/
z2ZJ5OEMkGYOk2q/WXc9arvfW+a9Gb80aVwYf3P5bV5HNE3NCd+LKM4yN9kJDjLPs2VX4xUJ3EXJ
GuH25gTobGaf+9qW3Kfl3M5oCcE+29tZN/4o0w1SxyQr3bpC8LHoYL1Lbyb3pxMYZeRekIpzSufb
5mjMja0c5v8I2vKzi7LQfUuX+mOCpjAU3b6Ut+ia2sZu6zyzi2w0b6r/izT+f5ajlSfQp7F/fh6v
vrfHOf9/YIFrquPXf07VVxgFPdfPwCJ+zdYvP/Sar/UPlg0sR439ycyumke85mvvAygq2js0Gh20
0pRp4r+qW+sDFSy6qMwohUU+pej8V3VrfACwj/+6pwpT2lP+3+Rrvv84hXrMAxRuzKThqDq8b8tb
DTiBPVkluo+W1DOYmGq3T3IUA6xCFQWWsV2gUqjYMMmVOJHksnTINIhwnOKhlju7dl2wTVC+Ljuq
S+dyGMZhQ4Kd8AyimhgkzI1Mqdx7/kHChiA1VJVfXtoqdmEKW1VRhzYWeZCw5orFXE6ECnZIN9uR
58ZEQBArREOg4PJGvMRINB+QwGICuj6Ui62TIbsNA6KXsOpNwts3chvgJM6t9YB8DyEYVC7hWN/U
0Jm09W2l93YlrATHhgZhqwdLdCAqBE+A4AAvyVCIPnToywoEuW4bSsrTsMH1tommkzc1666xhHh2
OqV3YYi+ORdEJlSd0yYD3cEU4Ou4jLiE+daItFkMTr2N6hk1zWC27fZSiaicQwJqp+tyHU3vxO2a
9NTqy2oJFBpaPxWrmdyj0JucZ/q0od5Xlm4RcqSorgtnc1CG5HF/1crRfhwG4LaBMh66cLdFrkE7
Nc2CwS98x13rNztjNlv0PfK1xdher5yGZ2PKW91rO6hpyEU9dJpTmvBiQWwrVbbFDZRSXBJMrseH
aMVa/CwmW1wt9lLcJFJYTyi2WNMJBuWgbL1m8h0Uhiu/v6IJCT8nkyZyZ+VknPqVUUbQxJBtEvDK
d/W2VGdmYYBdlzM6TUGG9fEt7LB950++wXtOi0vKt+yxM1r/M8Kkur2bYt06d6eJ2WWZofAUdiV6
E0Fl+x/dQis/s8DRD5ukEwM+gPpS7rQYTHQwwBDyo7Ev+v66IMDebmO/XZjwm5fIzxo5RTBpOu9M
c1vjc2WWBsvfNpJdOc84BSZ21+U7lBmTNky05LsOdD+PNORBHoSjye+ZjgJYNCzjnO9LaJ2oKkno
w+FqJ1AjWzINEAdMZb7q+obyAXXBcpUUGrhdKJu9UjMvxo+YZsRXaJXpXMMXWU3DMK2gD+KYgUo0
XJAwwxjDDyBjb1WgeVNxO/i124awB5lMsoYapamTujkOU71YwhmNyZ45GVpNgU033gGn6TjXoMvc
fGd0YsSUQzbarkW6qI+6Rc+eEaNPm7NNb+WVrw3JuU0EOiWvM5FyGlW3NQVSHeeNsFqEf1yoKHYF
1x0kc4KRkKHLHJbBZF2t8YxKLgC0O6j0OoYfiPRA581ERS2UDvpdlel6fdYiiXoJUQ7yW1rryBma
nW+I+7FyEQgkispX892/Omn+/5misMt4L0XdNuX3+p9f09PLD7ymJ/EBEBodRSy2XBwZTJp+r+mJ
P0FfG/CAOlw5CDj87/Rkiw8qa4BYcZmic2qko/av9OR/AFajrGrIXJTKuNX9xXHyODsxgLNNsIIe
cwCdjqx/1HzRqd97PZE6BwoYUjvcKvRxnxsJYkJ1wtwzwH+hL2EKOf7thpb2zioKazkxJ6rgQ4lD
A+G/t8c7OmuqW2HqBh6SKp2EbKuu7S9nTSm6uWPEpocT1KxdUroxdoD9x9XDaeGX18PbWJOm/tWT
6U9XUjOpX640NInWUrXrYe0bw0mnyz7IITt+hD4nw/cvddT6fPlQwEAxtwRBBupI3covlypdY6V8
NnTCjuOfbHKYw8WANQT1vdzVKbFxkUoclEHlBbYQ8df3L//ffdJfL3/0TDe0TTCJ4PKpm2Y3ltXh
IZFM8qOrpGrfv5T6Vb80tw+fFOyiw4DfA4F6tJKaZehju2El+VrhXTau1Rih4+HUgTC3b2jQWlPo
RO9fU72o42u6NFvYCMD0KLPePl1b2wphp3w8iIEvNC2NEh/OazigK3GNXCoeHWm2nb5/1SMHHYXR
wtkTxoVOC4a2jqte+i8vdQVNUUOkNEIltvvIJHi6TMgc+Q7pESdG8QZMVAiGzDQi2+v9iEN4qZ/1
K3L/32AUVc4pCtEcFwDI9V3U1PUmMM6tvTqqZJrqV21fIC0Dn76Rt25e4nHy/gf471YFWEKX0Z8n
jJdg9ev9o+jeSKy88O4WUO0hG8XFKV3ieaEpOTV/WILAXn5/S8A/eVQscVVuH72ldRP+UsMACBsm
6jIYaGv5xBV08huP6R0Yn7SNIymUjhq4YPcSeIYpg7G1WygHqCu5QPsbdPAg3EE0NuAMXxoao8Ro
dhFlDCa7tsZTabmwPbt+FGmYQ7q6p29gGGhsyuYBqbuletgyVAJC+DroJOX2iEQJmEQpT+O47X5i
ScD8gdFkfQsqqVgiG/WImgZHliPQiqRWG7it7ZmnmoyRX/DyTsImnbI6uwXRLebTtkPmM6z7ziix
HSm2b1RbbbmngWbaVz3GJ6gcj4n2qbeleJoqiOD72Ko3OxoK5F+RRZhnjBFbyF/+pnk/DDyXKL87
o0e9xeu8j8biyZPenfApGA04kQH/jFOEzuA47Uxz1opo4az+ZdQ7/3ayAFYFfi/aB5uzlHs1S9nc
2SiyV4i8YgwUVOXmPvhjm0AtzUo8zvqh+8pjspPAm83pHw/C5rqfRJL1UbXFWHINcIufZ4E/VTAb
DMxDCRTihyNW9xFej/OFhuliBE2bo8mOxPCPATeoFQGTxvpiF/V2TU89eTaQQ79TrA0T2cy4+MZp
pfGivt42DyLDOt6NxWKiJNm09ucVskMTyMZZP+WAoicM1hr904boaILubiM/0XTzPm6u5EGVEsQX
9HhvhD9mlttpazclAhplNU3BrHtYP64Y84Iq7t0O3qHvJk3AQ3F/OPWCGcxWaNnPkQlYFuVCKy5F
3FWj8lLzZbStuitv7GQwz2kpzm1QEaQ+kindcueYmYmYSsM0G5pmnOjyxNEWATqxboQ4zzyJ8yVy
LLPMT8Do5Q91DAsfQBbatHCI5kKCOXL7B8T8XKSBkBpuT+kmC/tMIBvQ7F2JMUMgPHSkOIEhy4OK
ftOlSLzkYsjMa1h/kCSFMUCjRWARe66+6pY75mc1irIkGFwtCGQWXRXLWaIK7c4fCkS57LY+p3+K
Rkk+AfKQ47d2zqZur2napoejxNfhdB026sZcuLnP0MQdHywSGFhLQLJWuI2SJgyoqcJlEOkO0D+A
xV52IPIDpPlqDJy2fC7RSzO1a6T4Y/sUWwA0lnvU+eerYmt7J6rN1pxPBG0fFFnQ1XaizopZCiMU
fR3TSIbJ9YXNYS5/aDqKqGDUJCOS2tk6HyWtxVuvYnedtSuzn9b1ceHIL3c1By70kupxWZ7jIc2X
s2RGEwJlBXdGgGQ1cUN6QpXGQ81qLofrRqDv93lw4lTemKgapzd6P9NnpiJrLmh/p0OUxcmk32Ec
aT3a6Mh4zM/Xpj/R9ASFySpjihM2LFY3HPM+T2Gl+/2IOHDjP9JEa50z5bXE4F9DUiU0cZ7ZzvDG
7IuQPmb2ceNABQndTQVyBGaKsQKKXIh+Q8O6kiYOn0C49Q4FSVxzwUdBx51OnQTV5500dCKIOozY
xiNczfTWbZP5ybCnTX5BpzzDNLyo47j71jhOv410Qqei1q9SU3YomppGb1cX4Hc79xS5P0e6oZSj
U8O87zuzNRA+BMB1UxXatEIu1IeSDn6fZEwbz9CU0WUEycO5LxmWSwBbG0cfPAMF3jipY85X5lRU
1cksWhbhBKIFB9w8geRO13q870ClpKdVjrowOq+epCfCLwOf6eJ6BICXXoOBfHoTYpvjOHtpTclJ
Ey9oAgkwnebpsI5D82my4V2yj2rnczE58t6RtX+JNlp6BcFjm4KlMGLUy22RXDT9tOxTCKCRk1hF
uOgDz3WT7cPQWPEnAH2yCVAQs6N5M5BwK3Fs+U5PBBOduaPTO9frxyFth4eUDgAeQOsYObMnP2PZ
iqUXzgJozTu73hzG3awtVyWk9es8L78zyS/B9MdOv6vnloMsZ+OAGXe2G1Jf7gWNZWTjE5NBiObS
mcdD7n7IpNQDG+TZBaj4XVd4YEdanJLn/GuSOwkiA6UHFi0dbbDYSHQjpOt/KWDSIv6c3CnRlOw0
a+1LJNzjq2xb4h1etHtbwjmaF9250HrGNAsqdXsCUHHuTAyUtnX7FK9u5NUI5oR1hpJ40OrOLver
YmcJuZPucLL6Lk5bguM7GMmkDIBgD/usKNP9qLensds90nVXg5p28b4PFcbnLjIHuIOM01nRx+VX
n94TZoNCnlSK670stnfiJyVRBR3+ddeK5UftN9hexSVyCeluVe1oifhpWHixbPeuveRXuFi1QeZa
w0UxgOuMciP+JmZhnCBo1mCBQkfriXLmrLa0+LSozR8e8Lsi1CrjW1dseEOsGdl8yDE9qWDZA5md
keCKm8d4mZ3HeNjae4uoF1JfeneopFq7SjZDYLnTzzxtnZ3mpxfD0P3AmqcHoVneNbV95idNfqKZ
+aNruLcYpCwnZUWWLtSzAjQ47hK67xFSupMfxjrqfUZZyzN4Yvo+s9PzITPuTWiWIV45LWf+rtvP
+YDUH/o952thIgGTdRZTZ1TQJ2oDWvIwwb7gX4LLfNwn6wkGRNZ17tWC/j3KrlFvzgWwOnwVkOfp
vom6Sz/VppxQKtHHDusCzKPMnZu0t6WzOvuxk/EZVey9ZbvG9ZwhCBiYXX0DCuC8z9Dha03aIUPz
lM7mde7H52a/MejJjeHMG5vtvEncm0w0CFNOw2WKWCaDBqYAyCEQVvDkQPGD0veyBeP4k0rRe8Jx
VMOJb4shUvgLrAyxXeSbMyCcP8HZ16WXEw0QYxQ1zPS1mcnHpNPLdJUxkxc4iHgiY5SJNJY9WzfI
4z2jeUeDhvnXKbQt2BL6z7l29hRp402r0XaVtXciQbgg4Vr9wPeuj8TmYW5uiZt0TuSXxR60M7Gl
dwVn3SLociYBWGNpyIZozd2mm3j29gtCEFu5t0BP76vajSYPbo87YPPnLDZ6mlu4gCKk4zbuqAbj
s8ye0SwqPbnDQ5D+XJ/sU7f6L/bOZElOLc3Wr3Ktxpc0Nj2DGpQD7h59r5BigkkKBWz6vnv6+tDJ
zCv3CAu3c6dVeSZpqTwCtsNu/n+tb73AfXQeSKE4Tx3cMopKmS+2UyqCzlVoZnTQqu+IujnAKO2D
MiRnJGJ4WD2/kt39CEJzJgqjuahKJIFVHH1fo6w3VCHEBrjxdZ4pgSWpSxZtHV9UMBWJ+uPD6MTP
FlsSrboS0Gst1F2csl3Ww8zxkWGrHEsNxXMxl6I+xOW5i4hgWMdeWl/L2SaZY57f1ExKn7wAv+3z
xZPNDwRsJgHfWuG3Fpy9irhGaUMHIqyQJIU+WBS3uwRTx3w7l1cGG2KcXjKC771EIz4qKWl7zmQh
Fo0+TL5qjaM3lrjD2K409Gn7yAWUReRZuvgde8evZNaBR8H/Mf/Q+hrD99TNTHt4CxwasY3co6ld
7qBFRw84E4vneLSA79i0fRi1PMqhMujQSyiNauovu4vFAjGul7UneOdqL5OWkkKez8G2sZQy9EU2
UifPK6s4E3GLB91UzKX/6pKaSz6IBOtwVoGevU6GOTS2IjTK2xQdegiIxaUJThD2ucYKTHUSxbrc
NI02ncHic/fKZMeptyyAyzdFW6T2xnBj/Qe6c1JhTRWpcYDPvXljGDObJaJQfSyr7mtDGNawacLe
INCktiMJvdIY4207dvaL2090UlsSoIazCq35dUuFh2FELPaYqPkQ+Vlsa/fOLLPSwwqWXKtrA8xv
bN35LkbSWR5CKlAaL7XZUrAXZEhueMoE12+j1Y6P0ou+wuKE7HyB8ZS0zxF0tv7gVuoXjr0PFRgE
h/wLhxtTR9LUQQcQ9LtRo4r/PhgDJWhk9fFbFQqNFiNK8MmvyH7sdlFZq2A+e0WeCX0oXyJdn4PR
DLUvnWt2Gj4jpX0eXZuw12kuGCVbayhWQd+xF69yIutSZqSY+Ys2NPzPALt501m6aH2LPv9CA09+
kRHgHk9ohf0onIllbEU3SfIMoiHzlzBsXsj7SxgrQhGgVtCpx2VnF7cxEBUjgPcQszaAauHiyLhf
7KR2yLwD778XWjb3Z/Sw61+hZsuXfCyGO+RN44tDBwDnSjXrvNugEQLwveZz14SdhDhYA9iCC9Ox
2V7sCQcAhbKNhsup8+TSix9DLN1nI3SZj6AEE9XZAXFffJTR1hNmTouNPC8mWZp6Nt4btDle0yGn
fUN8dph5/VTPl2QeUVszlmbguNIbxJIC4RmHrar3JqQ3oP8vah6aj7qVV6A4cESWIC/MKkR46zaU
qHplZOaaZtDxMNnGV6unvg4kso0BVluDuDcyu7uLQjOX5y1Xuc9GdgegGUJl2Bn4Z1kvR2JdOiQg
+O50Z/kRQhK6m5Woyr3ajLIvISrenwOpnzcpAtty/cxQZUCFqx/zROs4+cLOhVLcuW5Cu37MNHDj
7ZKwl7HYtHQAS9HSYrZ8sQjmAP8zafKn0qrYJEM1BC3CA7UVNaFOvhEmoQPhqzgEGZ3dtj57hOWr
s5TIvUYHGhzd9WEudq1WZU+EWAkbXmxevCo9QZTMxE19P5DUDEhmKUqEY0y1tDSyQn2tw8pYvHBW
RxvxdmQZwShJew0maI/Ajhfa18DU5/lS6oMy+hXpJN8yqPqk8wJPK70mCxHNDM7UptuJHjmwFNKO
GeQOoxQOtkZJgxi/GVQ7AkG3HH1ZL7CLRLana5l5r5O24RBXUGtPxNoZ/LUtWcB0RqoYNryq590+
tlQgYorWgGqj6Rht5y4SgJ46S5zl5hyJbUpkGzRKq0u6XTpo7nxlZqgDIbVpyRcFcJONPNOI72z2
rWKjmBh0A3MZ28qva6dJN5BciogKBMnPntKkyy9Hb/t455ZhwSYfLue9E6tIadQWuTarR2OnW7Nq
xie67bTObDgHCjvsor4jMwxQnBwppO4dahn5To307K7piIbx1iTZMMDTNUheLHRBwZB2HbqgsWU+
J0W35rw2bJfcnSJvrCznOZRUKXFCs0SBOgq1fkvOXIpW7N896g8qzMd2LCzDukre+Np7phpK7few
RGiVBogcnfCDrJjU+8WskrMZXrDLNjs0dgpRWTY6a5duL8CipPU5QJfXFUlOW0Fc6iPZuvUVvqxY
nKiYrrW2g4op94USHDk3ZT/a0UelSxRVbUqmLDISff42yKRng46luOwjSaDQot5+Pg4fXM6AE4Fz
k+Ygpcaj8nca1ZiiJ0v6LoAIXyMszyejQe7B4L05ZPjsPr/cOqpHT0cFejX+a+Sw4fM9HHVDo6ov
6XX53RKH7feaPD/nSx4VJeE/sTK/2KMi0u81sRXBYnbWiUrnB2VVKjNsjymzGDYavcOrF2qOwDun
rTAziZOaEEIx6Sx1pxTFeKJX8m5cMU2hNbSwCYMKdMyjDsZgQWbt10tNzbxs61xPEaj0OuxRa9zX
RRYFnw/sB4+2PhRyXyAnFjLWw0eze8jKZkVxX7Oh7eDXmS747pmJFWU68Ru+uxTheRQXgTa6qxNO
PbrUirFr4jjjUrTePRu/wLYwOR/oizD/Qs/8b8fyP/gw/j1d+d+77//nV4GAZL7+nv/6z//4r+IV
jviB+pX//1/tSvEPm0YgMxd9SRs62mqZ+me78h+YSNCekq+H/JXtHw2ef6lpUL/iH0Iwi/30nz3O
f7UrNTQ4uLb5i5CPwnH9W+pXd5W3/vGB8/5pq5BGB4uDh4Q9yOF7qIHbQcKSQgQKS/WHHBL71pjK
CY/zUnqLCsuObmV5Fna28zTYWbcP+1p5CuvqEhdJtHM5F7ndDC6vhMU7DzcU7h1Wo0l+mRpUmpJO
UxCh4tri+S6A9A0/c7V5WaJs8AdlvguRfe1s3ILB1LsxRp8yPcuoM3kq+L31xNS8NEK+1JPzrRo5
ghelfjFP4RMgBH1bdPMq824uhJMrK4/zqcL5cE1R5xf4CFLMUR6A1iH9cMyf63kYAiy55JhoZbdD
ejIHAgdPkCgt5VEqaD8NRWWpz/KrIS3YU45NQAcHdxYZUpuGlN2bCIXMNhczebGo2bzUZUWcR45V
oVJafjp2F10jlC3ckyJYyMHYdmMTBVWpv5Y4FH05cphOaRj0Tjw80oa616PqNUyVZ2MINUZamm9E
fJ5zgIsfw7Qx9igb9y6x43slddky59VyvgxO8f/x1f5PVLRjxPzsq76G3PZ9PlAhrP/CX5+1Lv4B
KwmP+EqvWn0efDh/fdYG6nQ+5t97Av4E2cG/P2ubfwn/IQYNKOM2lnL+pX9+1qb9D75016TkLmyW
Axg7f0OFsK5W/++rXvl1bEc05nsVJ+hqjjv8qknlaqnulItP4r3601JEdWsRfYM5XaumaNPlXX5Z
T+54og26ThaHl8XxSPMYCwzuE0x7h5ddaHCpFLEsn84jHyNA0F2sFe3ZH7/C7V9/359iA3ttfB9f
xmWo2GxhHKB5c3gZt+gVoqIjwtbCvH8WhBY+kE3S3KA9gvbi4kl/1LuROletdk4HBbozHrKuauvN
UCPtJrFT7eQur9EzEv1mucR0jyVYzabXop/q7xECfEA9OgPCRNNHkusHfVKGOZEjubiSJFQSYzc3
HEHytlSnrT0O8WPa1MwMRtbFFUfhQUSkeJD5vjGnHk2w7WaSuqEeifB6Str+VZUyl742llBQTFmK
70m8JI9uH2uGV1JKjS7Gthgf4oaWU1DHUv3SORJRHnBopkbbKlt6vvpIUAnI+Hw4D0c7fdCzZOR4
Eq6ErC5X3fwW9meW7xaH9PX9YgiVYmCcUoBs7dTwamSQGbXYVEclLLPobK7B5gaiGptreMlxGyQZ
bT/sY2DLvf9bZJWZc46AdZ/Vxm2RSguBObWvCxTidcppJ2akyFUHu6zqUk7+57/84SZtfa1RnYIB
w3eFrAU76+EPP6hzqQup6PS0Sh11Hecky6ThXxtF6klVngp6Nlibj9+031Zq5LC8btRlDi9IRkWY
2mmv+dlC98svkhL4v91MQxyYepXctJGmQdlfDOXeHTo4oSTAS0TyfWjFXq/THUejTWKhT/B88tU0
+/gHqbho3lSrH8c9djHxls5OR8OhJhekUZyKmk41aPdD64AdduPI3hQpSsnNMo3NWYS2PqTdE5KL
pYRJqaOvVGp3GyZVfJbZkioQyVBTttFdQgEIjyqVL+0AXBrcrOv2nCS75jzNa0Rwpj33kCqzSL5w
3CYa4W//VByI0Dis3A4LCtfhyJHUWjo5dW+fRu0SkMcd7SR4iq0GC4FOiitOQEK0j36q1XEHdYFA
Z7CChxcUKY38DFItccK6/SNHBuvHpk63y63G67aRFi3tKCFxjkLpI5LACCFnRkQCRKzqC/2rwrdT
s3lazAbVRgi4uNmQKDdmu0xk9Vd6qDZKh7xUt6PDv0U/uTjxcv8+Sx1OaytPCW8xYi0b+uDRkGFu
caJiCXU/L0on8VvwTRfYfXDB9ROhB1RP5vA2k/lgAW+mRkJBdSmcAOIa3ymeDbD5BTZUAsXI0jQ9
sI4xKYwcRA0ChGIiRoq67dsNp47+wooMlPlDBdQZrS9CfPJD6Nt0+GIKb06wkAafvw+Hh5D10wX8
pZmseiSY22iPD38eqzUK9MZAHSoe/YownyJIzb7YL3RPTwzkkQRvvRbGYhAY+rqDXjfeh9fCem03
/UQvhJASpfdjwilBYqd2mXgmXSa+TGUaX4mlr17Ic5IXDp540uXJbxcnFsT36zCqH9ZgfJgsidBk
Du8EQbdTN7oSBbQG6gC9A4LTGtZpjq0hp4lEqPvv1KbPx/r3Anj4JmGcwzePv0dAWTOOFPId1Os6
pwwfGOQqUh8ksa/cJl1VXRPk14B5RiYBcyV3HK+0yeL0hjR2G0qgpnGZ1UCXvV4D6+cnTrtAqiLx
ZN6sKEKit7H73+hdQTms4PQiqIEXaXiJ+lBbuQqhIf081aNnUhaZ5WJVSy50GWVwY8I052q9GG6I
0hrqbdayap03pS6fzZhpaEMmQrIEtjpbqk+lt2cydTGFbZAgGF+wARblmaEoRESgs1HlXQLJby/y
0CBpIouqsygSMtrkSZLf5KhlSPOhZ7drXXys1DvdyUDTDOP6xGv9bkXC1YiwbDX0clYTx1SPjoxH
MqVjnED54P6SXZ3s60XICwhNIXx9sgw+/2k/vp6J050dIkCL9Tj3h1BuYlmgiMFxCeJgtLUpMhOF
gn7BG8zOCOI5M+sTr/C7D5dToYqgFsO5Q6UC88bBFSEHRJaIyoyO9ZTzucZiN9MxuVCMdHz8/OGO
6CF8uOu1VkUvbkzIy8f7RyT3bZmyD0H5P42XUyf1HaXhGYE6yS/PlTuovS8Vc7pMirB6WGJrreEi
REGNP/Ta24m7WaeJg6+Iu8GuyapP1dHS3KOPl5icsKKem5GUlgsgWa42X4ON4yxoDukllorSK6ka
vZJfQlPBbNonzbScAJqupI8gokuo9/WuCOvsxE/yG2twfGcrz4NXzmbF+71t+eMtwNMRjnVqoiKY
ZJju2rQUdw7HUkCU+E84y6czmLJ6ZH3wRvzW9HFElr8sSiPDDSqYher9HAriZE3U9V49DPJWjUn7
22Mji/JNjXCwu6DUTQvx80H94G3i57VWXCBcbc5Ph29TOJFboY/S9VNltvaVLesLvmH1XlXq8m8v
AzAxEIFTJWWGWJk4h9eyOnSRZFjCWtba9knBikrvP8q/z5EU147RRS8xjpSzKic1aaAH+UOiMLv8
/Hk/+F7X8yEvET8Xe8ijr2fBGjRElhX6iEwMuZ1IdXwkmSnZmVbrko1KYG18Yud1JKb9/RXx0Bpb
ZKYJtPBHcwRpADWhBHnoZzKuzF3X5mriZ6qB4KlwZP5U0K+4iRDR9H5mKj3d6arGrkQ3FUEpblyN
3h8cJBpBdanjhpnr7dxrZBxUurSfkqVfODhUavI0FGQYbD8fsKM6/193z0GYbbcJIpyi5eGvVlJ0
W2cc2ycOKJxQq5Z5TtprQ4eL1L6EQKGmQtbD+oIBGZPX2i9SdZJSc+7mJ31PJd9S49QbZHqjNpy4
vRXScDwpsDljelrh2siV1xf8j0/PqKJZNtWASEFJl/B8bJp5TR4MCX4MR6lhhBXOLWxSs/IHdVQu
RsQMGXsxPW12iCkT3EqwhLFzxW57OSUD+jNzqME0mK2TZL4iYmX0ZNdUGKxaSd5JWjS/KAqRz1op
ejn5nbaYuUdAjxgC1cVetWkJvu2f9KiZJr/v4/jRUmM8oyzp7fBtBBoco1gie5c+TZJer4S3x77t
tJ9G7mRvNJhjOG7s43u2IhqAwB71gbbNVHf18lYKuuksMp2bWbhrF3uYfhVE1rRXZkQugT/YSsf7
MhAftMkjuTInGjS466vS3MLbDL8tiT3ctwlOBw9l3bBHPs/xdQmj/Jukz4q7bmp/CbMI1YA8brrK
9tJn3+N2dd3OZG/gbIvw+W5CdFy8zOgYrY2u4GXb2RTNv0YyNe4to+/TE5/RB18uOn5E6cweCOKP
fQZRhK2CaoniM421VzLUUd4ohbVJ47Y4my0UKCde/HU6OprUWV3ZJbuazoqrHr34XTUkaMRyxR9C
s3loxtnw+0p2W9QJ2hYY+cA2frZ1Um7s9qfZ2f02FrV5YmlZ56Pjm2DCZG+xzhzsag5fb3YzRqJY
NAopIxjbrMoBkBaDeUZUjPQFOolplvG9aM15UyO4PDEG77bLlB/WhZaNwIp6PG5uwRDK3VRzQr8Z
V0W5cBA4Ip74ScT0zhDRfKaTBnlihubL+OCZ6SkiB+Yf/svRfGk2iuIyayh+jCwG1okBzLH0SMmK
J78hjLDdcLTqnY1FHtewF0lu5RvCiJpHcGI0bQEn2tZuJobiInWSGKFRyRbNzy2HgBSyDYxHJe7T
hA7apP4oAfSqgJjntt2bS8ikthgNc4AeAzTxGkJYCUhUYov0UBLKCUF35T0pTYQool0gfL3OndaA
WAArbWPmS40+X0sXc1PHon0UJgWnTZFNzs0YKS0CX8f41aVdftfBX7ltUxmSquokQFi6ZMrErmrK
8C4rhyre2TgJXlF1rjkU5pheG70S/+gzYqUC+H2x7vciYSc9dtlUemOYaGiE+iW7EqPKugb2G3wv
+zpHQwCGuGpju8viEvESjy+NDdxhQw6J+hJSAQcIrqUdRRtyu3+odYh8bsLIcT/PxYS+lEwlhtCq
+vulFXjIJ72s78uUQPONVrfypbIMfDBzAnxg0+uWvLKnEekm/Tu9xlAgzRti+urEg5CzNH400UtF
dV70FMvmHoOoVipkl9b05WllDyHqLAsz8aVDg6f3UtNWvspQxq81wMLUs0CKX6eEFn41h3EcOdCU
3S91mBA+oE2r9qQCmW/wjmNMhYaR387AN56wsbq3jdHXDy0C1C9wuWBpGERprYjztEAGTVy2AzlN
GRMvr5ToeUazU2zIIHZTrzU79MkkM5eUK2XZPMe075GEdjCf8Mau0Z8kJzmPKHRhIy5JpVwZZl9n
SB3YdfnoItQdMe8uIlTwdrh+CZi7SW1zLNGWFuLMcEpyjTAuUKuMxjHqv38+j72fN2knWYggoP/h
wDveNTuSypbA6enPQxIHrIzQaBHXXZuxQWnLHcfg8+u9/3rFSoelHWbQwcWdfjhj5XFpyFbJWZBR
kzFn6MstLFL9rhWiOTE5vn80dT10WZRn2MnRJD661JClZilTpqeULrh0svSaYABB3uVQ76jPuSeW
oPePRnsBcQG5rvQT2OgfXk8g0bZLs3X9snIt8N9NcV5EiKvw157yfb2vmfxuZbBnhIADhekYg6PJ
SElLM8F1HCKCg2rsmlfF5ChneHxFADTCeFqMqE13xSjHC3a17R1i2PpU5MIHK4BDv5/tH00SzpxH
iyCYNnPB5+v6jjbN7r5txLhA2VjNx4izhzAQHSKpIK/naDgx2h9dGtCgTgWRjiu3cDjaTpMJYqqb
0CfgMT8fSR3fttT+zqZ6KM4XMkr2sTKlJ85Dh/qK37tdgj+oH1AfI6fm+DyEh3wEY53xSk2aPiIe
bWoWviWZMC3VNOmBljbWTT4gcRZuJ0+sfR+80LzPPCs3wE38Xhn/2MyioBRNmZaKH9m28ZMwBxxh
DLDnlIk1en3VVt8+/1g5fzCKRxsMOlOrC1fj5QZqfTjKGgpAiRY49Femv9wKEpq/R2kPQqdvkHLv
8QFMjm+ZWVTAcHRCsRXE71p3Q6PHne8ih341yZuwMZ305feFI1eL2llV3K2jrhN4oUjWwBT0b+5l
o6ZLj0gXXByEvPwo+oFzQkOJ9ApdOPVB+OfRV8luvwxGI1rDOEcyHrbk+1lfVVsDX6A5EyvdiKBI
Z25xraucXfq0iZYyfS7dbux9ZkBXB6DQJYSaV4bpkMeWRxcDYYddQLoHZVZXht25qAHyb0g5z5iZ
x0Ql6EXQZ8fIRJ1OUu75WbRzmBBwro0viKwd+mfQmhF6r4FgMHtY76BvlN9te5jaLcROkWPqz8wG
5V/P8jaRAxpu6gpFOYYMZ3xaUFfeFCg/1jtwwsQz9AX9eqRoymPmplgBCQBFnZvXXUgjAcQN+mgN
C1IVr5GuLYHbxqaZ06XbVGpjKTQxAOeV42DeNzqxHWxkJZavOoqiB4nLGXIC0Z9vqGBD4jTarJ+J
XNXHB4K/UiWYpmquvbGFTrnJ47SfIBPFsU4AXi4VL2nplF+i0sRsH7pV7yth3+5HaoSUKigVchxE
kpbh97XbX64UNZqZclKfC1omlC/BKnUbDI3OeVgj79noml4hi11CjZ5drVf185TV409mnsTAEwZr
C2P/VJ3pFXsWDlYzFhLBTqPZaFNpvDLrgFlKjWIad2pZ5tmNPsdDFdBDxCsSgng1NrkMG+OS/s8i
zkSUILIHIhZq21wrwV4bbpkSUdZFVFtpPzqmR/gsz2xG9fAyojFABmnLFGb31NtfifC2MhARisua
zxa83rCyZiaIgsK4G2AuTHsLDwzhiVgMfIeM359qDI09cvmawFwo7hubM9M+d1K9LHfS6W25h2Ji
1ueSMo8CDsEp3/QFbR+FiDwBY6LFg2c2604fse+QbXDMIl/T2umiMtVCXsV4knqvjI3kucMB8VMs
YeV6Sa0wE0lros3n1hiA9hoZk912Ruy6+DauJrHRUX1GSDMHJajNZtZ9I2wQIGPUjjqPdme5eLUl
FBPBbzi2PoR5LEJuWhSP3AlYLU3GiJCFskz6mVA7Q140CZXzbUXF5u8fOPByC1oSHOkBibpHsxEk
5ibLHMXyZVNQHqk7MedeRZ8VXpE6J2dtVMa7FOvz9vN58KNZEDLzShugjvcOmI0V38Rpt5am2EHR
rYsBb9iDMe3KjgAZxaRZYNfWdIe23MSsWFKo//wGPtharBZ693eJkx3GUW3M7lRykglf8VcK6rk5
lOIqCjFNSzd++fxK75dVDnXo3FlTOU4Kd/3zP9aYrurayJ4Mx3fzeD14DMhkhRyjVwT/zc6sTH2L
XPbvwdfXdZVdKJJRQQNI4A86ej4kx6Wh9jaGZidczlgaZkoHE44TR01PDOX7JZxLUQsyQRKi3jhu
282Tnqn1QMFKW9TyKrUQ3msEfXI9Pb2xc0aUjbfVfyW55sRq+v5HBIAIaQKuNR1W63c5/Y+hJW0y
EkmjMrTWKK7VsuU8EBvOl4UBPXEy/81aPly3sSdTCUFCyCaR6tzhz0giZKT2Ruf6SpdFw7dqlqoP
cynCvBpn3S+4fIbcyQKPoNdwTga9wnQccN9dDOalUhpPr6Kh9ObYMNqzFBfBiXPHB4NBzVNDHWyK
lTd81GBEdMs8gk/NJ+UcpyQxb/uCqCDfcOvixC/+wStt6Br5JKhs2C8ev9JxYnbJsBihj3Rz3GgK
4NQUZ+umrkfluui0IeAPOv3E/vT9nCEM6th0SAyOIPTUD38BwPjZMiuG6+v0u6IducXUswnlEpyn
FQA6kaOUZ7R7BbMs9KE7u1FldeLJPxpkjj/0mHgbiEBZ//yPN45mQY69VA19Nanzt4JiyjcMTOge
chqFd3974lipJRqkDs53fMiH12oo+xlWipc9LsG+4pOAZb2JmayTrTCw90otVr+YXVif2BR/8OtS
XmauglnI3OEYh9etItOop1nDQ+8mZYDcOHkrOfoUVIFwuMPz6nayk9jfP3/cD4YWWQtn2LU9jjLt
6Bw7WWskLf1TFk302Dt75rVlr4XSGvVod0It8cGcxRNSbGPLqsNQObpYodpKW/GhBCvpKHAK1UF7
YthOMERz9jrPnXFGyp5tbMhuVWTw9590VfGrTM0M8nFT3E6HWCDAiIMIO9NDAa3ljOq+eqVkrXvi
Uh/8lhzTWecMDAM6M+Xhb5k6Tor+CbUOVthSXOqEjQdY8zhHksgxF/BC8NobBL//7e8EbJ0KJY96
Lo2CY8l1bRJKZK6qVtHq9put1uWz6jjJmQgHc//5aK6v4+HEfHipo0fUx7pLRo2eqYw424N+SxTK
O4ivTnwW699zfB0QuWvZg6o4ndHDoaRM2WtqMqdBUsTFJTlX7U1Bx+tSKRbEbYjMtp8/10oFfnfB
lfO7kqzhER4rRnpOWgkAzSxwB/wFWIpzF5NxzUJTYawwqutQNuNDTRAApAM423cpVcNnmmsNSQEa
pl6y2xSyxakZxQjGkoKQpDEs/WrOkjNTINk98aMf5TStmw7kFqyPHOVNhInm0czBkSfhsL+yNwdC
dJGXRtlTPFZxd1NTZ6M5G/aYakJhuFja2Vm+9Xbe2b7S5EWyGdysSHeRFttfVQQ8nd9hoqbsSzjn
S0OsnLLT0zZ8GHI9flG1tr6b0ArhUkvXlGpEQsNTvkBs9PPcwHmnGWauUT90Z21TaR2FhM9/nfez
FSUixJ48MTxjx1z//I+FQNi5zlkolgHowxXXnTvXk5N+D7EtPn5+pQ92Hgh5WHToCbLAE2JweKkE
Y09uK2kU6BSMt2PeYqXSB+e2cxLc2a623JZqPd6D+dOvjRIZS2rKsOV8BzvQTkURxEmRo3kNbZo5
n9/bB68oUAUNQS+yLcoER6OwVEPmknLHD05Y5K6J82XrglTBIp4spASw85TmEp94zX6LDo++RPhO
q0RizX1ADHk4II4c5mSqCPkWw2yYNANS7Uqq2VL7VQGMAD4FuDyPHC6BlS0FzvFoEkn1qql97V6F
A0mtXuOOlFAIiDSwaua1/RX/iMx3QGcid/f5GL3ftnC4Ijt1LWKuWUza0d3aIor6khpHa1PdMLo1
j6Kppyzy1SGUzrmpY2MVUBnbwCjc5Jqzofvr81v4YIrkFqgrrgg4UBpH3yVLvJM6IkKzucT5timU
4Rc4quX586t8MEGSNIgqFZsHoH/9aIKs5xZNwRLGQRktYIKzUSjBks7St+2+A+Yccdr//IrvP41V
4gZwilIa2hywjYdjm8+VVtYNaUjkmZYRJ+cqezQXu75CIR1ulTIWtzHqoJ05Vw04BSttNk6ECZrY
Tbt5ACGgXnaLTHdS0Mf6/N7e/ezQ1ClnIpGkmWlYq7flzwkCo7+Knd4yA2dpKR317P2/LsWMHUJt
9Vrsyql2Yo+NRvQ2KcYY+lpuoV/5/CbefZ/cBFLhNfyHz5PD7uFNzFGn5DlkrqCcihEZXL6cIadG
rNMpJOANc3oOGTYJPr+o/sGjA2zT+DJ1TtZ0Uw+v2mnRqJQSbzcu7JY6mmEs9ZZ9a7Hgkh/SMnAL
K9FXq6R+r6Vh/Au1Jdgn8Jk/xjasqLYRTP02T0vN9K4rhPVJx6HgtcxZ+F0r1Qq2YL1YK+c2G9/s
EYk8833WONsoCYe7cTCaOzaxEql4AnPEL3KUzZ7FHL1zSLLLIbHo0w/TAk8QtLhUb7NBzWzMPmO0
nA1GYmsejB5zI1LLLDyd+4xv2SkP5jkEQd06sX/54Ddy8cHRcF7hi6RfHI7WbGCrrfSmCeCFwpqd
8wYotB5tYXFccH6Lt5yo3VMvxrsZgY0MtWeOzxQK1tXl6KLtZM51WUGCweS9L6kak1022ehKPn8X
3rdV1h0ToDbOivzDGnZ4oX60qqoSC08HHe6qZ1H1FIhgOyNpjKB2iNdO3Hbeu9Co/MjsgXbEk/jy
+U18NMJsgKnv8wUwCR49LBIxvXZsowkaoUoKPnKGqt6ATQRvHqSWUe+RFMf5iUd/d8Tgy1NpzVEz
YOqnf3D45AKdEKJNKMvgXvWzAqaBn6swCKw4zIIY+8JubtrvTdGqJ4LW3j/uqitDsEEXEuzJ8fII
qF0r+lTAi+fn+KbRTfLSfq7h8LtJvvghFDWvEYlyKk313fzPA68vFBMy/8GpfPjA5Ovmtkm0SZCL
Jr2e8P3tBmLsz4YuFxdjnvQ/Pv9Z36sl1wuy/2B4gWCzAzm6oKGEXb7INpBuqs5+k+SmH+ZJWK+i
CecNhkXiW0mTw9ASet16wATmayD1dOel1qj9iR/8vS1nvR/yFilsWqgsrKMBKBU7nlhT2kCZZ0Jc
wOE0ek10ct5HeGlXKm+8NChoOlwkbjDG0NKA2eSGRqZfTYAVqcXthdqUQ3bu1LqeBnhUWhhjrA4W
W2orUzbMnKLaNXCOodUrS/xrydATnSP2Tm5GdoovioHUny22hi0RCLG6aSKquX49qWyH01Iay2UL
V/Kb0qPE2BAjOwy+EyIPJI8AA3liqNxU1kvrJu4zsDDcx1edEMJuY451/EVV0pWu1S6DoD0gSpP8
BrUGLozEcFdFdbxmgJs4EPN59uELhnt3UfUUiS56zQBLhh76JvDt6TVsqBEGI1LenUZvgswbdMN0
/ZIUpPdj4xKJaGeyFnCjxrjcQyWa6zN2x9jZZQuKGj436LtRUP/HBLToe1wFiIMGvas18AK9vaeh
qzooSPL5bYYaUAdGjTv9xGZ0fccO9qL85vhGbSZwaoNodg7fwSqimzTKqgwaZR72iJZsTzWSZW9S
rT+xrlIbeH8xKnwU6jl+0hBTjxbWGmR0YkZaHqScGbuvg2IU3zKngEk5tKtWThkV+wdH1BBv0CSn
b+yOdO2haJVs3rI1Un8mZjsN6B2zkgiLZWjehNaFiu+oyjJfgOzqnlIKqvZZs2oTzzNFnbRLMi7A
QCtNUpW4gOzh0SW5RRBNPlsGKUSLykLZpcVDkqkg5ipw6lATJ46l/oAi78ltrXE13Bmzc9tUSN6D
CV84sasIfsBYq/qaRWnj3hn6tiKPWsWA5bllnLUbmnsIoIyxN81Ls4mbes+B172ZirR+zSRActT4
PVHWGXLHOzHDVPSJMomgMnQG8kPT7ZWHkplABUkVl5f0OYHHcAZo63Oi1NdkESIXSm/ivTM9UvzK
l1TpUJn1HYkdHAvi3vLM0bJxoLbRsE0nOtHMOWbEtjYWg1egMjS8hn7r6M8ZohDfyjkXbkMYYEaw
LLVNcbgYi73MrUgjY7MTr9KO6/yrEQ062cOdSlmYcrJ6Zg1Wj6hnMpNqg1QRMUyqxMor25lKC6Bn
RFdD1jnPI7geKDiFkMY1CVyl7hmocIDcG+Yc3kGRhbA3dqktyKhyu2/o742BHo7+35ydx7KjSNeu
r4gIvJkKgbavXd5MiLL4xJvk6s9D/ZMS0hHRX3dE96A6OgVkrlzmNenvTs8b9/2cR/18SmTW2UB5
sMI6FEOLycbCHMx6qI0J77ci5heFbdIhdTHE/VR8YGt3+Rs04Ka3RexoRSAj6A3HPvMWhoRzbYYd
IpbjUWoY3z57Wpx/mo04NU9AFWoLPVFbHp2pFaZPDohcsRqZIy5aOd05JMts+uaepWTLQaqoEZ66
CMlaP6plROrIX9ap9RhFnbw6X+DWoemfH8vUbP8wc8zcEBpmg9NrYVnf03z2sJsDKHMAGmksL3Hk
LO+6RlW/tIA4Ot8cYwx8Jt1Lv6AdmMVH/Ly7D7k2Qy7S8oEf1SG0RMzIHfkCvCX+YcOeQHNkiND3
r7ox/hU7I9KV/KPG2hcqlYejh9ZXb7u4aIu3xmAv+sHKRrDUqNcbx6yY5JcBt6IPt+++K5FgJbhA
bwEWQ46tn4cdo2m5CfRuCOgwTu8mL0ruZSR+uRDu3tJD2MMYXcll1lbeOiRk1HPhOBFbjZBFYuAC
EOlYnjPloJablSan/5APAaCaJoTvWdwLEGtvbj/qlXSGZo0HKhL1ACZa62/7p9Mi9X5W2TdlsKzO
Zm6VLP6KC7gTjQ7yqJ/1L0VmLDt3+ZX3S51MF5qfTjqzSqz/u6jVUIeMDaIeirtqe1W1FeQgKEOX
ds8nNEet039+SNYjD4dqwXXyV6Xgn4dEAGgeRMw1IkS8nGrboOax5RAYWdffO9Fo09wr97A31xIo
A0kUwC9M8ID+bJJzBVch1ejpECm90jsBud30R5oNJDUnnxAsiyeRP0hU3IGYG2NffHSdRDR34L7s
Lx0m9O3/8NapFFyKKSC4FPXnb71Dx1pIO20DBz3ET83SgfgA/XvsU7xJ2mreO0VXLu+1hQRPnOEl
I7NN6ZV3o1Ayx0TsGM2md00DIALwjfcE4mbPw/6ym8tkbh2zM2wg7Ya6ff5saZ04kzFgAkj5atyB
Sijua/7bI9JSdjBiMxQUTaqEKA3hwili1FsLDQBlZ00+FWmOEZKwZdjY+mQcGsetjzbWDqGq95Z7
vL0Xr9Rs1op8BlWkO8xh/vIr/t2MuKNZ1oA+Z4Jr7yd4dPGbuhDyg4kyItKiUzx9xfVEDfBRtt57
DEHv8iHqd07EJYuDF8Z7+guDZga23QxQ+D1bOOkIMqnI85PZ23H5oYyBJQQFGM/u2OSyeZ9o3WAf
kR3SVFjbeflxQNXlc8y1uZKky/plArD9M6tT9WHJzMkB6V/QnELVc/wMIhqZ1khbdoLzlYgFhJ1K
ACg7DaBtI6xCdVbY3dIHlTc7jwNI1qAf0/FRrUUdZGD6H5YlL3eyw7Wc3CSitIaphqizLYZKm7Oj
xMAj3Z5hluMi/qRbov1U4Ua+23Jbz8TFOjT5Kegx16a6P9/H4CYypB1WaFc1GDLMZld8bdEke3G7
yQRn68j2rmzqPiwSs6nDNUF/irRI/A/vmGkwOCZiJupM69H+Z496JSWu5dZD0HhAG8xJ1R7bJWmP
dCizJ8RJfmnc3Du5/uWlQHHHeJ3WFt0TunvnawLS8BCWZc1UZAXKe4hFoiVvuD7VXhIUSWT8ny7J
z/+ff8WVAE1dS9iFNkwXUXU3QSMrbHso1YVrfk4L7WjKxjwlyVINR15p8qohObkSe3UgelVvpXTE
zER7aeg0f1PyQfv9nwMDBA1Kbm7ElcW8DQx0EcoIGZkpcOMkgUZGiDCmvrxTJheAVodMgBDq+Jzl
6kqu9VLIS2b89faPuOS5wzQlFVFXLSEP/MEmaHve2HYSdbhg0IxOC+oFgL+vl8J7lKsfK/QohR/i
wnPGIcJs27fNIiU6ONI136I3jzsBZq7ovSKY236N7Lkpgkyrlfk407f4iqo2xHh7zNv7PB2K6W5s
8xSpYDPR92Q8LucYxFjGepg3r4MBGFXn+2mkEZHGY4MvbElBlFRLd1e6DOfIrwzendRmQmyb3aMk
OQeVkmoG2EWw+Af4UvQ6VeQ06j6t7p2uLh/SRK0DdTTqu9vvez3P5+cdxzImx7B8CCsINp3/yLqf
0fMohzmwyN0Z8SCt1wtsiBpgs+9gCsyvoxjU+xL8Y6CPWbtzzq8uT2tQRaUJMpy9OXP0yTL8uGIZ
2MmIwciY4T54kM7gRE+lUymu37WMtsG4Fta0ChWBBgV+Gik7SejfYev2NQB7p/YmXVjF585fw4LV
Jc0+kC3cQrX73IklS55SfDq0N6BRoSFhAmW9RjRzv9YKynAvlj6NFZlL6T14ohf5HYJNBpIM6KXL
Q266iEIU2oIASyMb5JVGjar24CkCG+uZEat+b0QAEGAfJkYD7ztVvgvsfXsEWBoy0lmYJXDbqKKx
rU0KpOsydzHZGhO+wjyA8pWtlTzGWHlZhzyFZX7M4ia+0xeni0IxIbnhO16c3beFyGjOJrh+H6o8
WboH5Nq7724/15/aaDTfxXaS5x+nyMzvG8oDhFQlabGrF2Z9kq5nPjmjLTyfvra6A5y7zM7A18BH
Uik9AElsM6ZR9nSwRpODbsv0CQc5iHhVxybXKxHe3uR/66XN5yUTZlCygnq4VNbb9Z/rZPIWTx3V
FbDl6Y2JNq1GKXqsgWwNmMCZehskdDfKF02JGwrwGJ0dSI/o0//UurZR74U9dMkHtiIji9s/7cql
w8wQYhZpI63rbRsZeOLQdJ3eB8OSKl+tJBJHWAnNj2nsPiMUsxxvL3clT3UYquEvReJF9rdFOI1N
pA69WHtMsQEn+QB/kg2LQZiTAVkfC+QdC7UyHqK+r0uUURuJYHlZFRqq9jifBh4UkdHHPxYkbDXZ
UNPrxYAqlrfd+DpGc/Q6gvg2d3725V7BXxkKAScTOAPR6vz7OZgf2fA1c8YMEfOirB/GcGin6bHu
ksj+74uxFEFJB5XhkoCcL9Zxt8RSX5AJ0hrnwVtkG7hOWT3GjNV2lrqSi3PJkQSvAZC2n71J67yW
yg0m1hJUVjI+LZpWf1boQodmYcf1oWdZtO8BgHBpxjBe0+QjYEl3Zw9eJrQ06wFLrSN3KiV3/fN/
TocTeTqTcW8JMAtZfgIicT7MXoWMR5vUTqCAzh0Bf1uVs3P3/D3iZ8cScy46nsiKIhRIObK5IRPU
jkZszCn+ZphlD6jUqy9tt+T5s1XOah0mbVdnp4R2zNcsGY2v+OtkHyzsZfMTmnfubwa8ySveDrww
K2cwzB0PHvOQDXUzY8uadsNhdKQErh4RyBXo3RCTm9X5pM9lXx/kUlqRPyC9iqNeNFgo5PXul6pF
4O5Yg7xbHtJSnd+1c6rOvmsPOE3ihzP/tuncj4c5Qgn3QHMyzu+7zkk+7hzVi1ScLQ/8ZK2XIVnY
23kDpKsZgpxrBmNC0drGHsLXqVq32mOXJWkUGKUUdyhjtlwRZv2QpYOaPJoAcr7c/iEX24OvxAdi
DA8hHFuazeEDgZmYepwuwdoWRKe3Kuv7tkd8OsinQUOVFnvn0B0VdE1uL7xu/u32AB+OybjJm+Ac
nO9LKRDxpieuBrOOLPfDHOkt1xrMGUD9g5V/rBM7i1EGcREiNtCZ3nnui6DDcwNxA5nJ/NaivD9f
Po+hpWPXS+FZFFy4rjVDSsy0cMHH4v4/PykNMM46hwGe3wVF14wBRgnsoGOXDuQhaZmFH2J7noKk
newnaVKVSA8Wi5dE8en22sblPqOmXGX00GSiV7SdcaSpSkEX11qAchLEUsghWFcoXtE8VZEm3OPM
+FgcFRc/niIdUaI0J0HzFgGcLLnjorFoJJeqOt+PUQx1TpWLPNLg17Mgmc0Is+62MN8r/Hz3KJGA
61G/yaKwdDTsA3q10mXgVhNWEUtf1W8WXVrfUpFA1M+1Jkbvfcw9v+G9gP9oy27vkF35yKYJygTB
Ud4/Dcjzj2xNWm0MEdZqnjtM9YOqaNqvGWed9mVIYiYbSGJVcRhZzvIDp5gFaSeI81hWqM5cBy1y
m6eya814pZQtd5iTIF/WioLO1u2PdOUMrtBZTLMpjlyQeOc/E6K8iKSxDgs6pMgPqA8sq0aO687P
NGft6RRDoUsOrr5E6c4pvEyeOPaotQJRJn8ybXWTG0+zI4jSmA2j9K8sONynSKWOvfwzaANxMUdo
+4tr0rwHIuS80Mzt0Hsf7fyrCQvKh+6b7pyWy1uTXwRQk4Y1Cons2E1gcA2cU1yVHWswTHxXiVHe
L9wU+tERmXdH4Vg99GQMx0XU+VtvXHBR6cjydr7JJTwJ4CvsFvCQa5PR2qKMNViyvAypBjkgX+Wh
VpFd9IFQrT5vmhH9rB1USHzTAqo/itbK75IeBOpBhXhY4a+R9K+ENBQhjAbuOPZ/9HB3fuJFdmlQ
26G6aRiQG5yLxr4+2KmLxrQZaGh1vlRQcnyOrfYODwzxsSjq4sftbXplPSQWHTIasjQSzM1pgoA/
gOocjcBtzEj4eJZFj5mi5F+deEzkwRFEop1HvLwk0IKhYbV+BwPEhX5+MqbKSpN4zs2gHbTI7zov
zQ9qmSNvZ6Dx62eZZBiZRUvowmlY/mvLiIDJVwEIstb39naO0ORDbbloAAf1AFWyhwT/vaOGLsgs
CnX051RfjJ3NfxmwIMLTVGBi4sBBv0jgF2/CFju2gpmh1wOcpEHgFdMqj62dmvlO4XTle9LitFZl
yBX28Jft+k9mmFc6g/m5ZDEXHzlIRwqigkX8LNPyF4CQege2v13O4WWu/TcuQXfVklq/9T/LYbE3
a0PaxGFmGShOogP5ACNEdkdtwtMI/XD0HW5v2G1c/bsi0nVwEtYrHlXasxVFFRM9LVUJCNn2E+z4
HiWCpnqLd7IKLV2vfJwQ9iCjdNr53/6b2azL2gz4Gcwg5Qjg/HzZUReRM2exG6Ceqb+QxXp1WMzN
/EUbAMEdaq83fplqhNU5oACaMyj8aQ8eY+Ae7+wIbfOYuvoVvQ+IfKPdGVh79ShLCz1L3iLIO1PG
C8OqfdnJ+F2TGOK9DT4AWU41H35NaCBOYVTFK4VUJN33Hivzz+Xco5yrWovtYJ2Agwbe2p1aAGFM
IYRUdCFfFrdqfi9l4YhDPCROOIExUR+6bB4edIHZHn21NPmWpAAKGJ7WOJ6r2FLjTSUnevTYX5M6
uF2cHfDGXPAUWiwYGK7Sjd9jAP3Ys/TYzhzXbIP/FbD33+ySIfLLheTaTytG77KCdOYnZl/9znHD
6w8ZURQ7pkjOWYABBQ/etkpkHsEpKa8eg98kwKIse8LZJl78CV+new+THBFkuemhu6QY2U8KBLQy
BBstOsye3X6MyPqqIGp0xEo1S2oD5hAtfbtpMPJnRcVqL4D3m0DiLVZj0rQrQRN2WovtsOyUbnlB
/Sdb/EFvRqoE08D3O6ZV+dTyZ2+jMkZJ1tNHJfZnIdZsr1xthig3jLfLBDghHKt6/G3j4Zn5M6aN
Xyrmsb/xMaJ6oeh1wbP1cfVFL1uJBOokm0dYlVFxBKuCNrmdackfigpNHLPZrnV/GGZPAimPEJOT
pbngt0HNPPgZQILPzqBq8V0m1OwO+5kJbUwNFNuBLAMbl9XqDOk5E21X36pwHMcMJp8lhiJF8sBk
JDZYjZEhbiOeYn2STMQBe4zMZuD6zgKp4thjtpjpQx/fG4NmYybnKa0DzAl/VR+tXflrUbEiO0zw
2c2DKNPieQCqjYTYsPzJosj65QISKXwoFLTcINTjD295Y/JEFzf/llk5J1crJxvjFopj+6CjkfGz
ksiHBlIfnaem8rIfvDh4x5aSEpdvR4+LFi8ifnRNMS9GXn69hDatgmEdYGSTV4aQ9bHy0qTdgWNN
RqqVFA86jy40DnEBtW/9B6m2OeEqkuVPCB+xczS7qXxNmxTWr6wr966uV2hq4roLkiKj0JWdX3sZ
68CsUQuvxRT1/nYIbWErnRpRXYcMADW/asDopkBCvw9F+nlMzC88pPrh9gv6y+o6D3SEcfSeUESg
50SBcx7oKhe5gqFu61C1BzRhjCqq7ua8UaugzjqK9DbRbOHrlHplYCpiBIemlLM8Cr3vLL+TetMe
0AguPoA1EaiPTb0dvbGb0T5N0Ux4dJnsggd0CvdjCka4PNqz1tTUGTYTRBco2msKQrx/NqS3MMeY
q/bYIX6yvBuqxEjf6IkhYfiYDmjRJIViUyozCmxqlCN/Ysa/4yG2PltAc1LoeN4sH3K9qL8vjKOQ
XY17OvQOTlDNQR0T5jduFouXVJn7H+UyxkpIY4FGv5pp/QeA4GZxwhzTfmcXa7/C0/Kyu4864Xzm
sp/GB+x9VDQpGL9+HaaRDpqTTemzt1okcRxL8QePC5VGMjLOKODGEu+0RlT0DWH6nDAeUxXwYUtC
F88phsovGsA9Pqd4/FLP2jwdEyMf2nuttfHUSbUCSYe48YqP/YJCxmkCRLa6BEflXg1/uelwASFP
Zu5PX50L9HwDWNKUYmJSu04K1XDRkAqqOkbiOHPlfou20qmYzfY/5khcr7yGdVa6jpeBGpwvanbQ
0nS0AEPVqOoTLr7zwZWKhAygzl9v7/B1A59vcDQq6eAyMSRzQQX3fKk2jvMiTlRg3E2rMLAxrfFJ
qe3m5fYyl6/RZCyJyi5ku7VZt0msXYZFi130cWiAYtACJc6jNyAenMa3C7Azo2zSNy22a6fby17J
U6DwU0NQdAL335ad6NcozG5SzDrHWARqvGh3qEwZLzRiuhc9SrCRur3gBciWT4e0vuOurvDMIbcc
M8dopIhNIwLeqjvdj2GZ+69032q8KlIl8x7dJsYE1hDo8bWIPnxBMwdauKqh2OFjZBgVn5zOBtBY
Mrx5yQXU0jsLvZPGRwrLs456jGec3/Wa9lHzSr33O+aJP1MAF1Uo6hnYkwSCgHhVCnEf/2TUfw9Y
txuPCkdjPKBfLd/QHjZbbBd1HFJdaalPSV6PqyxKYfYHBa6WAu6xFCG5P0ZjZRnhE1s4INi4flUN
4+6sMD4Oik7FDLV8+GznOH7g0qs4ypFZYs3AUB37njFgnOtBgbx642eyrlfv2mU4zUiFLSG0ew3N
HFlrP2rsoBMUjXSypExmDhDDyEi7I4qY2kQBJBxSgRjNljYHy3bIuwSt8LrSxUukxfN4VAkj6Hfg
C50FjD4meeLCxDHQYzJyWCymIP4Se/lPqRbiuag9dbi7/dEviIVco39lIrhJ6cVQqp4fIqex5khT
xzxcjES3fCIGRgGuraDLbyFLUliF7rfI4YdDUmn33TJgOTnk+LsXlYscrN1O6sILTPvfQhgSbnE9
IUZP36HEAfm9EZnOo+e2klaUWqXHWS4uPmOx4aM2JfzWNucXJCDxp0R8HrZONYS3n+8vIuQ8SHAL
MlMAWMPIizrx/PnacjHcfvSy0Mh0RAXzWDeoMFSzO0R2A3hynBs8h8uxuCNeGvpBm23rYwUEVpz0
xJ4NvwH0/63HE7Z+Go1WL1/wHcWsD31YvNHGYqysZziheeuz8ch1DIms8UHHTHkK+V5YA9tqJKo3
3hj3z9gjyOno1kYm/XJGk51zrTi/+7ZQXkuvtX8Z+PlVO+f6MpCgKoq6DkGSdom77SHN0DodYUoc
2+ZKPMgFabcspoMsVNs70deLd26Ay7DMeivDHcYCJIltW2+cinYc6yYP9TJJNFSNNNE9e0Wx7ATI
bTXOziUs0qJmMTpAW71qS4snNOqtLBxRT3rOnLZCWbTt3shWl8fbu+jKUkynjRUxwqQIsuj5JgLa
SnvOmouwA8R5QlwRxHtnu6/0YZQdislFS5jHgnaxNnLo+TMQ31w3kR5DSnXTNIzMZKgfxWAnDzHT
f+9lGmfmLjYxlcKiB2/vZoNNFVekNSpHqiXhZy52dudxBxYv+KsuECGt3nj18gJXzHEACndkp7TJ
Q983LSoEihbfm/Zo/Rl1b4DApw1oANHHGT41lrkSW8uFyQ72vXXvq1bXfpRVZ9iQvGh8PkUYyO65
YlzuVZuD83coC1qTAeD5i27wKoySui9D1PVn4Y+TN3jvI0dRHpWipQJX3BFz19sf90LymubcOm/8
q1gDWmQLeErLQlO7aRJhhhWSd+h6Sz91WWc94kyrPkCNtu7KtBL4PdnDb1OJpfRbN219zxDWnYeO
28FC1fO5FYs+oLi7Kod7ZQEyWlMHcdA7I94J2pcZCYRXJFRJ7xxSg22OlWD+YS+jW4R8O+c09QaS
Ub041o3FSNhpy8ceo8edQHp5BDzEIVbzCG39e1vBRLWbl6S4bQgPo80OyBVaH4VTgAirGYXd/iLr
nXMesyFUQjoCCeYStLfihCacQWSDuipcltoLyCgDrypCSPsW2VbpvWCOKn2oGOpOQnnxjMyBeTIs
FSyN3Gor6SBtolaNg3yIY+9H+gsZXX0zN0M5Gs272494sdFZimmv5diolRNoN6dccWdoYrNWhyip
5b+NsjNPNJPKH8z+6c448bKHd9tOmoB1ISvHnElHrQLH7s09aBKS3bar6rBH/fN9EpXdCkWGEFh3
zXQqLW1V20l6/pwL44GRowgRT3N3otvF+ICfYZFC46AB0IwCfjNMKYuxRpkgacMkS5WfGR7OPpgL
O5AWBC96ZJP5aFaZYsAgdIvDoAKHkq6od4785dtn0se5AfrnMkXYwsMkwx51wRQ6VAtNPg+ttxx5
ee69VsSTyq9AnHnnEr7Y0mxnioJVuYEbkc19Hti0EVZMlKZdGGHbdFfoNDYhy2SnMp6XZ8sr8VcZ
0LZmRFfsiGtcbmpUixikAvWhBwD6+HzlcTDMdkEpK0ztIcdxnLUfKovimgQoi3Ye8yIy8ZirPjxn
hy9NW/d8Mc6sIuEPd6HbGcZ34AXaXdepFS5K+nT0YGTez1Cjdxa9+oQAOZG6A2BDpne+aDsajMjx
xgpdGjhHVYeN39SeflfUeb+T21xbitvJY1ZCexGc7vlSIkf7Mda9LjTUxD4Mw/gd6b3xs9k58et/
DRB0qB3Ut5CZJHnbaqJAQynKetJJIhPFeZDT3L+F9/4jyRK3B6VH4+P2epcbFGzSegkScQ1USjcB
CX6wAoezB9qAU/NPJ8oT31ki1z64FqPfgz6XRgszrUVHXlru+9uLX55HiLwQ31SSnlW3bpNfJVnn
9SAOSVG1wj0lHPtP6NGXDwqR4hVK5P+wHKcep19vBX5tsS8UQthsaWURLt1iPptLJw9zw+zKip38
64S2QHD78S5PBe0APiMguL8p62bXrBndmNQ2j9fBs7EHe35QxRAdm2GoD1qnKY9iNvagVOsHO7tE
Ecaj8FnBIwABoBadb9WS7GMGdsi9OUg7jMu5PMhJgTTbNrVPN86ijmNE2plV8WTX438zoYVrsy7P
ZmI6uKrIbf3Uakd6bm12BeggPX+j1C6aIGywo8cQZSeaX3u9iJZQ5NnU6EDrzp80bh19om9XhNOs
jU8ip/6KihI91aR0f6CWNAGk3BVQvhjNrw/IloVGQY7O9GqzKiAcZ1EWqwjteKrexqtm9mkpmYIA
htLvrcXATwHRUgYYKIo9p0U2HOrSs3642Bz5C1rl329vsssDDJaNZu8qHgeHYLWG/HeAB5wrFgPy
n6FXqtWrkJBPB4OSQDNLxKjcLgmczlCOXtW6O9v7MiiuTQRUsuEssMW9zfZOsEx2JVYgoVrn+aex
o6Nr6dVwn6bunmPQBWwfQTI+MqAgZvl/99X5U1o9Hn0UlA6WU453ZyHg88LsaHldhbrvitEy2kNW
DW44ZQYkESuC5pRrxSec3vfgKxcxi1/CHvBWiRSSmu2NjvyPU5fW6IAWB4tT6fMHptzpW9nF+FeV
prVzjV98Xg8C28pLBIJCvrjFXRSZMKbYsGc84ubmHQiNJzlq5pd8yss7VAmiV7Ma2h+Doyt3t/fV
5XOCL6aFolOPMaW11h/2z2CYl41PUraoYTNUFvA3CiETOec3Th5/z4W+h5K9tpwGgoGUhfDFETtf
LkXuVa+yWgt7VOQOFazjE/YcjKUmhjzjUCs/bz/eZUZKNxMCMTcBcuhgsDZxMvWEKm1l0UKVBsyr
6U3ZmyG201OVkA8fZDE2h8izqZOzvPwik3L2O9VEre/2z7jgXqw2UCZYBvAbawGyDddxrVglvoxq
2OE1KD52KEDbL2qdaV+ghQBB8yYrmY5UXL2JELNwQ5yZZP3EILAnTy6M5ZPucOiDJjK05aA06mT5
uMY0AK4lhJtDJxq79wXivCW6zxFWUyKGqoXTQob2++2HudyrNIiBP8AAXEdQW71MNGD6wuomLazA
l0tQS47zUQLxepMrdnRnKEUWpAhrHQt73kOFrJnCv7ceziKwzsmxGQeATdnyDnsQAwNuVRgoT4bu
x5VrP2T1WO2AJbY3zrrKKh7HFwOFdPGxMH7SzTZRF19o+vIzc9JvYraLlz71lGeazQxrk3ZP++fi
wvm/RZl2woWCq7vVr59cEwrCaC5+TB7fMIcAlVtFbnOczVj/oLUophU1DEgfUFj6vurBKi+eFC8m
xuCnNh2bncBw9SWQPJF5c+eiEnV+Us3ZzhM8RFRwEoI46/z1w+V9SXASLrIS5WicGkAsOyflgr3I
e2BKh8w72Sq17F8ph38CklVGbSWifvEVfCUPkVF6J6XNvQ/CrOJfWQNkI6sRN+hGdT7B9BUMAJv4
vtCpLxEdki9AvprQi0AOm44o79BNBJlV9sWXOcZAIy7cZOd+vPCdWn/xX6M3wjLX89YtLKu6GZV3
8Hqt2TtPtsEwPEadD600JYZkYrcO/IvCU5FlSKawNXP7iJ2rEzh6pnwAPElC02d7jcYLOsL6q1ZM
IQg6wg4B8Pz7aUpF0yjWV5hgP33Ti27Eg0WO3qdpqdyHKo0U9Yj0qhYfE2WglWii7KIcylod7mf6
noxUKNSxW1IV9Y2CwOCn2k6NV1qD6XgQFnCP8HZU2aYZ6+/laFPlUT6Tu28C9QjUR/RjLoHRpd0r
it/pA2bn4jjY9l7yenEp/F0LRhZKACsZYesUNhU2WVoBNATdvf6Drjjig6IAvsJbfvjRxKp5AJqV
sb3rNJCK04XLYO8J4m5vwvU3UGiuMKU1xdgSZ+y4I3D1qO9WxvJL0VIGfi3eyH4L9verJXJ1b5uu
PYhN7FyzKlpf6x0EJ+B8Q7RUzlCeiZ3GMjDe72TiK7QV7ph74tSFTRHmCVXu3HPk9FMJ4PaQz7Ns
DrURTW9vf+srz77qnK2kOMB2F1nA6CE1WcXN4pcMXnjifjnGmSkeVLWTiFouxk4J8Zdktn12jWkF
hTZcCOag58+uICIWsd7i94gc3esTmOoXq5o75v0QQYeD20WgDAulI8EfxJDZfgx0/ftgQSM8mLga
IXdlZC1CI5Eif4yZgh6KGBLERR1jUU4z4UY5IQjSfsMA23wbF3PJponr/t6ye2vaCc3XXh+4QTYv
jUxi8yaJimXnWSgBSZAVQjl0k52/SNfpDhMYeH/JI/M/jsjZqiANmJDDZSSD2uaIzYAVDwrl0m+c
/PvgTWqIq6UFEKIpEd8rCBJFs9zf3iIX4YD+C+mozdSS7ButoPMv1iwxuDBkevASNN3HcSlhALp5
jKKMvufEenHTrUutTWGLqQz13iYFbuJlWiLFZSm9U57w7ZiQIxcS4pplI7JW2cFSdf3OO736fBRT
q/ri6l22/vk/11yEebRp5J44AmRpvjOaTo5dqyKPu0qd336VF0kTz4dQ3oo2BePOZzxfqs3Y/jPq
WEensqsvGTqzvp0Citu7ua+uA+QfXWjONuOL83VqnH0Qz4W7WUbR8kAzhL6Lx4s95ksafTCiXPio
oNTf7LEc3ySaBLmGPZov7BJ9lKh3rJ99M5phjjLLzhu4ODCYsMOHAslM/2BtXpz/slZvJj1CV57u
oeG9p+ibA6guEqqnRGoNpaOddvyVjwuQ2LUxBDKZK255PSPmS3ZaASRqKsdBEUgDh4YHjx8v3t7H
vfZobNq/j8cR3Ub1PM0koCnOCX7cgNEzMJtdnNR+X3XFqZaasvMqrz0a9fkq/gGVHXD7+avUIzUv
LHgLx4Gx5PukxLVOOHXzODjuXuN32+LiarAQWeGZwNgzA9401V0G9KqJhMoRGhJiqBPC8aiOz8YP
Dovx1OHC8oKK1aiEjWJlgZr3/fH2wdkWOusP4DEJeZAIAfdtAkPVq5ETCWzRbaeZn8F1KG9EWzZ3
q2nnyyLn9GFC1i1hHDiX4e2lL9O3dW1S4LUNxXHailtSy1a9ZsNZnbK+qgLbHLLxBF8Ds2wy7+iu
Uam9HuhEMNhN0HlyTpFZTtgsA781/+SLaEJHQ3X/uVkK82Mjac0eukVJvsVILqJjCuVm51a6EkbP
fvHmc8WlUOKW2v6IqUz33rHleA+3LIP1agIYRGL6/WiSmt9+T9cWZdDEQaNkYFOux+OfMGo7+F1R
C1fH0YvSP7Jt0d7ScvR2ym56A55nCGMQC8HtRS/oKevGYFsyViaoQpPZxBPUHGgFKmV1TBrNS76m
HoKsvtr1UfZoCTRBwaIC5jrW7WjeF0mXf+sWq08DSO7z/Dqhl4+wZN/g4WdIAc7chRz2/vZPvLZ1
eR+kOms1Bcvg/L1URQaqLSG/GafSCXHumwN3RG9QY/z9ZxyAxquNWYZuXezZ8F4LSAAjVhXHVYrI
2twCWpaqZiGLGmcwo0e/UEVlhg9hfXLphOMF23z/z0+6Gqjz/V2UVS5wIg1GXkUCGPrY5Y1+7Fwz
wz+winzsN9WgnJNflWpkX1Bj3HMIuPKgTDRQ+aENseqMbCIhGjtpZtGMPZYxHnua2Zf3Q5EPR11R
zFOsmXvC6VeuV5ubfE0X4OPw9/knnRyziaoo5sWS8Onh4FoiuUdvZVc7Zf1CZ8kyhEnScwpwRlQA
SzcL1cjDRO7EVDYyVqTrIjP7NA5R9zS13YRuzaycGqXO/ShhoHqYxNA/2/MA91/EpX2gU5EcJk3P
3t7+zldOOoCItUTkX2zpTfmSSQ9JvUFD1hDw/8ug97mvAI29E23UvfOsyXhqs+rj7TWvvXKyARhc
65iF627zype80AVeKHjaduJYxIX97ChJs9NPu9hIgLipRBEqWAMKFfD5KlltalOJVKk/xFn2omnH
DK2obIUk66M27ASGK4shP4O2H3hIPvHfDvw/ATPNaAsqTHb4rCL1gYVjLxtVUFHnQX0YgCft3KHX
1iMCrXL/ELroqp0/nFPrna6OjutXGLWDIx29E3NR+1l1ReM36bSLeLzYvQCrVmYeGxgsPnin8wUX
BhSOPussqCvQeZQicX4CNJnjoMNMFiviqa2So7XUqDfrMfJgCSwM3dfgGXgB/Wj6S5XeGoGCMS0Q
YGJZaKVDIkJcXZM/M5BODy+yuAkaA1HrQ53W+dOUpvV4wh218w5K7NR7KhsXe59nohBCFATMtWZu
pwMGIvxC1KXru5YC+U0Hso9cD0zDQMhaP2nIWoaGtautd5HrsSzJDx0KRk4EyE2EK4zBdpUBDIcm
jQ4E5GxjadYLAziFPnk7Bd/FWVsXQ1LPIv8AL7wNb6VUERC3WMxcncvu3MzBw6ITc7ynrH1tIeRA
aDBiKcY9vrm8a4XivVFKzx8FOFezt6d3VWWVn26Hjmv7nknOag5NHP1/nJ3XjtxGlIafiABzuCU7
TJQ0ipZuCMuymFMx8+n3q9kFVs0mmhjDsGFAsKurWOGEP7CMl9twtCtDzecZILHudB+1ER+2qs+r
YEFQ7b5r0L66Pd7Gt4IsCcOP6jF31TpfFnE/wD4r4HSVGfXGvmyrpw7pY82v9Er8vD3Yxn7k/mDt
Xvekt9bxGGEAJSk2XehJau2zZsy/F2NMfbPO+nuvzIunnC27E15uLKhUQscXFFgPidzqLp4RSCO5
sbygcgcIcxOG8Rlg10DBqfPnMuh70OLrgjz9ThAL9H9pd0hW6OUXnKwMQw4AHMGCghSkmKLA9oLk
vOkLArwMCfwox7GlEzQEJuE0MHMX72yPYrhDCnFPFH1z+gRz8udwca9RMAgYhVWvx6GEbfTnYqgg
zcnCbhE7fxHLJ6fbX/gqfmTyMoaj8EPyQaHpcvIOjh/5EnOLKmVo6Q/E2c67zBuHpxQ5jZ+Luah3
TWu4uJRovbEz9tbugmBpYi4rw5117GoimNINDhj8NMQi2UJ/+alJYOGVhWg/9UU6fsRIeNojdL+2
4C7CHqYMY5QdBoiaTvvqtmvpIOCMlodBKSJrfkSSJuu/Qx1CYLuvlKmtArizMzoBrpe/uC2w82Ac
tO4fZWlx3m1NxZkgFULRPLsOwluBPoXuxzDURxEkZD/lOYlpb/teF3VNgAmLVxxYWzh+TTjF+s+l
UOPP6dCVlNeBkAyBOdjI7ZqoAh1ru0IJGECHVz5myiRyP10gFp463W2TF0TPhrsyUavRF21RfLFD
C/Xv2XDDfKcxtnkmCLGlih85Ba/R5baY1TBpq3RCtUrMNpoZqDX+tsOqeGiA8h5afSl+oG+Dplfv
1ffakrZ+Wnvjp1yhNePn0VzvmYVsHAswA/C1CS9QFLnC+vTunPbtpAdJWPbflma05ZOYDo8pwsZS
YjmKdmo7V1UJqlv/B2ImFIXZfLkETVk31eiletBNrRn0iz0FAMa181wAtfQHpaPKnNYNHE2CEEF9
L4FXe/twbkyalIMomOgc6+e1UXqGtLQYokYPClblrjaimSHbXPWOSFL37/pihlZze8jr5wVoPGYs
HDu6k0AjLmdd4b9Cc7k2giqtlqfRbAof/4sczmi/V/m9nh3AeErNDILX25Ubgh7rPZkNjc48Hcmr
1HI+OX36M3XT5Khr6VsFsLhQod9z12H6aRKjrq55WxlVI+HvANgo6grTEJ9rN6++zhoF77cvooxN
/xccizfh5SLOgy6iqrb1ABMdL/OnKul/9n1pOyfaVJAYb492vVFJEhE2oQHIc0FHezWaMyfkFbFB
0JhRQa/S/Kfde1g4ZKmmnpck9tpDlylwhLWsrn7q+ajsPVrXoZbkJ6KYTgMB+891/uQJ0+kjcwTu
Wwv1cckX4xObpt+Z6NaGkWaAwI4hcFi6/PM/UprRws20ziEdpVOFLpU9h8YhM+Avl1Sdviwel+7t
lb2CKck9IwUVDNmnhAOzGlEVDXpZSQF7qPbc6qRNen/s+hZLKsTfPwBfgDKa21kRNMXQfAtpdJB2
lOH3KG/0D7d/y9bBhCGNSAq9OtK51fZt525ophHSaWfHWDFWRXyXdLZ6lpYLO+u8MZSGZhMFAUig
LPgqlZtmw1AcKClBmGr5ezN1P5GJh09tNH2+PadX/5HLp5g8R9Y+yRuhma7FP3Bzw1wpFWbgTKL8
SKmt/hwS/9REBHOCfBFQ6A+AE8z5mDVRO/lTIhzsyVtoS35st1g0xU7ZH6O+qWzfsuH2BVoDS//t
51kaqxIlUhDXaS5ebjxXV9Q2H0Cz01ht8CMHonBCe6IYUY7Qq8POosi3db0o7Dm6GFTDJfTycrTU
QhOla3sjKHAkMdCBqLV+weBJW+KPbjabcCbSSHyfco8eABo+47+FS0NyMfnvAtUcq2jvGMgPvv5F
bAQpNw29mu90+YvoXwm1EKmKY16cHxFQMH71mGycsEZS/ungXrYQLApsIUBDJHhdlOppXrp2Z2Hk
07P6FQD6uboJ14E8rGVb4nKRGpQRvhzjABFxIo28R54obfzIU5KYsGPIv9OVLXY6eFu7VEZCoPYA
iEJdXUUCCcqeSugUahCW+figml36mKeq+GJ10fxAFRQvrWKqgrhZCAFzJdJ/DKpa3eVTMpxL0eaf
QPpUP8ZKzR+sykr/vb1fNu5edPHZnZQ7SAvXAEbXRAC1qDI1sGtMpAxkyNEgEXa8o+96jaWQqp+g
VMh1IWBy8i43weyGVTNHOIvVjW6j4jeClBAdrA4/muoG/rw5fa7J3HSpL6G+TxcofUjARjuh6cYj
QEMKFzCpRSrrwZc/Y7TNwXESoRKMFfFnPUuab6aeJF8Ra7AfJ/CqO5t/a9fx3iD8xLPDM7t6XTXp
p1y7WI9YkKXfl64THfsxLx50b6zvO0OA26LPeX/7m25uORhsHDqwmigHyV/151PHbOqFjCmwefL+
ln2wh3rM589Asctz6S55glRBGP627Vn8VdAXMAH1S/MW8nP1nRlN9ux3kVqAEnC7l7GoMFi6/RO3
vgMINjgi9O7BKMht+ccvrBbaTbwdmBwpanTq59r7AEMOzT0EJpoXx1zEzj7fGpDNR+cLhDh34yol
STKvH3Ey1YJBryL8ZJs5eclg7BlIVtpJE+jDgAbN7UlunS0QiJIqYpN3vDbv/pik0jpqbTazFqiz
uXzCau4rnpnj99uDbDy3hMD/P8jqesnK2K0n+l7BLKBQHSC0LWjpeVFZoIzZTf9lGQHIYvVGp5Vq
4+V3CxfBq19iToXyrFEcSQL78cj+n9EkbGivtfGe7v51iUHWcaCtwR6Aq7UmEymLqSllnRANJ3px
X/d4Kk5Za516vHjuMTf6RcmjfijBd9+9fWHha0BfosABJkIu/B9fz+vSJXNahFpABEMANXBC7TIx
vINA1+5slM05cg54lqSZ5FpnMwUkodjc/EHrRZP4rhVaOD5NKYbSNJZLAx0sZKROkYEhVaBrU/RW
N2kCVeIF2AtAzIB5r6uQaZXkY+ySrOqoXZ2iGf0XoS7lhwZZh+PtVb1uijIWjBQs3JD1wgd9dSPW
9MoqLJr0YLHtaXq0h3Sc3qPYNkYBKjAsMh7lgJlLNRPKczaZaJ+LtiSJzWddAeFvKD9Dc9a6s9PF
/ddYFeae3uLWVYEgMB1b+ulk7qurAhBTgnlyiMdTBJ2s1hK8Qpa4fcKw6Bd0t2UnQNh6IiS1C3kR
VcZHqyPV9UBOrIkSFqLX8BwL4+uAi9td2Of52R0b5wAFvNvZ21upCTVC2h58CPJMbzXH0rESY9C4
mspF9OU3N5viB1N4zXQEmFqD+0xRTp+HRen9PikV42Fss7H0lRiYok+mHFf/YV+QiAKyJKMn+12z
vwAeaBW7Tw1iZaqUsxpZWncC3txkfwFodryTaJw2P3a1sYznOEogwBHVpyzPkJt/pVqhD+Tm4KN9
dcLjB9i7Fu1t3o0LnXuAVwR/Fug+a95qpysF2XKrUsZrcItIQh1jbHc+3T4i8mJZRar835EYRdUA
d/e1sy1t1X7Axh0jT5KJ+6larK9F37+oaaOc3zoSFys7QHb/sYBav8KeFwrRRbWNbsBYnJPIRYKI
QvnfaTOUn24Pdb3LGYqeFJ9Rjrh+C2MADEZrtHZQODz4bqKoJzYTVgwK9INZ0cbTZM3TzkpuDgoy
UPb5ANCtVRSaxXQgSeIyx7PUUcCwKcRTA3BPHgrWT0lhTvdeo+7Jkl7fHwQu1DFAkvFKcsVdPhw5
9jSG3jh42yXwT3mDEYOaVOuM0lhxdioc8W4v7UZsDRGVTr8ECGqys3M5IJo4Y59R3wnEPC9f4qKm
yQ7YK/8E37g9giAOnzWU/Y6p0I3ncHLmz2017z2XV9wViR2kHi4teWQRcJ3nxHhHjmjR2URYteZk
KPhIPZwonQZECWB2N76md8ZD1DvTj66K9ff5IjWDrBAeka+ndvNbrWz3h1WmdfdsFWPzDeUEBDVj
a5orvx2U6VfTuI138nLTfUhMSxgPUEyUL7dXUy7W5eljGlRMWU5As1edaC2ezc5A0SdwtGZUz3ah
JS7+f3pFTT7Gbw+k9zSdeq6w7Jj1RlIFFTUK8/72r7i+aSgX0HuktIEwMqItl59U6HarhgYcQT0V
ECetNHlpkfvYiTuubxqZD8Npl+A5yhOrURYsJmtlcc1AnUat+tgMda4cTGneXC+k0TuPzuZoVMHI
uqQqjLXapriX9llke2bg4VUqHugcjenzoqPDFjh2ix7h7SXcGo4iFGIHyLVKOavLJURpTJK6cA5Z
usT9YbtpeezDOPmr0nc9JDa+Fsrd0oUZqjb36Krk1eEkJw0tHJJoEf+jIRD2tY6SnThh41qR8uAE
3WwM+uyrawXwsQuqkkEWtVYM3Beq7ERRL4bgM4nFvi9Qk/hxewm3bpaLMWXg+mcMrAMEcYfSwZED
DhWohviIONF06iDbf6SyGX1aZs1NcZwcp3M6xerj0E7jt9u/YuNDXvyI1b6xQrGYw8yJnBGlPGa4
zGKtXgtk+6I9KfatoRC8p38KnIHMdDUU2MG2oKboBvBXhI7yzBI+KEvDBaVMy15tQP7PVjcN+Gfg
d0Q8MkdcLW5N07D28hrchDLkxrmOc+ODabWLcfa0oskOXqKjIGt32TLe6fYIoRZYbVi8uWVDZU4D
hkxeDJ7CXG0rNYxMQV+avZu19i+InsXfJO3T4KeGPu5lxFt7mANC+g1ml7rIarCBtn0JlYLBcoQH
h8Uo32kjUW+cqW2gu3O/w5fd+p447DEWaSnP0mqJzShJ0kFLHaApjqIdUDVwR19L1CQEAjhUf9/e
qK9FrPUXdegyUuAiXwU9cnlcEEsDnN9zREnX+ac5jn0XNF3Sg9HKc/1TsiSz6XNfYbUDm6Y8D8Kg
9FICwMy7IX5RwnE43P5NWyuA4yNxJMQFeF7yi/xxghdU2KIYnV9IPGb/pYjEENQ006FlW9r59lBb
tyByRCw1u9n01nQpF3H+JKcGGiTpKH6kVNUfahTU4p17XS7iapEp+8v2KlkkuNrVIofOjG9lCTIm
tiw8t7FMVn+h6IuYZacYhi+UQv2R4ve981ZunFYAeMAWSNFkTW31nJiVMReEAW4w1qZbIhoRN6eY
uNI84Ya3RP4827jI6Godfe7ElGPiPXaOtvMjtoIsrgsPxh5cbEnEvvyczTJVPbJbXlCHqYM496Bo
y0E4wIb9ul+Uj7FSFEkw2U6EbTPIlAiZe2sZD1bSJZ/VcVn+nfO8+g7GlgXsbQ0vaLN3nMjHkddo
A1dtIZg5c1rfK008Alsxaux4UwHE8+1H0yJglRI80gpz3RVRksRoh0Yq/0yGd6D9j9dDri6/7LTR
dorP12cA7xBGArJBi5N46nLR2tGYqiHs4gOdge7JSVChQbo15ymJy53NeX3BMZTLzQZZ3oGguNqc
Wudk9RwJkIND35wzW4o1u0Z5zmbci0Fq7IFgrs8cVVQZbFMtBRa6BuAo5FT4I6VKUHqoNUaY1ftu
n+6BnK4XUHptSgNb0kRkPOSv+OMSaZakzNsOkoiCqiul4owXnxLVO6PuvDdvC4aiCgAPX6ZQa4Ca
Nw0uNmgTjdEKRIuo+x4Qi1QocY3qdPu+2pyVHIjlA6uxhueHg4GBuDdDcwrt8JQXVRMglqce9Rpp
s9tDXW8LFO1e815YT/RBjMsFTHtolWmcKYGu5yjqpZ41HxMlnEEsOe8L1fx9e7grWWzSThWgMMEi
9XWoRatrQkVIFfUyYH5LxnXi01ZBKbkL8WPFQwCBSjTe1U62BWPov5DXhNf7XWep312EoHE3cYy5
871WWA3kp7Qf3414XutndNBww/GXqsFyZucnX3cJ6QKQeNGYl73CdYE+JJDsaYgowRRW9idbTNOn
rEomv+kxJOSnDYfIc6o7OzUedMRYn6MEweTbv+H6ipcUATSIeL9IY9eIsni2RpPqEqqno40xZSUR
6nGjn1JRVJTBav3e4do9IvObPuUtZKrbw2+0bRif0hLzJz4CmXy5S5wYM3tgoIj0Z66EgMHOCVJk
8X/phoLlA5rRrV9EafU9njXxMTaX5ERZd/iFp4AA5W70ZwtN2lOVD0N4TD2M9G7/wOuXl98H2AYF
OfLGq07ma0kuVR2FHp7nHs0szMgLtBhzoLg/IzYxH7S2EDuDyhDt8rmnd6YhScxn4QitO3Z50grM
wpFoJ8uyvoV1VfE+ieGg1053mFV7ue+TZA5SZYh3APdb94PUrkBdkUYVIevl52ggA4PXzJGL1TSU
DVLdOXhF6D4YVrlXPNkYSjamCVTR3ZK773IoJdaTcjZZWUjOxGrOmAHVmqpxOoyVKPb22cZRYzAi
NFiYeNp4q32GQ3PC3zwake7M7vekrroDbcr+oPazmh5zPY9+o5rjhafRRJsKRrjl+fFU7kk2bc1a
ChHCZmD23PaXs/a0JcPZDJ4pNnRJFHjapOEGGYfOY+taxfn25t0ajM1LKwkRG7L01WBV62hh3xfR
wct7Bys/FZ8cf8BfFTQewtZ7qIet4eRVxlmW+NR1S2WodLWpBGyNxhuBwih59VehAslFpKL79vaZ
cWcQ3FN2I8ZZJTmUcPvIA/gSKCY5a246xV3aJlhwTKi+/4ehaP9JrSuJMNYvv1jYjjUKV0YYRFPq
YTWxGFHQpkPxr5Lae2/m1grSf8GrHqEjFlH++R9BB6T2rsAUNgxMMxr6QwmhXJyRVcYWsXCL7u2J
EpVakMwItAFCY59cDpcZDR9sVMJAxzjtObbHLKhyPA+IjI1oZxm33mcdIKrE61GigjV0OViiI8rT
t0kYpCaVjEfew+5raNnKJ6PWyt9LmDUtij2N+Y5U1aFSjsYsBm6aW6Nos0z/9Oilh9yA0YSBA8EE
JjG2kb3vMb74dfuDb/5SyU12Edri1jdXxwY7tTlGgUQem6JGxyB34WIrYd0d08YxPxLB9ZofLXH9
vm7UeD7MqDAelV4b/CRs+3dWgrJlgukzNzS2hUe8H5c7hzLGHqBg4+3mWPMXsDlkf9aEpahF5ayc
LYK5yFGOrZc5T/AfPMQyRuNI+dM8oCWIv3MztJaft5BGbi/URoQH/xbhNQ48K7WmAURJMXpmCqCv
bIv+JHplAPnOsxhO0ztoI2/V4yLAA43KswTXD27hOs8Q1kzd1uPqxKL4QUcrKsAUnBCpzcezNr1d
FEQOJwfCF4Bx149wsah6O6o4D6Zdl5wE9bMjnIf43pswTGmMrC6xXrH6z8uQ198ixyvv43aw78Ww
ODv5gTyGq3AAUCWiwJTHQfxd4arRDujRn1YCY9CXB+l3i0Kt2d7d/pobu4kkn3ub0JmDutYoIPZR
vCjU40OPbeJdtsTRByUdPaQoizooAAqeOn60P3cohiVa/1ajGL4uMpxEPPKtokW+uh5KQ+ldYwZ0
g+GgdioQ/8dSWkNRTsTmwWos1XeRHNkJCzbuW7hb9LtfYWpM+/JO6rRJqvqQujZa6BxBh2YH/Omc
Yzju338bEQhiBFQ+wShyWtalIsEl7nES44O2iCUJwH7YX81mnB6EqcZH3cumJ3NKFh+ZYsoCYwat
oYuSPb2HjRmT8dukzi6BJSXQyxknrdeg2GdHh2QZtXNXEVBSOMl/9gRqeze+zPBW+9aUqhpAWOj1
q2s16wQLKIeOfgwnLq/ua/rIn4WtdOcyyfK7oWibv/Ks8+TDWmJNDoH33hQ1TJHcCv/uGyjRUwfd
ZCfh2bi04LJInIP8SRTTLhdAAHIwjRQAheIlv40WdIkRxe7RLob0XHnttHNHbq03+Q2ZKSVZWCGr
gHppTBCQtY4BxFTS+h2xQuJ+biDBxLRG/8PcKHmCvKLuS3NmNRg11Rbx+J7BqlYlc528Jy9P3fuq
hF8bCKNbdgbcSt+ojoAwt+hxcTetthOwGqWwUPQ4jEasnYfOcM4OrNZDaIVnTE7eg4G1palQfh8R
gPg1Rp/vWzFohxZZtofUQKtyiGrE+0bz++3rbGvhyWMgLdHTJCRdPeIpxqWzmxnJoVIr95Qu9jeB
Jtuh7cNo5xPLOa63OXrFRGs4XQFgl8fgj6CNqqK6OBaXCDXp93bcFT87jHUpKFTdk1dq9ovlwPb3
HCX/8OYp0sCgAgbNh6++PsuhYpthGJbRQSmRxZumBaX+NoF1bwz/IVIERQ9IheasJEevVhPYkdd3
dRMdqqFczhbm7I92DHEpa8s98YCN1476lMHRfG37rav3c4gafyFn5UZa+GzEkfFcVUv89tQIvW4p
mUj5BWDsakKwg+K8seboUCZDhPmN6L3mmI7Yz7eJutcl2LhzOJZ8flaQLsE69DWGDpROQuRC5dp6
8oqBF20up8RPGm8Qh1Axu53dvzUiMYM0iJXM+TVlOCunQi8Nrvm5qcKzUy/NATrj79g2okdwQ3u0
j63hSPpQ1ZBOM7gFXx4BEanL0DhWdGibRjl0jWYeuYc6P15i90vWusl/+Hoyi0D1ADoUpIfL8RbE
fMK2MqODPRLlZiEVGHvGsR5rof+Q1ILCxPRUJRAkZV9tlLLBw3AwpS1QUy+HJKxE4BSJ9RLyOL09
GmGPvFrZcmVB6b2clbN0UK5KI0e+WF/8KOyVOzXC/yHGuuftdR7KSwwmXWTAWqyGapLEc8rFzA/z
2LTvDb2wHzB8H5/SRRl33oiNi5i2gE1SCx2At2n1RBSNW4CtT7KDHtfoBmQdEkxmI8rGz4Zh2llC
+btXd7FkXEh7XPgHV0hLY+jdxaExdsgstfkKqqV5bKNdfRP5jl6Ngn4VVW2EVa54eICaaEglIju0
EDzPc+pil9EgZzUuLoZ8sMp9R2gosWZT8SkWzlsN0giVIf9JCpvc+9ral63hc9ZeOmaH2Y7HM6jV
lz5Mis8IgHb31ZSGO3vlWsUT9QGq6qbDcCR8awD0RC8iN7QmPWSFILiwu9CkNmyH42EKveK5o554
p3Slc+zNpHkPhrD81ALAe4pK00yCqmiMv01rTP65/fptfGqqefg6AZSgoLd+/bRS94RRVOlhSQYV
TKICvSTO9qgsG48724juNjB6RCbWLbtwJojqsSzhU8/AQ4HuY7unk5Sgb7Fk9nkaHfvRHolo3Mlp
9grBG2eHOhqXAakR1eB1aAEjZAYikeWHPJ/Tf0tHiZ6isbEfErfcKahtzZOWOagrCglIkqyuOb13
hpIPDQKjFPYDeUl2TyygHqnZG8cRvf6n0OrSM0GAeXf7O268Hby/9G00yi0A0OQa/BE+9W2s1lbK
HOljJr87y2qP42wMeAxbTXvXF+MeAmxrqlScKe8wA8j08s//GLCLFxveEQjnrFeHE33fwW/TBHpc
nOOomDbuSzgsta+jdf3yH6YKR00jKgXOtMa8k+wkKPGwyCYiET4y1uOX1p1/zOo0nd3S2/OU2to9
lA3oApNbSy7BaqIzkB8znZAHGKzyr0lYUUC5GWusuNN/v31m0q2bUENGOGsV0bpELrBc1Pygj6UN
x6zU/i67vPgwaHRQDTv3dlBa14efKhvlGYhVFPR5wC6nlohFtEOmYL2aLFmAs071rh2WPXXP6wW8
HGUVZuBkl5VVjhqB0HPty1CW1Na0svswjbQM3rqAXDGg3HhR+FCky5cT0hQxt3G+SNho7HxCqfWH
slT2nQdq/TEvhz287vULJrv1NF7I3gAJr0uH5mhpTaZG5cGVRhkVSWrrZ5DU3qnTIlB+wbfYt0aZ
u03Y0fKcZYnYiQuuzz0/waM2QB8fYOUrDu+PY1iHWP6oCAIdQLi57UEvzfqzNbX9Q2h4yjlHoebN
Ao1Y5EjRDNl7gfKxjlKH0qTP4jKiSjftmNWJdl7c2KMBZe5JIWztHAbDnJXGNxAMOfk/JteataC+
05QHxGc6+sz0K55h3onez0PL28F6bB0G1A5kMoOfFonT5WAgwTo38kYEEU0Ir/SDSh/b52QvDJBP
wGXUI2ck4zhuL9p2q9OQIaWIdg9qX0nTmtSm7MHP7cGmPb3oh9SYvNM86/mx1rv57MYh3f5QD/+9
fUyu725eAfp4ABgoVF7pLqlOFruVqxeHoRo83xjJpEqgIPeY0qdBaE7zPZt+PqhzMewUYbe2q1TE
Jrgi6QDCc7nI+MYvTlhzF3SZO7+z0vl3bulD4SMzagcYn4zH2zOVKdN6tdFBkBI7PP6A6y7HS3Mw
ypHKeKqz/Bq1xez9qhzLpynunAAh5trv4y7eoYpuLa/EoLya3UFbXg1aIU7S5F1SHjyTrlAbEk4h
iYDgSmFlz32vZecs8ZKvmtJHb6//OogGSJ1hVKFkOfZyvmVSd7SIEIZV6j4ODKVs380x3kAdSlGH
vLSqwLbTeSdN3uAE8RjTaacbwpaiHno5qlK6tT14iGRSnEUxqfSU3AyS3DZ+cEVE3TECQFLeKyiH
dr5wQqyEcOQV4JEHKbbajvoeuEluo9VnBw6CUZpkKAP4Wy8DQWCfqmj5LZbQ/CZzlgdk9dGu0rtw
583enLxn0vtDqAHmzRrCbdVRa5n4mhzyzB4PdVpktR8jXFD7RLI8qFYyPFVjvHwDcU4URsI4vMxW
1J8bM/WC29t9A3YNc4ReEnOn+4Dn6OWXmLOuoIyGlnXhxAgodkvxfZC/YtLC5M7F0J6o2y3uLRRI
DpWnZydhm3usko2LVGY4wJMpcsm46fI3aF2IZLnCbwAtMGKIMODG3FZ3b58p/kkM9OrhinTd5Sjc
loUSZqT5EcGf+tzE1vhsurOHboHIWGfi5LjyLQJR8aTYSfw1zFMxIr1ikmfe/i0bYQCtZunnwcLD
hVgt+pQqM0bRUXZYtLZ+6Efdvcu0YnwoKyBiihEaD1U35AFKD/2XCa7yznVzvdlBJtIQpiFCCEA5
53Il5sTUmnpAzmqZC7DQWAIGk6HE/tAr4nB7ptfX6SuphM4LDlEoz8k///NBzvt6SnC4DUDyeTB5
tfrrUGfzIWym4l7BteWbOdlq/vZdTT0HBQyI0KTs/OvlsF0ltAnTBg+/lE6/a+H2HDII6c+Qt8YD
3qpcbYutf4JfcTePbvWoTW2x8xuuvjELa8u2Gi8nYJBXca8/Zq7kbZt3hjYGs5YAK8sSQKHoAVQ5
fKlBcXzNXayPcTUnHYV6MZVHyq/5/RtXn99Am5rWJWkICe3qQ48K8AodbA8SBFb0kM1ddXbMJj3G
qeK8jH3u+d68a6Z69WK/DkpfFvEDKTO4Sn9are2ioa4RMlSqGq2TuL8La7M/tnPxTYnC4Xx7jtdl
EjmeVNqBVgiqYh3Cw9AeDKSdR4Q1C+9rldv1g/Di9qFelvlgoAZ113n2+EDA4HwQfRq+4INq3fWd
1z9Vk2r8aKJutnY+/tWDLuuJAOto0cu4ZQ2K5DrJUFsU0rRccU9lVet+HJVdYIp88i0vG4PMQZRM
H7Bhvb0cV2dbjoz8w2t9hmB9tfMtXD+9HoRA0OVedGxEIw7Q59NgdsQehnFzkrJAKz155JiXh6yg
Q2xirjcEji2Ud8gvqj5kXu1OFGl9Gj1POQm9Eb5Kt3cnJt4cmSFlPk+Uvxae8eylVLyaSbrWAG1P
TI32XIIa+znrS3WuNFe8YGIpQnzWVWMn6t9aYPltwSjQz+UtuZy13tadsCvGJn4ZRFAlhvFPP6d0
ryvTy/Y6fVf3J0kpDwROYZB2ACeuTjDSClPZTjAp3KIuzssQA8RMMNb9NI7teK6Monlx5h6TzNu7
aHNYYhMyD9r0V3KaaMgbnpiyAQptsZxDY7Tv9HLCzDVdkqP3atRSJGJn6258VYQd0QEGjQAMa31j
gr8mkbQRMWwzkWK3LPoDLvKG30DLglUwhL8MZ4zuuyUdTrenu/FNoZGgZ/uq1AIv/PKb0iLXBhgE
6NiWankP4z977xpj/q9Wa/rO1t24Hanl8h7CXpEdotWhyebG6Ih2h4AQEG2aAdslbDbq9invDfO5
rCLx5fbctj4lcrkUfolvJbD1cm66HqGH0zYDbpixeYzSOb/PDQ89DbUUx0SEKAZOSflWphfb9hXt
QAmMG2J9J3Mfuxow/gEkVjydQmTmHsa6jR5hfMf/4dvRiYWlg8YszZtVBUdlOW0O4hAIZFDPSSrU
Z3cURZC4ffj99lK+rtVFliCnBZ3MplJLq3Rdle5aC3MHJxoCJdX6972SpaBmeVOsAFKrF/sIKybi
NJtab/uN4oXfvWjIPuamF45+GqU9DLQmg4YSGvp8QGQz/2AoumIF5ajGzkOXt453UPLQ/MsjJH9O
yzz60aD5jwNgR5fBnykDvxlMRj2WIJQTB9+Th2p1nWlZW6vx4HGV9qn51Btde269ITu2mtc+Agvf
69q/WlSs1lBKKstNIU/6Gmtpa3O0GA0hpwBN4WINgnf8vxTNcstP83CMHpZuzL47rORyN5RFUbyk
zZyPB4qniGr2Tph8cIew8HxLL5H2oATbzd+mfJrQsbCQMvaXfhk+5YM27kTNGycXHInkUHJ+uYlX
K0UbNrfjUJkCEjY45zjRRb9EbzU4UyZeHPloeSTOTqJwlRnxddjX1OjJFYnZ5W/6I4jU8BsTY6th
mVbP9UvkeT87vdJ3tvXWIFi5UpGXCgLUWi4HKdol0bpWJ2SI896PS9OGDFNmx9uHZ+MeouoJvg0k
A6CmNdBsqWs3UTuFWFQbljs+6XBvLp1UD4jmu6VAwzyLPW/nSdm42A0aOJQDpVsv6cDl1FJz7rxi
IQ7LhCh/D/MSL6dQcQz6DSjA7QR9WzMERIe2DfuE6HdVxVGHpTXSiIi/rhNs04rZrF86hOe+CaQf
0b1IxckVkf1ye103Xk3qyWDaaSijGLpGe6XtqI0VdJJgqtSuC6LSTl7SGfnHAXNeJM5yK3tSzSx5
zrtR2fmmW8sLig/4IoReKnyr7QlaL9FKj8tDdgWPvZjV6EzPo10kIVAZdx6VrX3KBpUse3D8V/SM
UvUmMEvxFDhlaX/nm+u6r6b2XsVxa1LSeRZmDPBe2NmXe2bxvEZY9OMD3PBmzJbr9nGYauMBsQ0k
HW9/vK2xpOy7Q4+X2ua6ST/xOqtzD8y5p8Z1sOKJcKfVVPGUZqL9D2dBqsvzcBHrOGvpjhLJSHCN
GBAIDfXwkO0RzHR6H2ZVS3dOwsaXIh3j0qZ7K7GXq2PXj8uIDiknwVARIG9rM3zMSlHv7IeNC5kC
Io4g8Okk7E7+ij8uR8MsO6OYR3ZfE9PJGGvNoXtodYVvDXHVPMy5be8E/9e1O5z6wAMToaJgSC18
9QhQOml4ktwBnbU6UY6cbvVfKFPmMzpO82+8/MBXaGlbg7LwpkI9ZElUnNVGaXXYcBViU2/ePzL7
hWgib1YCy8sliIsIoFWZcnVTRvHTaXbABvTVeUQPZWfqG1sV5BYvH0kXhfE1KTkdJz2lzjFg6VvZ
Z6vt7C99kxpQ5bJ8Z6iNK82iSmfS2eSwA7m4nJVN2a0XPZZEQPjNk9cXvzrNGt8pjj69t5ZMvXMb
fAvQ2DU+vHk56VBLwRAsBaWcx+XASccyhgZztKw5fhfltUE4kYx17quFMe+IbGwtKPmMVJTn0UCZ
8HKw3oGW3M9ILZROm33JUsjPqmJYT8B00/vb89o4KVLXjqCVsgz4tNVQZmPZtYohARxNZXw3t5p+
ekWPtuzwgyHGPVzaxkvIeI5sWCEMCxr0cmqZp7derVlo3Jb9cIqokPnK0Hyxtdi4c3Jvui/VXd8t
efJWcSXXGt+OcAnTxDXw1FZUBEyToQ9my8wKP6JH2Prm7NnvIjQ9ar8yhuJbzn9r+1HdVJ91N6v2
fBs3PinVNqAjnBRInY7c2H/cSL0XalD3WOfIyop/YlPJPs6qNz/bbpfsBe5ba0zRix4nvVXkn1Zr
bAvLTSIzJq/DwPy+/x/OzqNJbiRZwr8ozaDFFSjV7GaTbGpeYMMhF1pr/Pr3Jd+lCwUrGGdn1/bA
XWZlIkWEh4e7PplHWqSGtwmu3AcpNgehO9vTC99a5NeDrjZSpybqElokQJVV4Bi22PNDtoR0GUep
jWt5Ej8Kq/iVk/xKtbf/8IJRCKXeSuUaYZqbVDZVzDaSoyPuYxzKUa1OtNsLnGKL9nT/xGx9Sbo+
qEqQNfO0rL5kY4QhWBKrO0XDfFEL8q6MLpRDl1jqzlB/GmjWO1eqaVGzpkfgJuDA86doOtQHfXuw
2uPSVMnjIrTksVGj9Edpo13guUldv9S95ptJf+mr3Kq93Ghiehgy8yyDdyLoxfqFE8KSkHP35j9R
j6bq/TWRH3f9O2nFkx1Hsp/TWr19zrRoFjRutO/mQvyyp2jSPFyB65e2ov0b7RH14/0BNz4C3RJc
WXwIlmYdRsAZL7o04TjRmYZVpZO1b3Mw5ZPdhMvX/zAUvU2SmkRJZm1goI/gfc2g9ChWN+JFL1J4
UOmcc2/Vg76TSG48bzwuMPdZRQKkdcpNuaDOC3Pu/dpBf1roFBxbzvmnvkgEiphFdakgU3rNhEHf
/VluxGWMTFQmVXjAL1dxmTa3AN7m1PuZbokL9qeW79JAsLNPbmuKkCLAFCTdw5Vdv/LqenUN1hWZ
xmKwoUWu5W+sJn1v2/V4HJ1QHI1QBC/j4CbepNDvFFYGUo92sefdtLl1pEeVVNeUCOr1T3Bn3WhZ
CF4DhVNrhI5xEA4pLrzB+XB/UTeHkhg/kho0cK+tsNpQoU0qcdil7uxccBNI0fBM1RO3yl+TE+TC
Uqani0gKaK+ZNI4SZtFCUdB3Kzs4xgNwURdp4TmMut7vyJ+RFi/3Wmlu+zL/jAoxGnFD6TC52jVL
ZCl5VOi9P6ClflpyOz0iO7g8O6jRXSge2/OpKo36lDqJjr1imZWQcYPhKVCy8aRryXgexIgynx32
0TGDx3EoYBfsCctuvIcyMJcVJ/6Lg3X9xevGCZMwUzlVbTi86+M54Zko3Tf0BSYfEWJ0DxaVxsv9
b7/xHlLlI6EiguM8rdkiBjoJUKnYZk0/DQ/0mzTf02SZ3yrLkpyHPk9NTwv64ClpkBEQUa/t+Yhv
zZpTJlnrOjjn+p2akg5YJyLq0cXknLPWmR6bkBwvNOL+UAu8NhZNZDucnK1rRO4DlArApNiL10sd
d1qrlcDz/mCWztsQvxKvD8c9t5Ctc0XNHbRI3iTgk9ejTIZWIRzOZWXUdXtUq6L4t87b30FSdzuJ
5K2YlmRxkW1Q8ZAKLWsCQh+wZ2jM6/2qDRwPcUnxriq6b5bVFc+aCAtql4Z2UEIxo/VawNlXyhZX
+Np4KtI8+n5/T23OW3IEJVBG/WUVepTDGA2pJp8HM+hOeid+ojo7fKIAUu7UIjY2D0+QidIGSCsk
5NWRKdpUIzYPOj91SyX02qIXD4WWtIaHhvnyLm5K/QMmF3tkso0JShY9GCAeN4jhrCa4JG4/lEvd
+xPw3A81qB1vMjvr3ZRPu93vW1NEUx7GKngzogWrmCVC1j/gHibz6RXjVFXR9BkxE4AJbbR62eRq
H+y6aANv7NoO4yuUD09pbNcP8M+Ls2uU8+Q5RZIYx8Ho3Qc3pgJ1CEUpjqNZT/9hy0Ovo21OcuvJ
3OVsXj2cVaY2VTy6mCFHgLCZG8WHLAmSJ2to9nqjtj6CwX0ByvWnSC///NVQk5jLXtQVC1PTNBdP
VfAz6qv40bJLe2ebbVwXMseVEQGb+kZ+q4ljkYcMR9WEFXNbKz+qQad9un9sNqJTqA5SYRgyO/Q9
+eevJlTPI86YPUbSnaLNiP2OufuUQZv/Xk2d85yItPnf/QG3VpDkS3aYETTRWXw9oDGbzTiXOqcH
XbiLYXSfVCHwuonbPSm2zamBENLPg70zIMtqpCir6npkJPTVCA5pXvPjMECvKFOmhz4pop1XbQvl
ktGhjINBDHB2uB5wjoxQs2vWkgpLAOFRib5OKFi+0Y0B54YGas0RZwflm9Kb+lPaB+JZ8PpehrTu
lb9HuIj9CVZlexHp2OqztvXYDHg6om04NvW7LMj1Q42TfeRZfbLnZ7z1RR242cTm9GQgyH89bUjz
Oikt61zlYZT7aA+Yb9oS4URPF+n0cn/7bN1MYARg9pBW4LuvQK5JNJlYKF75JUJQ3+O0T7/VkFI+
lPRsdYfRWubC06jC7bwuW4fRVVGAl7ABHZirT2vYLX+zaXR+PgX4yHZpcBJ9qZzuT24jLpKmbFBf
mB7VgdXZ0OPetuKGURK3Gw/BmCge7Xw0Is+56dNgmj4FXRY/jSXu1IE57OEw28NTmCB7p8y4jv5F
OIkAaS/ugpzO6GIyK5reZv2oL133sNjd8qYz9e7sTq6gTmsEO+fn9tNC6uTUEKhDsrsRMmnGqU46
AzpBqi7L92nInGOAWl9yKCcXZDgP7FF4Q2krO1fg7f4l2+HfwMFEZfB5r/dv4VhlWUTR6GOyA0Qz
58r71mreNSZH9f73/RMRXWMBFAw5lSRYMAlB+q6HmkU26UkLPoJlbWMeR1Qs3qsxdqteNDfpd6Wx
tHOg2eLHtCTFO8qY2hs3TqJHiYF/q9RBPCF963wslGBPam9r8Sk9ID9KOibxsetfBoek0FM76IFK
Arp9WgXDpQa75xIHqjbCINIxvbhd9hhft1uOwwy0Kql23CBrA9oOc2vbwPPLd900r71ycWZI6q3V
fodzqFo+MgvJWR+q4Ue0oJV5SvUFM6r7X+X2neA3IDcFQMZteVMgW/K2sumGG/yoHOpzq2TDcxx2
1ReNwvUn6jR/LeMhQU7+f7TnwbujBf96qRc7KjUnBuYdc2AnDI7SQ9TgbAazxdo5UhtbmxnB74D1
xW5bM3R61JLtJuPvzniO/ToaQvgsjoVUU7HXILM5FOJo9N2T24HQX89KJF1h1QZQkOJGz6UjHZVy
Vy0eLa3ftSPcHItrCj4QesSELtdjaYOdhUVFag1SojaPkzlW7qVMMbVX3GL+8tfbg85c2VEKCZp6
7epkRJEbK4PLYFWNB0IQGc+JvgTxIRrt/KDOY7rXgnz71qCmB5xFkIlPJ4/B9ex4BWIdM2KATQgc
z3Q5wvCuuAnuT2vjwMsNL/UEqGpCzrgexWhSYXYT6cSMKPB0iBx0L7wqqtPLPNnup9hqtGNSBeVe
uX9zdhacBuITYvYbsD/UrBkjay6aQDij78ZlfIbDoezRLLf2CFcskB2XGnxH+TteBbZKTzsOyDEA
j97Aom0h8ebIfvgx0Nvh/lJuDiX/NjQ9Zfy3GiqtsiAZqUr5eqWEPlGS+iYfhn+NvnB2MNANjBCt
OqokJNycNAL261kJ9CEkiMhl4bS13xht+assFueQ1Ub6UC7CejI64yUcRvVnEsfLV5yR9prxtj4g
QQpnAtUL7ufVbFHFNjsXpT4/oovKD61lOaHUneys6cbDQImPCoKN9hqFqdURxxEtL5ssh8E5RwvP
wBg8DOacH/XS6d92tdti1teBw6Lafa51d89haOuTwhylNAwHHXh7Fe/pVaNH5kCxpl/i5DSJtD6g
C0Bp1Zq649/vHoibkOZl7METdP1J22gSTl6UmFAXiem39ZwcBhO7v8mo/7qlkL+d6IM6EG3o3Ger
Txd2VJ5rBdIfquvtT2Voq89ulOQPEdSwnZ26sYDsDpreDGxdaFdaXS/53BmFWCrqbGQhByOP6qOY
7NHLx9b9+/cblTWL4Bz1Ue601VYZlWBAHgU0UVl4AWKtG9DXlvq3Dnhb6FcpJjL3P9kG8iXbflAr
QXANYuOaz9DkZjYo8l0tEmzNvDxbSvN9L8ZRPZbtVP9rdUbcQR7vC5O2v8T+UOe2SntlG9jvphTb
kGNoFWr/z87P2jiakFXpwHNlXzzFiuutlExmKCyH2yErpvokRiutT3034srGpVH9tkzoJD4NiJH2
pY1G622KJVPvJ1lUPBsJDgdPkxnZFAezXPnY6VNa7YQjG4da4iaIwlPjIB5ZnSqEciZTiRPQE8jQ
BwuAyEcX3ji6dfournFZ5JlSL8Nc9wDgurFTYNnakppmYNkE8qtDsb1endI2ycgtJlxFeM/CQxeP
caj+VHpL3UF6t0bSJdMFuhUtBe7qnCVuFoqaJI29h118WQJ7wrqJfHOZxp17cuMZl8kiyyp7dyFE
XE9KJ9qKEHoimIzq+bFqwpkwtnGgXsR6eK61GeftGhT9/k6Tf+sqj8F9x+Bx5cEjZ1jFRDagakuD
24AaWTz6ozZl3y2zLHYILRvbhVFsyQnkYqRB43pu2BOpyWBAaFExyD3kS6c9Rm2q/+MmiX0SnRGd
EK2yDrEbal6ptMbL/Un+4QCuZ6m63CywMSQOt9ow8eAaGU31g98NOGBftICGHF+fg2Cm0U6NAj+o
aYw52n0ljGMQld3k4TrR/k7o7KXftld+1EVUn0s8iE5DEEQPI8qvn1uRxtYxTEejPeljpAkvzqIW
fGjkGj3GZWtVpxk0jD5CMxuzN7YpimOmh265M7/bbJQQQnLcJdwAnLKGG1LcvjqLyAgbM/dLXA1n
N7BkAVemo65wqUzlmETNM+1IOUwsVV516OV/y2PrQ9Ghf2d2H+4v+c1uljsKVbU/ff4EU6tXIzGH
NKZkCJQUzuZjhxpU6im1ozyG4E4nu3NopSbg29PYkB/y6kP/GZYSGNEM4PpaGrSy8SHLeDj8cHZd
cnO3PRktRNclmG0IoWm7837c3A9/Dg5kEsaCJrE+tDmwVYWWOYB1bbvnqh7GSxb0ud852rQT5m8N
RbuaFBBxiLnX5A+S2wRiOsUKad186EyjIZnoZ7yn1T3Wtby916sIFYC6HgmgJIFeH9e+0Mw2zgfa
tZwmKGnV6ox/8lQNvtKU2R7wykRVMUmm535ejJ1oY3No1E8lxQUqwrp0rptjmSjGyAdcrAjdW83w
nCoZzs40hk+TlK7O6ybz2qn6az8iPiUN9vwH1Jd5r+6oVLSYnLQwiBMa57wu0xa0wa3xGGTNnrTz
1i7VYIbSn4mCEL3n1+ub6o2ZmO7c4XrZZh5A4nyYXCQ4c9PMDstgaTv1vc3xgHQtRiMIX1fUQCL5
yJQBfEURyjFP4LbXhoERjoPVJkW+vXb+zfHICFlLekS4j67nR8SVTOMSS4v3dHzp+to90BVZPjRW
CMGkmfecQG4r9Hw73YaVAzOHfGa9oJooa+DwnAioQ13jpAhMaU6RoKfJ13vbfJcnVu4cdNfueXdc
Eb4rFaMb3ytRv7D+STSOXtHqheM5ae9ggVDQqskfah/pvzf/OiORPxax+z+mvuTDq9Uh95xUdCqo
m/DcH93JSZ6DmKyZxDb7dv8Wvs0yGQviEAk66t4kmquTHI5xkS+VoHIiFPGNM1t9S43FuNj9rP7s
moIOWDVvqHpxCbwYwll+q0rTOzvx2tZ+IKlmNwC/IJqzynWDmT6EBNl0X8mC5ZBG8fzW6DTrqxLE
8bfKUbIv96e9NR7+LLCTpYcQKlrX+w/pxoxmtgb4u9f7d1OQdmjdL0OL602QpIcurvZoCDdhFOvM
hUWzoA7iCtR5PWIdppVqNzU3ZluKT7RBqh+iKNiJoramhbIpHE++qCxaXw+CX8uyjHbV+aM7W2/a
Ov+YtFDQzFSQAEyDdrm/ilsPzuvh5M95hbuoKnxSxSk7H+X+/BDFmutHyLoe2jaxjveH2pwZgIdk
K+lUL1fRgtPng51TgPaF08xPYJLKh5Jw/FtFPFd6YuYK9v5+RNAAqUDBhQhd5npySuBaAXl85ztO
PV5cp2s9MArLK0LTOmrQCneOwG3rHDsEcUUiPzgjZLirKdLPZpqTzpsaDZMeHc2u1T9oYDrWiSp3
81GMVZdgnVZP8RFT5jk+EuGEtmc2RfcZ07rZ9tCdUDM/ogBvPnB90DFfaNoQeWVWWboXK5n6Pola
iFBmpqUPCV5vhjfoefJrNPAQ9gakK7Wd77a1RcDJuMPQ85di7Ner2PJhrNJkFV17wTYaOPfU6aly
dik37yQqW1sEzBYoR0FlETTieijbKSq7MClpFVM6H5shN38CkKX+aJkCFWBtL8Pdmpps7KGyzT1C
Bng9XqQseqwGC+NpgJuF6HW/QybkbBjB3l7cGgrhFchzKODR47waSg0zA9CREq+dBTH6zGP9lMwz
jTBtEe/ksxvhFaACuSRNzZBK15X0wRTWYMxR7/cYnP8OULMvvcqYB99SRP0G7mV+HCulPIxmX4c7
R25jmuTsEOJ1qiWcvdUd2bROGpdVAWag5ZVn1WZ3SaFJerY6pqf7p3tzKMkShBdOMWrt8WKrc6PX
BcFGHIf/G7pSP2lVP1COGpOdkeS3WYXKdDHjWkPlC1nMNbxYpRHt2AoPbFiI8pjIzn/DrPZMAbbm
Y3JvAKPymt2kGdy/Lp3ZzKcz0S71oroZv9WdNg7kmlX28+8Xj2eMui2sM8hRq+80u61iYhnX+2jc
xb7ox/ZNhj/CM+Le6uf7Q8m/6mb1ZHcidwj9COs26QnLRCvJgFdUF5tITSvds74M/SlNR9NHf1oF
mh7/GmWU0sRAjMQjIBKkUtcnGwnfZql6BoXbEjz1PAMI347aaQ7oMx0gnu0kbluTJGUjl2Hvy7zm
ejwtosnFRmbK762uPo5GP77gBm5c2E52QR9VUz7E6O/uJFIb96VU5+ZO4YGTxcnrUZfJaE2AON6b
urGPWTE6Dy7CM1g8o6gHEXU43v+UW1uUyglFKJ5vYMHVrkmTOCyRlW79sl+KY2r3yqUU478QufcK
ChvrScc2BVdcjMAA1w3vssrQtbZoeedgNUdBpX1NjQzx91JRaBWwlUZg+dlpxo/7M9y4O6X2rewf
YnRKbdcrymUa1I2M8aZGnw5OIkxPnbLybZkbizQP0L2kNCMKOHm9k7/dSrygdkpaKp8hIJ4bR4MG
cxy36TE4tZqufElpga5BHIbxXTeAQOOCovt2ouSnpO/Kg7Y03YfWHRG7Rz/632pWmmMokvI/YC1c
SfwsNAHkc7Jaj0qf9N4sSZihv4xHYdbaQ6jrgVe43fxghaZyvr/+t6wsuQou/xBE0aSwjhL1xonA
nMEGVAFM77eiJEBKtTx2LmLolxd1Llrj1Cdu+AZ8tlQPo0iHxDequfnf4AzEDvd/0MaW5/dwqlGv
lSGC/PPXAXIdO6Gm8HuiqSd8rAoT51ftO1DFf4iPpWYAJXJpLgvn4HokHTY3WEsCYIBoRXRearJL
b7b1DkqnmUfPiatne7T3jQuEqiSgAY3xxMfr4rWt5mZFk1zr0yhbn4Ye76FZai/nPFQvS4Yw2v3V
3ByPN1QWYni2102PCG9a4exorW9PpfWj66bK70SmUfAIqSlM+V8r8bObpMghcDTiIDcsXKeL6j7r
zBaJFyPwjLFVfB2s56x14r8MxWXu4sMiOxfWz5xY7Cwya7WlM0mnBJrU8dtpdn8Z7hi+/P0iEh4j
GM8jB84tF/nVltSCJRsb7NERGbCii9ki3Igb9TdhtbhKdeQC94fbOgFchLInHWImPI7r4WJ0G+eW
vMKfQrP36K5xfaOMO88ad+G5jUCLTyUZDgRAyAGtjkDfuCb9zBGAsmO02D3H6gV192bnpt3ahJJs
CaML9hQvzPWEqiXGE0+l4qcVmv6uFtiXaBDKPLsqFY+qbrETj2/eacSPcMHh+Mve1OsB3dhsk8zh
lNHMUnCHAArGZeceRaPGhyUd+9PcOeJAy1shNVYsr9fy9hw2trHzS7ZmLluykGyjqAxv7/qHdE5D
t4TG+606RerXC97kWmU33kRV6lDXqGPf3zpb3xP7C44eC43r2ep7xhR6uzjme9ZZqJ7S0Db9xnWt
9/dH2dqgko6GKSCaFAR917OKyS1Up0s7v8H//Agc9qtywvqlguWxs35b0YEshmIlKi0P17xSYMVm
1HXiLQv9aT/G3P57MDblE3BHDvgUL49uipgMsUP48f4cN1eSQ8/VKVlb61qsNaWIC3fgNNGQq1+L
Mq7gctAHc38U+T1WoTqpsGzxIf9AamMVT3YDLCerAqKhm0BcqP3H32O9qJCHHKejPrYoAiD4dFHy
QfHVqY93gq/NDym5dv8//FonvqnG2MpdJpnrlUXlezLfI97Q+LS5xZf7M938khalFkJ1hKr+CPi8
ukNVLRKaKtiZDbnDoVRD5cweRavSSQhugkX3qbY1p85Z9vpwNs8gcySOlnbC67RVJHG/MH+8wUWY
QFCblYMRKaYfEeH5c00b/n+YqRwNPqG8v1eZSWLWsi+L8co8yp7dKA/O8yBbP508m9Jj0BriJVn6
7mVRnXLn6fhDYVhvKAI5CJsA9tCg5Bd/tcxW10FacELgRUot88NY64OKXt2SfoH5oGgPZKA2gmua
iN6PSR9ZvNNZesyGKEBKAk8gy++SWnFpdIAM6QWp25beNE3K6LW1rYnjbLTKVycZxgZf9kE3dtZu
a0NaYJCSt4iI+LqJR8ya3iYYjPqo9/dHInI18iZlQdisQhf/r7tVCFZej7a6LecyUYtEk3sS+a3T
lKUKZeY4j9/Ei23s4VFb25D0H+UJLBaxllo9giO8t3Z0QRu0rl58srD8oqCP6jvZXJ7ctop2Lumt
q4UvSmcMjzuP4WonhEue5LOgaAtBWjzqaEQqnmHNs0I35zxUfo0K3njo1T76kmSm8+80G/S03j8K
W5coLXYSfYYyT5f99W5M4ygSVtoAjGWR8rhUjfnRsvK9/tVbIgLfkTROEnhpxqLn/XoYja+XBK1D
00MZLek5xv/0V9iMqOALdj6yv1bwKS/wSUJ7OcsPsZpFv+3AqWOKRRhdghCGlFHGacrfikIPugP6
ucPsjUJfes9p8uVH1Vdd7jt6Xtle0ooAVTHLnCJPE2pePcetptJJntVFdhidrv5rZg57gxoqWAfQ
ETrpq4DQrqu0yWVn5NTn1rvBCSpadZX01HXKznu7cf541mWfGEVbWp7kB311fdRLjd9OBaqS1qbh
IWhhXgixAk9LYEXf3xu3AgWS6Yn7J98MTOymmRo1UQIZh8zfDZKk8O2qont3QR7lR5xo4gPF1cT2
wgT51Qf6hXrzY1eVFnvYDMfci00LU4NlTtS3DiBY4yVK1cdPTduMH9qZpTxVIY7QO7npBkgiIwJI
zrLsRp/C9fIssILnNgHoNeAMnOLZrI6O0ArfWrT211xGVexVeWmZO7fiVjyLMgJonqzhS/rH9biV
nVl1HJFqN3pmPIt2NA/UN6LcK4FFaBNGFJrO/nFIfSelJX6YhetZjVMeOeJ75iAbW4RkUgOqAXiT
9tDXvwV+e7fYi1v7yELoP+No0I5q7cB3bYc53XtLNxac7nAIe7zdNC6uKUaOAHJQnYG3NKiLJyft
dH9oh/BEyofMZablP/Ay73e+8sYMGRSMm/uECHBdWMXiCW2XZoFCO9bIk/e99mD0ioK9d/cfSj3S
QRkkgOca8F4+Gq/PG+puWus0rd8aQ350KkqoQzZpR7RR93CVraWUpxpKMgSUG3Lr4jiTmWdkeYOG
IAS8l8xvaVo6WxUU4QqtwUfbiPZir62llEtItkD+TEvj9fyW0bFCDVMydCBr1TeSpDsZnQ0XIG67
nQBzcygCPP7Fa3DTD5qNSmwOcdH6Ua5F59At9HPnVuOh6Is9et8WAYCqKv0ptMPQiLCmmcexUlL5
B3ooYk5aSpuwT/0nOk7ajIlNhq6k2ZcYTMfVdHBdKuTKmLY7qcMfSctVqAfqAf3uj1gZfNHrtTXs
SqkGRFh9qbden0o+6yeAivDz0lQ2Av+pwz1ZpSILL0470Ns4KVVVeXnXZQ43lh0+2upErQ+oz3oY
i4awvEHr6/P9a34j7MGRnED0Ty0flPX6Vw5RXSILojW+g5Iy9ZxoOeq9/rlt1OxN4JrhDkC/sQvo
ksPQBGSPmGBNLS2VGdKKBf4EOyfD0Tso6bIMwqeqWpS9B0wu8OoDyLY4hEBkGziW8tdTI9gbAn0C
ZajqKbCO+mz3B4rcOkJfQ11cpgI7dk8NAgyt9VmcE/yQc88Spjj99RLTNidjBLoeMN1YbYQK/MaO
J+AVZZgxJMbh/hBp8Xw03b55LIs6/HJ/vM01hi8nW3AUyhKrS6tSSBCmhaRcd3sLShkWgMAc3ZsB
SOCv4xFyGVfn3kKxgftjFTSX06xqnaVjYhRm7gVTEXy+1Eg55XW3Z3B8Oys5FINIfUGwmtVGbTGH
x7rZavxeKaaTSXewpwxBf8qC3V6w2zMB1A4JhKojLylUteuNM9d2agRlKPHEBSVzY4geKIJHx8XS
ao+yQP1w/4P9gUKvdyoLKEVECZpkkUfO/dUzg/iqXVIhY26A+bpfDI5ZngZBKu4NnJF3SWFAv8be
NiWAMTvjsUwNF+8AwwlbJOZHUgd9xEHDC+wiT48oRelvkjwYfiVOrp2CIO7SQzNN6hNrh5NhhR7z
+xAFj+h4fyIbFy8oJY8XvGpK++TX1xMJSjFbSioaPzWM8TcAfv5QonP3UOT0nHm26LpjOgn3XGPj
++A6gfIVuL0Jd07+1veTriKy15mtsu4ej9F0Suso5ZIRlnYUoS1OStub5yHQNPzsdw0XNuI/ZCbA
9SA10vBD0HU9bbeJdF3IWw0fcfNtMY2gCXqXiEuVYVaZJafIMsanlJvP78LJPnTsW9XclT+6DSH4
GQjvadDNmfu6f8KYcU/tO55YPTRGzGXs/jxl0YBYdUvkDvJ4SY1kD+bfWGyiTajYAIDUTdayMBWJ
0ZS1ZuO7jUPXj13OT4Eet8+jm6Y9rd8D6sL3d9ktVIVYI/xKWmg5MjdBy2grRRlI57Q6E3ABamX2
s1FD1rym7hULYeJTNyoHe9DqT/dHlrHz6pxKbRpMTaidqISF198ZOHCqxgoAbo4mw6+KMnnrLPtC
DJvD0FPFP6QViMJcD1P3bboEk9v4ilEjKxFYc/ngtPPsdYGWtl6HMFp0FEgbHsMZ2DWJRfJpzGP1
oLhp9KFzhqw8NUEUnZZId3buqq3PTT+uhMshnVLeuf5tokWnUos5W0tSap90g/aXZrTTkx3Ccjmo
ARjf4f6ib+1qqfBEcwiKS3grXo9YB5YCSsaIQumKYx4Zhh91jv2uc1P05wTPtwk6tjPo1jRfD7pK
6c26XHJLiSi396lFcSKpD64gcjCsQHs3BNNfq8OxojIMo9QpzUfXib2ijMkYpjhLWLM7P0Aua7w6
aMQRk6LF6+1pPAJaGmesn/ccwG9mSh2C9htQILBQYvPVTKvYni0K/PTCiNhuL4bRhIhgSAsMxP0y
JT0XyxTu2bfIHXx1kMhLCYhI4uiShP61wtWDJUqymeqZ39NdnZ+1Xm+fzCZQHwtLDfZU4W6OkxyM
Fhip7gH2+idQf/W6zm3aVVpZkgGHi/Yu7yft5NaF/en+Nr25lRiFZngEfCSCflvaUehgIqCDYDMO
0Ye4okAA1bICwbYXjziCBkkQzENbznstybdECYbmHgTBI0U1EaO7PiFSSLIsBRDZ3DjqP71WRr+J
aq0ZIVSoAYRiujSc1uNfWHcvX9A8Cl0vnCr3OUgacz5WGWaZUMGD5uX+ktycXPm7eBEAF6EtsfbX
v8t2cnUSHZpWTdK5ul9XgXqyxyE+hAMxW9NWJlCIikvC/WE3vjfayNQy6SEgDVxHU7ZkPruSam7l
Qfq1KJxIBSs0dunPG9MD95BFZ5BTSGryZL3aV0SfdcNmYJxJSc6ZETmppzpTrPtjPTufwY1J6oTo
h5/357ex02RFWKP/Bj8zWgqvx00RHKRNhXGXkCJt0TbdyYlLwysjdTm6i+rideUYHpjkHsX8dmUR
7SVtA6WQEfi6UFxPUKB4e1C6Tez+rRqI+WMdd+0OvnN7IxE8EunDryGguImG+yiZmTjZe5uErp+0
g3HBHe+fZemGSzSB895fztvPCFuMzQKJC51r2PrXy4lDqNvrBuX8mD7mzMdYpz2lWhdeEt0MXgJz
1N40Iqn+NhGWHDXQkD9WgOzT1TuaVwOZqQmfa0GP7RSW+XQocz3243Sqds7D7WXLUNxIkrNEHrym
NnbGYCaxA4+mR+b7Z1ROwa8pydR3CfDv1/+wlrL74g8ESax0vZZCjUaWmoKliYi2/TnXwjA6WmFM
slIo6WhD/MviM348xZ6l4eYkCUBlLQX1+XVVbxZ63QD/chiVOjhXlpE+Onlun3XA2Z0Nc3v+SAzh
+3HmYRgS8F9PEtU0UwgNYIeufudcGTT9nd1mGc66Xju/7VApHW+eTfutUUTWTkX4NsNi39CkJjeq
QglgTYoiEsHjXnDmwqbRUi93lC6lbtTXKPyH1fI1NqwxP4XL0HwynWL5nwtZBQHhrJ/Uj/e/9cZl
ACgqYUNiB3nVXi+DCKJ0nALqqGne5tji0Fjqq1nh6DvLvTUOeiK0/8ks48aWPVRhksLLZk8ZefMY
aqI+zVq8J/28dem8HkX+ileXOQh+MlTo5kDE6lM6dnG4ddoAOnjZVd0Jje/h9/3lu23Cl8x3mAt/
gGWqOvr1iCUAoCgQ1fQpQWuf8MA0okOQafZzQZH9+8Ad/AbARkUy1xn1B2RHuqfM1eOXPCjyN3ak
00R3/xdtLgFqBzg3kNpwI65+EEIOcSrJHGWatV8sUWZv5tRWv9dObh8cLKP3IO+tM0sMJKEq+E0o
j1wPaPZd3nQLwFiQivgyUs0+BNWcHqWs0k7asjmUBB0hqXA73VSGOnsZLQeKWE1f2Gmxi+wBokF3
SNTRvNxfxq3rgWInbYfgYmDQq3Nh5aJPutBpAarszD6YTtL/7qKg71CVNqRcLG7JShMrJ5otkvP9
sTem+aeTkzuCJA3O7vWKLrKDokDjwx9Qq3zbz7XyIRxtOkdpnDndHwpt3Y2TCW5FKEDwSXq2BjaN
Fk+MuoEzb2PZ1DyKKXUwSq6p2eIEo5cvTSSYZmhF2nJu1L7/RAv8BIrtNKLzjMhO45MKlfajSC3x
zzxPwceyCQLLQ5sgVw+zEtTjoXVq1fVw05zn86ya4XCIMztWzlVvVr/qRjeqU9P03b9WUUyT1yyN
FXntELcfZoXmND+2KuOXU0/pL7WbkvKCF5CReXVbTe+xlelLDyRNBumJnv1LTK9+KZymsagRVM63
sbWH9jwvZfJN+uiWsI2N1qJzNUhfYkMnbm00fKmwmW+jxKNdWHnbJoNbXYBcaaoi5ISFkShL82sY
Git7ziyAKNikZOdErTh7uZhcB4cpixvrjC8n6ik6TrWnyF2c+BK4gUtu7xT2cEDbsoj8uZzb7Egd
pVgOolTj6YRASHZxq2wEVquEo3t5Ptfhh2YIy2/QZcN/iqbov+HFaZaQNfKqpe0T9b2DMSzmW6xo
sc+k23d4BhtSxUEEfT/5wtUm9TFI8srwuCSSfwuzi8Rbx47UF/hkNeZbsR18VJuKQLNHYglFyiiD
fN4qhZ28DJjAJEdngM7nZWYxf6UNIIo9Tev6mf9JnXxZpmXQyYhQZjXRHQEpG6L2bbEI3D0WteA3
9aYaTLK7Kv79fxydWZecOhKEfxHnAGIRryy19Ope3G37heO+tsUiIQkBWn79RM3rjK/dXQVSZmTk
F9VSMkSnYXefNZmbnXlWG9YBQQADQevEAM6C1hiN6VOE7JfxDoS35Wksyx6/6VDNdyyPRH4SFI9/
gwsq+yGPafhtsQj7AwbECinmIPvHmAdM/ixwoZJuTHLMBribQJHrM4YumC8T5gQL4ggfszjztmOy
1IBDjolbajasyFiFqdaL86YI0roW1n8eIiQ5rAaA47SrTabsVO6y4ljMWdT8CCxBAtODOIY7ncQw
ruG3SE5sy4fsLsocJG4YhLK5NkQMqqYHMCyX/CjjqN12kyJXFVrQXTT09C8QSUi5UgPUInygW2Wv
WCuZEIrD4vJ3Ziudn4oe6z81R2oSrdMEaOzX3S2zP48Vd/S6+DyZWtAqZX4mfY+/LIqcv7PZmEcA
RkzyhaZaPiMTWW01j1fzMPUDebV2jMFX34X9VRQY9TephRP4jDQuPsOQtxX5XUL7nsCahBYT0fSw
8Z+CoSFBSE9u4GIbKX5NXh6OX+MCONV71NoLqUskiLzmEYvAi4zZJk/crxqwk133/+1F6edLpvvt
P9mny6fLEdUAt7vNIIwhb1iePPPJv2EqpgcfuxFHUTHoo85cuWKfvmRZWS96rd4Mi/C4Sq+hpeEz
ni8OzyIWLoudv/RMAWnt0BLcORCDyzMSg9FJLjJd/pkJ8w3YwY8N/AEEzs51tGtzLUtO8npF4b2c
OOQo6DUDF/vF8rJvK9jzs24eaJ9e4U2Q8+2lOP6DTEz22kKve60QrUHbYxX2ynJqv69HBNetz+b+
Z+HwqLQLklzX68Hc8Bfttv+ZZ7rQ7SGIxU3pcwekP77puFW0ikTD6V69bsVhly5lw8yu0RCsAxIz
AscoXZRmHaE2TlqS73Go4cfI4stMMOTutnXudS0l1qIb64He7tZkiZDEGeKA9OBeMdqaWC5xvS7D
BHd8LPfpaRh2sN7NuPuj9fMijsvYT66/rxZp17sxxrZ/PZTIRWzY5o7jKmnEkQ61GSh63oFYcYm8
U7ouhzhyv4aROf6ODjf7k1A7IGREDat8hIMhhZQ+B7mGF4Mfx3aUeAhi4M478ZBoUrozUswZvceH
D0B94eE8j5pK82l79tSR8b4P0dF3GqA4+acgRyF+sIEvOBO91xFDDnZBwXw4F/lalV/FyAz9Yonf
0hGy67F60DyBxy0/0zkHWrO2edijN53lU/XXo1xULZ39skbneOhdEtW57zEArV2SGmxZRYrOymPP
drU+bmQ8F/MZCH0z/AYiOeb1RgINf6LkOHSOYJNC6UvPcnC673ta4cxqkrHa4vfN7Yn7gC2xBzos
kYl9Ajdx3P7Mezqkn1E2GX4f4VYhDViMrP+3EiTK7ydFbw6eM/ojP73AOZvaR+cGn2n0BRWM1rUR
SSSndoXiKP+OVUiXBTz0Te5vIJ2P8n52VpcY7dGA/O5VbOwHqG15rPD4xDt7mqxWGcL9mJMPDIo9
DDa7yA15pyl4txDis/2AidQSNb1GvDAz62Q6kwn3ld56qsBlgP30DZ9bTFrYkVLzTDG/ZFEdDOiW
wNWEjGW+QXuZy+OTEyw+dVO8UK8aB0HajbVn1PaXrZi34WkT1aH+ijHcKJGW4NF/yrT1+SnBuwEj
Tgz+LYg3MRSb6S9GJoat7UEQyX0d0EGzNu0L8XSkbtsuK+L1JEb12aHuqQRhltWVAK+HNIVWsn8G
ClABMZiUwWe0XpStgPKZhmzHnC6TfHvMglfV48DLktVe7KaH8Yd4AKNqpJVWxbswI74UeNMiO8/1
5qpdnd1cTe4yiz1LL5LmJrvO0uXYEI9lNZ1UAXtcnfFbMSsjwpcmiH2PGYIGKjb8oWU42JOCxzGt
Qy5AoGP68Fkd7zuoUSYaMF9MiffP5obhaEPPUZgqTiTCoVKrkGIBQq047U6SrNEWxCuNENNtrFrE
CQrMx+cxibFhvSDfY0Gy0+2WDP3QInoMMPk82fkzHOCANIc9mT6GDc7vRh5bHp0JHI3P1VIwUqcy
qvb2ONLtMw7JdtQcu4DI6oiZvWJGB5z0spYOM6sRyTPtOBfk2XNnfmCab0OzZ1Gy1uiFene3qKrw
LVZadvg8Rp2OHZgXQBsV5cbhP+tT/PnYcvYlciBWGlUdbLn4PPAHRI2KqSVOyfstSuLhsccOgO/C
0Q/PB849fHCw1H7Pb9a6oQ7pXFBcWJj/NduiOaYRJf7bRkw7ioNyKuEyOwZoqs20AsgHABBiKOol
Nib+pWYjMI7bqlXVKBWprqu+VOSEJL2jOlMAMPLamkXRttwkTuZVaXCodbIbBA/Eu9/eldisPo+j
CPYLpWOa1Zjw8envENkJjhFEJdhzb7AO5p6YHch8CizYENW2Wqz+QRe+xeUpID47Beutz9dOm8Ly
Tiesir6SY41/qhX7+ymg99pfY7taWhfwX+O9Gqex7GIk1Ue1xzqPwNyHptv9YvLpEvf5uNwdyG2j
dQI62v6SxDaOUX/nXrUs7pfQFejo1nu/Oe/Ozul0Q2Fb7gKP+rRlLXLyEKCbiAribCFcwBJNcljA
knMarsh3GkJbySVPumNcUZfV6KZX9oTDOJmfUlsM88u4Lcny7CX4QN1E5CqxP0XdG4B9Pb/AqVde
R80H1ah+VOGcjRDZHip8j+eMhxzPRoaqtwNM1M0vsvCEdIPS9M5MUfhbKtgcnb7VpQsfl6c5F+sn
RzSXqUsdo0TRDgMHGHWtKGpKRphRy0D4F96a7SvHDkZcpzqo4kGFTe2djEXxr6A7Mx0prBZ3ZJbl
v+PIzNAyHJ4PcgXirWXFDNu2QIErmiSXfGydrsSbxTHxmhm9YcER1kHc02Jc+ifkFZC1NvsM0gsY
wOnQgm6Svjo1TrJGeSy/BYHb7WqGFDetWqbQ3+EeXkEyHBZUsdvKbvSx0uOHoPmg3WOFgLHHWd0g
UusaHXONI1XLZoj0gvCLUZhfVIn5BWc5DRhyL+LDzTNEPbwJw1uvcvyle4GVzMbB0YvK7Ij82tlp
BCLsYIgZ7IrN4583ICZfsHJgyxqjZezazXO1LO1qIrRjYLNVjdE5xyq06+OXYZzyCWVVgsy6jRp5
z9wRi0/Ic+Z332sJ1+GRqPUO72R5jnZYj34WA2cD5t1immpkh/QfxzEduobJLpi2YnyNaxR446+t
0Nsp0tWi6vSA4/09FFSEB5OpaGygAm/bHXe7+jpIFfADY2kQplcyUHvZMpwCYpLVftLlevC7YizD
dV7xbb3Kng4PyYGTsfNrGpI7vJr9coXaIUWdaWSKPNg9aHOmGUYIp1kviHqIqrHQKBy2g3RbiaT7
Hya18/IjsXGx1ECxLdOHFVFRNVGQ2VTP06KBKFlI1cPipLffLOLwd6DzmcasEXZXZeMq1HfQr1MU
uIBJpOF0TNzSu2El89wINcTrD0A1Pa1ZOfY/UpytYG5wdnzPpm34Gc/BftKQ6Q/ty+XJCxV+Y7w1
8SvF0eHq8cCT3KYiP8S5l8PyvRy2HhLoiA9vAe9n+x3tJbE1WWHxtoWmH3ooquPCNlN90X4L5pyz
/sheq3XK8k77NPuvjxJXtNW05PSKYxxHaj6iUl3DzJOHvJTyYShQVNW4KChcrlrFr4dAw34B/iYh
T4NdN3OxiD/HIVP2cnnkJuzzxWZqSr6LsKv125yg3n1Qx+jOk3CTgmHgiO7wTbr/sqAPdc4iaZdv
AoUpecj2bP83wJq5tivHSnCd0RuLbKbSyGaXEzLwthzGl8dh5Fg6T4BLTJ77lEYzCHM5/RPHrnrn
yJXbrhAzxrS2E1/ixx3BUVc7zrRv8yijx/kwpEcptuX8LMhi2WWU8fgtOoR198WSbvZiaNKfBkgy
28Nip/xaHInMG2bTEN8LfDqIG7/R9oC+T5Yrhq/FdGULIe+EaY7igmwzHPUrJZ9JHBCotkkIt3W0
QUm8bf1waASGpDP+dRhRa2xlo6mQCDT9sdteTwimwTM6qbhPO50m6hW+UbI0uDOje73qdWptSRCa
kGn8wzVwHuvfVEQ9qrZ+GzP4ofm4o7Tdsp+5c7O4pqsCq6gvVnKHFY+pbA70vuSbMzs9rWlJ+3Me
RMrrdQ3T1h0IWbT1IfAwtThBcbih/nP/JdkwLq3URxTXlNHxr5xWz7q9KNzdaMFxczVPGIF2jMhW
98BlL9c62zdIRWQcc1woclrkKfawVJzR5G0gT9IoDFbWyYLEIcTvUPmU5tHsLshNgZIWA/eOwwRr
WestW5nfp2HK7/0kyriOoVUnL5M0OpwgeqX56cBo/ZO4KvWNnoDtPMVQCthdOi1baOG9BYikT8fp
79IDiV8DGBglZ7zWaXI+UKOIi8tAgr1mLPjxfvLulliDfays5htgyegBo4E2FN+RvmgylOfdEyxQ
4tRJsFoBclJ+Yv0+6AYu/iQ8Aq55bN1SyXT/2CLUiV3Aj9OhZsX+OoOHQjaHIvMA/Q2NDt7RiuWA
mcXQTgz+aV2PUVm+saRfynocmBhqJncoLXRgGutG89JHTQoM/vMYIcO+nrGuvT5ngy8vc8yntYVu
lXzDIc5/wOQwZHXqsuVriDJxR/cUJtxIjPF8VRZ1ImCNuS3aaQ7Z64SdqV/4aW9pEjPy6c8TNIqf
QICQd4G37zjzVGvegYuTfy6VH3VNiF0ftwyX0z+7xdl3AK4T08GJPz3t7KABHUkB7QcSmv+FRZ8M
iaGHS4fGTmk8PkQrPqx6OKS9KkmMBBozTV72aY6jy7Aigu0hxzRgb0F4Lu4XbJ/MrVzGSp3gZyOv
VERrBd9xOq11UUT9iqbv/99tsFX0ByqdUm+BJso8lxmSLTu9Z8x2WWYob/c1MW85Dom/4UCl2gAq
JvIr4eb4Hq+gnHcKzveqo7huEpz+9Hhw2E3Ek4/35Dy7ikff5TLvXyEtrWw3PhB9SjLLb+taWXje
tDL8emDTcatxf5IPkeSBtVTsQ38hPutfQiodXqc4Qo1so1i38hgAUQIlFFs6gxmwVUA2x1y9h00T
fK0MX9veh/IZjmZoh3h8trTmGkaW1sNeebEHYDV1qmCX79wSx2ubzVhaQTW2L6A3zNL/PmC4Vc3U
czvXYylHyIZiG14Bpu9nQLhQQF9AIIaOM+dmftkUltpOUGvX9zWfYS2DGXFbG+wxYb45Div9g97G
XcsI/WMNLUGdxZhCe6g2LvevrUq1OUkTE3W/5GyNfgdkBv6r1nHrG8OH7KFfufpDIQzP3eRt9n3f
+/Ea0p7xDiVDPta5HZAzSyEh/iMzxLNu2FfAr1dtLOgUS49pfI1vf95fV5m6cNqwwHS0ASfFNUMx
zTtsFmbvVS8dBnZDZD4qsrhXV+Dq4R46UaPZmrxLPxzZnXCKvzhv+/i1QFGwn6LYYrjpsSuwnjHx
NM8c2wm8xtG6PEcBzWOX6XW5UgwB08YF1JCPuRPhbAEBRJ8QEi66dJi2zxTeZ3MFnpU/KW76pS5Z
vh3nJDL8Qp1MxztxM5CgycmFhNjFJUon3BHYjO6t+OMhpntIzqtIm2MjKOdtb7FuJYqw9a1Pqfuk
CGvl9UxL8i0qxgH9oKPxo0YM5daVaeV+ozblUxNvaN3aEjU+b4A0cj9U1effQDacxJnNZfZ9pRnE
uqMopoDsB19BBpZ0+r0f4+2rTkPeFZFbft7GHkOjwjJl2Bbcw8uSCbRwYFgAvRvifjhqE5j+hhVX
pJYKW+54EZQoT9RmvX06Cl0xWCnC1oVpL8zTTiNUTIzq+RFljR9bM47p0bqysEldQTp/lwxhZh+z
ngU+JsQimbcYDdhPgF9paBRB+vKT8uP+kAEIk+NtwHL5hCNPZaSekZfxj0uM2c7er+oJG2NFwDQA
sRrPZCzwwEFsVvWUTrdimlktz2wxpkMpB7tdSgSCb1OQu982OMqW+5yN/cXgRnmTYUkfZHqLL0vp
LuEQFlUfXqJqSLGSg1in2kHPBHgojlT6yPYo/4I4mKsr+vj8MWhZsIsNGmuW2P4iv2CTn796nFhQ
sbHj9uATPsoaBZf54GTkEWY4kX0srIzw6iOYA6RhrzPSZIKOpqU9iydsVgi8n3hVK9uVEX4XCK+u
fPCUlVmXADYOczNyk5+TPIc+4auda/gUDI1rKE5ZVKcDDe9qzVFZaO/hI+gjgnmMiWwPuH0WkoYl
SrEaqgdeHnRa0EBRcwL6WxLEsaB8wCDjmk9exdBQQzpdIFIfb7ijo6SdPeyqXTGEY3woEoN7x6Fu
009QKP30cMgK7Q+4w6m6ioQNpM2n1D/3UxC/Jl1iVebIEaNKKKIQnzIz4WMDm26MmlltPDw6QcTn
kaMC++Ci2H7zY8zzV06IQajglu/JA0Ui7J132Xh0FkkxeKN6MmbQUpfiD58rltQYmsnhcVCxfdyM
wRzFrNX+I2VjOUGBBEwPKfChrFcsmNyrAnJtK8TgnmQ/Hfvbemwj7QCQWJc6I0xhcoM4mjvm5oF/
r3yV7revtQCv31r5k5RaDNcDnXDUERD837VzB55YxPtUX2SFGId8pZh9WMvpJ5ZR8UOPAtzAGkxB
17e7dLtsC0d6ddHCle6e03l58XhA/R1Rqv9OkXOXvS9SlLoZMIJ2Pws1rXegDsIAE2IiokasqYM+
d6wVsiVx5m+ol/Cr4EThQPFjcySqLj1k4uiymIhEj3yEB+HxJiX+LiZSOCAiCpQlhzJpaP0Sr7a1
R374Loom8ovsm4nqJKoWU/fu0ONJW0zT2pCR9QOSThVdttmvX8mCccaTImL9U2zx9Lzxg2BzD9bW
tNlSj8XOOXFWNeVY6RcM4rGpVbKhunqQw9L3OR8xTEoIkFot8BZl9ekwRZsvUJTd8UDHwrxxganZ
l8n2fWpUskkc9IXwLUcX4NH/oQGvj+CK/D6t8D5d2IHI74cxqFxBdsRi4dWD0M3fzTCsY40iRg8Y
8ATIqQYNXtXMw0FGfIqlh5hdzE82t9nyUtlN/kN6eIZULBi8cJoKFq2XDXNCdUFaKX4h3PsGHw1s
ZPkF9pPSN3LNx4uP+ky2FehWtxFS399j5JOjHxiX6hEInWKE36yagEKotP5HMnQcLVkMUl+LsBfh
toUiX7CI4571xFfXKAAPe9ygCqkXBUZUUL9xqO4tozK93Jxf4P+rch+/YeQKXhmG5v1/MTp2QDpE
GWG6uxVraGiRrE8jojrXekjG8BvjX4wIERya9zVopKhU4CdFzXoDUN7L4pDkYtQ8fRa0wskhpsD+
M0L2okPPjT9sYewFCBe7eaFWO9Tz0yRo/ycUYv2bjRrFtp2TEXX6kr9koD3qJw1oyn4yikQdyslo
OOlRL9tLflh1SVDfBaiPPJf1MKBjOkF7z9UZv0uZQvoS/o0ccEq/avTf+nw4G31UfPOADR26Ss5g
eWt1ncGIN/UcD+4bxdRl6rY0SDitx95bsEoCWhaoSVuMgLME52AwJvE/iHcaw8RqcWhOKccygEO0
uGtC6eLXfXDl710PydSE/z8fC5ZAeOtgrMYMPNhkBp88rX7EaxgSTDIM/29JeuCgZSSx2jmIuDgf
1Exji79yemM60slbtSBopLap4eZUrZoYwIRKD4VnJxgjzMhhK04Yl2UTZP4YixEWNq1Q57JXyx3G
T6AiIkvMrSeqxixuZyaZf+yB3XwOxMOKg8Mp/reYkj9wmL33M48npMfNhSu6CUfKTYoUmsOzgtd8
qLBs1ajVphPYZAQSlto3+jDnVEVXohI5dYgEWtQjWk+21+j30cgTUcwtpnlO3VUzxfg5RWuKWTVN
D9kduAQgILMIwhy4cr9XQmZMfemyqW5YUo1OZU+VqJdDuZ+gLhjce47wM2yfLOB4Fdl4qUY2mbsM
8018DsntgeXKsbZgKL2uOdy3Y0NKC33MyB7EIugooBCAKbZkYKulhQQTY6hcPcuhQp4aLig4SUjA
Sx8t2PzpuN7Vk55HzCPhLRlojcZE/UT9PPkajTov6qRESdYu8KO+LiOybu8nW6ILikyOPAcguMkJ
SzhibcNS2ukhz7USXcV6CgEld+y+qqLZP0QIgXyQxmIjat1SjPAyN2CD3zC9ywuuqfi7TEX8N089
IiqGm0MVSo4USALnyYznLerd3Pyfr9UZRsypP+Zl+ekWjiL+mPP4yWxMwP/uFqzbZumaQF+NvFlr
ir1tX5eIk7mCFILJQmZzntXwbA5v85jx5LTtPWZZKG/2e4yy7XA2SYaxXUgY/jQz8OFcHUy8Ecz1
2abqAAL0igmnP14ZhlGm4YLt+B/6A7N4EoBC9KKcxhNqZgs2boysuxp9lr1Wfs7LBmO2Wd+YHeH1
mGHqbxk2guiFD9jAuI5gQn1ozCfvbNi8bCRm9Qwl0275yaslimqOZuIWapGo7wK6yscSfABCzd4s
Cgct+Nb2owGCCFvkk76LMKB+0yibsu/oBo36lhGny7/Q3QfYBMoRwxsBQci13A4JNB54EVH1Miu/
5n01Cnu2Bjtr2Gfpr72YQI4zfs7GK0mc8S18nDirMTXv/b8iCviDB5qgNzg1OOp1YgKpYf6J0Rrp
qjqNdMhLnKfCpxfO1fw2MT3+YjvmyGC1SAbDQlIdAZudy/QXM40EA4aAWdyI49xRc/JBbWkLrQBG
CNTjsC1iVlWA61lt1f3iVwTjlQgBgUNK5PAUHVKpL3QKKAUCLfl/EnOzo3YjVKguEckR7v08k84j
3/3Aokuq2xymd3VFr7GbjjNsFrTIIizu0uzmPjgGnOUN7BceN1w+OEzKVb7EDZdZWJ+lBxwC2hhy
5mqpcLRpDs/B5dglzmu6Fss3uHl09hKn+J5+FSrwcNlxltPaxMdQvE1UpSU2zSaMsB1oLcMT5h44
6zBZhgiXmiytsOoL0FrNIHPhbS34AplFJBbKGycfmBzh6hfbxNaPwuLY/+TZyNGC3u583O/EN3u1
mXdY/fu5uyGxhhYfs/rUdi/3x3GJ0+kKlQVTf/H/XyXElGf4glHrvLCRwGzgVJg+vfKDrmfhsHNX
KTaBuTuOE8ESdlBX51Dy3KzWM21S3QPtYgBe+ZFBysCTBXOIaBxiP5ZTIjJcVSX+z9/a5rmFqk7j
90K68U/sh4nVMJ3EX9KUxXDfrxo5cxjeFdsp8Uq929WLv1TxNXSgOk32Qe1ir5BrRjU4oWQAljfs
IAPfJYlh/0Rk6NCAHQ2QI5YZ41f0QPCfb9C7GT57NFlHSuHEmvJkw/1tcKQ3C4JObAckHPtvhzXq
fYOT3uIXmJKipZmGDLlmWZS2a7Uw+0uVRr4hqr6CSSkYxk/Ip07hKxjGohUSeHpQRLQGlChOVvgH
gq42hOdlYRgfDC9TV08zWFstYQbivYY0+RBgBICzyLv8ny4PYH6BXtffkeO2Ak6yUv8mCpUkNe4e
gsn1DJziQ1A4EtsybAVCSiEP9496NZD4jXZR2SkQLe2v/VjirDmmdY8fMX5PdJctQLd1adTzZ2qW
1EGp4rjFerOH46WwUVG06+qtvptchJJhndfssejJ7jugrrahDW6q4g7Hm4rrgebIotEY13SSqjW0
2wCL202f9Q8LNUlxOvyRZFiF0sp3SzQVBeZ8nn9EB+yBkAh2fOazhQPwpR/LCgf2ror7HnXCW08y
GL5IBdvqAZ0GCye9LuypqtbyGWWI/ImBF1mfqJmnyxanzl6kxl8NOAafn5JMHmCYaaWeo2Uu/xWB
o0rAwJUuJ8zhs+cVpe9PDAtkXmM/BgYbgMABCtXKlbTOBxggrn0GhSliQFr/nckQfD3BHYLpqFVu
blFlwvpiAkYgSphs7LRejhjEWNC88phNFAOPGC1TDd8NatBYwfrdIegW9zWSdDZUohzDmm7JBYMD
DOP8V41lo7zZLDF/eo9j7H7aYM9o+4QnR6tunSRa2WlHYd2z8Xk3Tqzv4wy/30OEBL73m6k01DTz
4VJAVTY/0c6aL4xqBXnaeO9EC9dMn3cRKteHIDFHbRIbhYfROJfV8ENUeT1A398fAIZa34Y8R5YY
nmQcQX7Lcfwhklc9yVAgqhT+C8/rw3rxqxB7Pt/hPsu/bL+PTx4AnffK6AK0cZ/D7Q67xPwdfP+j
b7IYiiucTDH9Bo0/2x6HAhdPrdahAqtvL44/YcwgyYPQw8KFp8P86ONphEsKs3wIG6uBHYJqTu9Q
pJOhHRJMQFpfMPFuDwRin+CIXuPnaThw8qCXXP8s3k3PYu0jPJILTvtm6/l8SjYksmCACCX20y9i
M/URIcsZfvjeP0kb7PpfLoN73lNy0DOK+z7ptn47KngYo+pXUHOOhhC8f6hKcBUl/5UEXsFuPog8
37IysJ8myIDSz1bV0OAosuZ+IsxtmB4Ac9ccxUieVZTvv3HtWo/MGCJdl26J/GRTmOE/MuB7XpYq
duxOzbvBxFOL6ilRe5E1vqcYLQMExtMLq7blO3pvgZG0G9kzDgFdtgM8vl/Kl9NPcjCI8Tdx7DMT
enifeknKhkEzwu8Mdg8exnmmp54iZ6IrQ8y+83iQoEVusBzBPcR7BpOcxIHKnNGvGH1UdW8RHAwn
qSEQnwxcrSgf6PCD7yM33Uwr9d6PPQ4FOAbybzDHwsiV4Pd7ESavchwVbBL1vurMPO4iYj8hsCJ0
Nx5HCbBopXDMFmw2dyQLzjdOjqA6Apjn/kLVw+ImkP2BN/uEAXcHJBrgsYkuqvXWi5Tx67xzmcKu
5pIB4PRIPIVqJj927FekdwdN7B2athR3Gm6V45xmgYSXGeLX74l6FzVqL9FVoM1kxWncj/IjgBg9
PbkxpAwdLF9+5j4q984V+Ehwxo4BXcloZNyVvtwg/Ax82i/TXkms0DLCrtCip+W0JMV0XxA4jzET
57hSufdQ+UPg6e/IZVV0Zpwz/DqVTh8niMwRnlK7qjYMlODf8Wn6wxvCizN8/faSogm4tfur/kZt
lA6dyXM8mRQmrJ+gxEEWtYwssI7z4XVcS8Yave/5f6Io4TgSiOb7nogleRvn6IjgkisA97EVomUb
XaL0OP2Po/PqbpTXwvAvYi16ucXdTuL0MjesyZcJIECiSLRffx6f21MmiQ3S3m+1Gh18RaOu/ytL
Z3wnIwP3eaj4eJnTrBUESyRjaoJo/R2RmpiDG3YWW5s03l2NZvCzRMXX7SdonAh1x412hpQzeBnp
zm4ReDO1ldJvlw3irJyxWLb1RWfRJDf94Io3P/OcZTORJmMd1uZG+dP9Mz41aKPgTrKofkfB4yvU
CA4flFuGAZQxe8RjGeicKtcymf6OtuC0IcEpvstsFJb7aZniKQWrzb+yytioaK3AIW3Kq5sltQTM
O8MjsVJtXrZiB0bafDYIGZFmaaemb8hXJM4Mt1ydIwDpwCnvDC6oocifMh5rxOWlBVAx9DJG0uKH
koxr47nHwji2PHZOMF9DKA2x0Yh9opTslFmkBM30/S1OJBrTPFggXWwf4PUxqjLrGbkUoox80OJt
HOHoZDqytZ5JSqgk+qqpRPSMoZuViVER4shq/QNR1v6y1X2UdPyDOXI69A9qTRUiYp0WfdbuAf97
CMNkKXx2iTEf/yRkUP0n/Cz6hx4ounh9AJDsTMz16HTKMNnGiSn0Lvdm1z1EfAavUVK6/g4RnDkZ
0nL0A01b1X9TZxX2A2KMYDwPaq7NtXDa+Am+U8lNO/buo5jIIDuPymn+SETfSK58m+64xprMAwWG
4ZRWxivvEJnojgL4xnqHISzQHSNU37htyE3hTk39pFor+p5Izk3+Q2zo6b1Ade7DZ07iHsE84GNr
/ORHjTGwkoeybNdjKaX6w61UuYlH7VvHahnFin51WeU50Nk8H5rBaZptj7rQv4MMyR5NDP+/n3vZ
AsN7eWbv50FA7ltdV1Fb4JXAQWytLzb613rPYhHu+6Ww5/2tiwSHyNrGI4o1A7FYQbrJ3RwjBXke
OzN/5YMaryaM83ZvMtNBEIR9l+EktGHTq8D3QQJGy+sJEHSDSz4h/UvtIVGE/decPu+T9Kv+m1h3
7rml6YS1XZG1VfdevMjuOWjKaU7tlmEB4f5YOampZrMNO5bcWwFO6aShhtEm/RvdxR57bQQT0wb1
Qx7f2j0Rxdl72lJcfBBGL5dcjhz1JEIgDetVk/+UGKNDhm7gmQvPhbeTk+QshIBtXXTHHVc44e/1
Qup20H1PboznKFNT729CDOuAPvFoCm6NrureHO0C67Cowi5ON68BUvJONwcq61R1zGi8fs7p3q3u
er80kplaTBc0Lu37Qoj6ZalzzwGwKjnW7A5LJJTUMs3O1vem2NlZbRL597GZbHnQjpnksVWlvWyl
ZhIGaQIITh1akbiwcc8duwAZNwZjr0KYpZzqm6XIx1zUO9Owc0q0L0jxC3pWUVoWl6C24ISKqBA8
CbE33zeSHLcdQjS5s8tQKdbduOVXqef+yx8W9D7t2KhT4rawyjwR8OET38bwNLQ5Qsy+9tv7pOW2
SHNrKcIU4WifXePRKREMZYufPBYJNTe7ytBLcB+N7EIbyjsS76TrvJGMG2E9bos5ZButEC/dQTcr
dWCDNU+B8dGn5T6G69TJYrc/cWwNmlVNqX9xBLCF6F5rDvI1ieUmQM2U7QMKjdCd1LZyTgZ0gtaH
mJNkpAnstS/r6ieK4Ml2lKXx8kbdYD4tYHaP05CFL0WFmS97hdSMRrpWkGVVOWP95pbFVOybyrMd
cha5XHdW0QYQ0904cdPInHb4ULTx+4pygoE8CQvQDzEj7Z/QDbBPKIS5JfJcILPMwP8XsV1tlzFr
gs0ULOOVlId23uFOL/vNupoFgmDUsr6XkEdtWiauUNtqpRY2XfncZ97rapm3kK9oMbQVWoeRU23c
DxTlFPti9W8ag3nKHvx5bEGnrbbI0s6exg8irvunSfWatZGi03LTIr0PoCwxyqRBU5XzxqtMs54m
nmbA3GbJPgN+5KPnRfqlGeiK2kk+CBjDaERo3NdR3549kJJ7kCxDpqh/S1hwuTqu/bRWYh8XbUSM
/1LOWHBQP/abfLZtsb35+KFNOTW/I0wD3i5s9VQR5OwK1nEz05cTK0pn09JXiGcTn0MBkWGXsWKP
iKI6NDiGuJlGvFhjGfUnkwX2nXRNDLTm4GQc0D2CHQTKCy92hAkLb8MknulsH2DYIjlc5mqMeKlB
qb6rzFbhHgCa/y6ruFQ3gBP6RTN3ZKmnk/IKoBDEu3IOvOoaBa15maRnzx/CK3L3pKmeTL7lGM6n
evB6C7I+K+yfBaasf5A9kVhb1O8+kfdOVetD5s7VwUWsL/459FOFv3ZrzypFGEBAqnAHh8bwuLMf
qUQAqGvXIXhZe69p3kPW5B44tuxvj/p6e2TapQF6t/r4wG/pLUecEOZce00eHkOvdhHZRmuzc0DE
5h0u3aaGeyKf8ZRjc5r5e3rY9gzQ7jPPJWeLhbL+V+a+/UPmIOIj8nnDa4aHCah9yXEwCqCm5GAm
YO2NIYNGQ9PWBhm5LfwP0DOn37XEqc/QsGPwk+gWOwmySdTTDoLoL9229p+s75Pwvq/H1XxMXHSf
XCNrsvVDYus2qDnyFlKnCb9xxgDT9lPQlw8jG2u+E05XLxsqv62Yr6Wajn4LXYQiqqjCrew6cA85
tPZLX8BxHvhlUEKysLQfNZLgYQua6w47lzYmsWMRqP8N2BXFrxVm8qeSKDgOYog8vVUUBj8HJWyb
6Ff2fw/YJNBQzcXybvNYUxhcUuG8SZJ1vQpkvsuZt7tr38s5QsSVTqMa/wCTdPrgQ5DPLKi+pooQ
Y49+q03uimfdBmTqmyBEW++vSfM3a3znzusnIKIqYnDdNjHJ8Fk+gSY7i+0sFySI9boRa22edSQx
enB3Tmfpj5JwfqtBIgljyLvaJz4nsmdqzp7e6PCxCOsZKbuVx/eDp3R8e2A0TI8drqLa5F6fFJ+N
WHKRMkLSxgB745AvVPJtkAWVX0okhf1Jj1GHln0IWQiyWDKHUpbVMya3zTJtLR+HShobp1+YWDxm
C34J93GGXdKHsbTnV16ufjwKoYV9yLn4jjBlCKl0p917Yk6d5XuEPsh2fMgIRX3SqdE6GdPeJRXB
JlsnYh86zVgNfRQ/1Nqms5pd1GLCWde/2qeE8OpScZUdRlg6/66dm3hfi9F19i5RqT8TbvV7oCbE
2DMI0C4QN6aHj9eGNI6m/x/FYizAmpX51Xa8vlU9UtbU6U354pN3NW3teuiv1uIv6iDDGvhPWlND
Gm+Qg9F5Ky86Ld7oBbZ00at5Uzl+IL9lNHRgkE6X/QKyVJhL3G6s9t2AY2RTlTxkTDhV/lnUNiQa
M+uUbBq5greICNx5kysEK+dpAScyzQBKOzvChmZoweXZC0VTHwVclvfYW9N6xWSBu2zS4XKp2dG5
km1dcGsPdqHTFZc105rfYKYsQRPDh3nE5IHbjgMh7lz7GWHEXG8dbufofmx72Z0WGiyxlvk8kjv2
q/nKTCqqVJTgxizWuBHBfsk5RsOVeGaL/tb2tyS3Re620vn4GgtG5rNTFSxK3mRll5b78mR7oflo
hwxOzqN1BB+/aBCg6ZiTYp9Zrv0x9YxoaSM68xLgynvECQ9+Ises/rL0mL3aQMjgcIuu1Kbr+vwH
bI9tqtLEkLzZzAT/2R7oKtAdkzyUa708dusy8tBXmGMOsS3tcFtxNz0BuwTA2wb77iGOs+Bt8YS0
3hLhZYzDTRR/KNWun4q5EZXFWjJ1jcFMaIctCVi2RhtpYe80w0PNg1rvohwLJHvZFJZ3eT4scEb8
ToASFJaeQUkCe++b2DZvddBE+cmudX77fpoCy0gxewywTHaQIoFHiXMXlS+AkVl5JFWi+MIeY8/g
cLKHPwywLO05I6S8ysYOHujOKdGPElX42lTS+uSrkcsGmVzzpm6c7kZ5efRvpCb5V/U2473xWi/Y
6jXu6x8jtQhuJ6g7KUjj1n7rXUr4zmibV/kC/x7knDw6BrsRxFP99LyZMHVZ2DH+isJhUKtsd0Mc
2Ygga7FojB/jqrpk0ejNz0hvvbPpSWskOA5lwVHK1uqO7gAQz/QaG38PilCiGJ9QDEGligRGuve/
te3V3DOkZRHpVkz6kQAkXJ4CW/rrUNr2f96QL+chdypAzRruHIngOj9i/W2fkKvlCliDfJknv/C7
t1K51rtp6t7bGOaOqzPYVnZsB8u6R+OZ6TdX4rvbElQ6Hum9B8S2mlE8MyV6HV9fPropBm/7Encq
Qpab8ASlLugTkQHBbB+jxkTq4JX50h38pRvnXS4M8tC41YF4TOgpLb88lfTJFWBgHu/7nuFy287h
IbFI89DG/eOvwn2B1rEHZu5hCQ5FZrvlccDYoG5kl/tLqUYGhtoK/QQ8VhVHRI3ltVrWsXgEfIiL
tFzD6R/5/hxPBW712UqJ6SvN3i+dSIHTyXLdDFnEDS0l7rBN65d+dFhmgKZj0ARRu6sXzz80mrL0
fZHTp/HlEh1ZEJIlejhngXYMfAsoYGuWGJc3CgdWxO0yqaI61a3p/nF056+rp61x59QCqqr1Bnwy
gnbmX4sp/IJsfpkuKmLr3fjlRMibcVZvN7ltUG27JhbxfiUCEjfFDGJfV3yuNKZwAwfB0ozQvI2D
0dXJHO+EU738QEMSV5gsY7hCBqCse7UWS37j2YD+aQFGCQZYTOthFOnxeZZKqUuddw4pTZpCw8M0
4NV+J6170lBhYNhw96oMGeIDn0G5XpAHNT7tKQju9H856PnMyi4r9OWYloHHXQtxIh4DJLmd4/Kr
9HNc7ikmaAOU12OSg5XZ+LQYR80nxGL9x+MScHjAWKgRIYt8H3TE4t4UAtErNETxMGPKKVJZd746
xEGL+HYMVw/qO279O4fJ/NeV0eLs1xh+Ie0IivlvYL0vTpBz1T+3DFAl5uM4fnOItDMae8bQPTY5
9bd0yijG58Khk+Jxc/t0WTHEbmv2Qpw8gcwglv0k+oNNtiEXpGxiByapUd9RhGe6B2+NNoKB75Ll
OqYSrff7/xgF0JCpyQ8SUi6kkicPpcSzpKSel7Ke5wCcslK/o7HjL99geSAYCVLXzWfe+8TyuRnb
YWjjQ7/YSFrzUM7f0NqiOyKeCx/wn5fLddVIT44s8xCMhM6vBheltn/wnQGO4VPIz42NlwQhpFPX
m7nwZmeHgRVTZqTD+OKAvtX7ek2wGpJAgMbPd2L3X7s60YfpW/MATwtELmM5vmne44a3PGwumGEQ
u0mDS0o0HpyFvVTldRo8394vQ+5zlOQ9SvsCcffZCrhxtrSF9VcSwtvvuHT836Xtqsu64AeALvMV
jB6mx1+K3bxXj70UtpTaI2tfRpryrWoEZXQ9uTbb0ZD/jV4xR3zDL8hui2RifeSt7v9D8Uj8/yBh
oo6V04ZHBgCCFKSycCNZg0SHSFqk2Bad5wZfCWuU2Yo8kO7Gl0mxHD29uuNpqit5loFdFpvckpF/
hPtWzSYnapD4CGWvw2dAG4ZzQk4O7066QYN4CcHcgBSEBz+dIjnfseWVydlhRRruRyTIT2r2m5Ak
gqbkPo+ZbXexTSRfKsS43HvTDYJxxJRE22nwff4RK5LVn3LFx3IAGOcxjyvH6p/JJPLVxs9Eciks
6wa4ZaG4BvQp/rMRkdj838voYhdx/odNIFnTaMrq8ERUm6wvbQ2a/eyUnVWe5NqX6zZD0Y/AVUoH
iAibSyREWz321SScFJhG/WmSBNrJlxIWcXJoINzp3BmLbYXb/AETKHZF1kofs3Y4zXd4LOHeIwYP
N23dxiBJNRHBlEPV+PPWdeYq4NKkrHTTDma8c7Oh/HFj7auvqJidvzO8kBRbu+kyucN7VDzEwFv1
YVJLgqqPAoRkozmor4gxPPc/3qcmuzSFch84JwsOZxVM+k5xIGBorPn7nLsaaM07VwRRiVMAJ3id
Cj3+jVAj/djsks+abEV/N69i+IyHMh93ha/l9CwRfG8LbLe49jtaF2VsouRMWWZ+tFUzwXrmfbEr
XbKCtxGK6nzvZX7cnMBcZUfrdsLpy+/fz4xbU/VmksHW17oqxSXi2VngrTqwhmyk9uJgAIEJjKqr
euOgqMeTRyD8uzPdhI8o0ZM3GePjTcMp6v7kY+HfOGhB6ZgKqcHbJLDIZeoHVf5XSSgZ1BNgn/Rp
QFdsuVTmFyVC3q9SYMdMLc61/pSJbPwMmFcfc6dWTA++O/0ETj+9zoLyDYZM4+0TLFp/RF8OzRbx
mHW05VD9jXvNQl55UqewWS4Z6kiXvW0BiT3uM78s1JbyZvsTxZP6awViuPBEdNyIhYiem7a0s4tL
8cGFWJPZO+Uxadx7lLNYIokJMs+kIbfrFuMehpSWPJHswvaE5CZqIPzTBeJhSHs3NB57kAq+IOWS
4ujw2HMFVlHzDow0jHc58rx6H1I0OhL3aMtfBvfAo6ggcW1uKZfUedwOsX/s2YCw0Q2dwhLizrm7
EeKmVlOlcJo70ufGaV8l2oPBlbV6amAhgYYcESPrn7NgvZeCEZp5xoTeSXZuopha3CrbLwFAxW6K
HHdPZlfMXgwHgTgua7pNhd2X1s5KL7g8F9c6TRMDym7S0FOpDT6CooDCCoImxkmxbZGU1F/0eBOE
uy63DUnSQ4ScKsMGhj5TXCmVhcvyxNwTRTONNKU1NHTuyeVeuWtrcl9SIuf6P9M01K/ZIJfmXC9y
uQ5VZh6YgyErPd9dkE0OfneXoRvFYm1lA0O4Z5mri9PfxVcVjJdBqmR9x/2/PkS2bgtWfxflNMNs
D+C2xhjJeSWe54ggpL0VrmQB86nEEREvnEJnEXPbHwLd1NPegmrkskVIJ3bkGDRXOn95abn6/Gd2
ZV8es5ZUEzK4OvnZ11l0WR2O+5TBtnnvPNHcj8Quq21eZ3rPFhZjZAPkOTHoomCqlCJJn/ayeB8w
hocsuCqEto6ibv1plY9qol2DbqvLLHsg0ETnd0CFQSE2fWMn/Fnd+G5VeXBuMXnzqUKhHeZ68cfd
gIjQpAq4FGC+jNzmx50oGLgYgeFtTK3Sn9VHTcTKf03noR6ztDO7eNqJvJ9GP5hTqTwV7RnpGH4E
IQJVSjZhB11WLegSIeidfNeMmX1RTnizCmH0EwjqLQ8Zwk31uKlmZOd44FwflFaTNJj27bwE2+gG
wwDM+Bn+OXzqa9qhRNIP1oJW5NpWUfjd6tZDo8+A0O9Wf07sD264Nj7PFO+tUOccvmkxqx572Bxa
6CECsZ7DCj5GptY0amvfdkyEW213nOASTefGxtufbxLki9iHuRs3cxmPD+DlCS9Wx1y37yt8qrcE
89m7IKeiXBxwoENyWIr+JwuNzt9QjhbDPuA5yjZadaQLxbBbmPsr0+O8xUBYPJrMbZ+REY34YdkF
4w1ZHcl//mTi6hSpYvxp5qW4N/EYEurTNsHV8oLA/VuRg4Q6ukCpkrawG2Z7G9pZCooK42E/LuFE
YsB0c5EtefgU2lQBcKlbLUCoa4bhqalwz/PDJLaxOJzLYReXnf+c3aywTNy23+zYYX3cyQPSDBxM
hbKfEFcgjRvtXD3cfEenuUHqAbTSgHA0fYG9qUvKbmD1llF5YGzC1+CFy0vYko/6Z8lxgI1jEjeP
i/ILeSqyopf/JgvUP8VCAbmv4KmHI/rc6B49u4YZ61y8DQmwGjBQlvDmN0gHn2D/GWx615D7ExLI
89FHuEdSbwmWV7Bw/6k3/fxdwoJ+hdnaeg9eJVbCbNiAAWda2TAFRPWvk+fLPxsOJ0v1aoaXil/o
horA/m6rAnciu1hpfw4qylwvpaIl5tUU/LUjlFnbJBClWgWI9pmToG+JO94IIjNgJEAydk5OeVCB
aFfvcQ7Z53wNnVIdODP64sxRcmuEQ8Qc7lx0hNyatrd+oyka1y0FzHF8riogyI3v9/Ola7i/dpVb
5R3hVK7yXsK6K/pzLDPzV8F84IUiUOX95mgtiVIo5wdOROatqORy3vdFA+zcD2zrpG2gs9ihtiqa
P4XVcuYaW/TJSQyT81QsxC4eHd6bPM2XanywTLKYTUL0AktGMDD5D11vxg17PdZROIEJ66ZD+DBa
fyX/OQWRg2mTVIHeeZKuKqK8c3xh/CUZ8Jcb5nca0ddXBKEBKVAWJI/7OiqSbU5WSrkRlZgfFY0B
H1azrMOr9nhCeEp541GFto15Y4EX5iMKkaZjgV31m0VMzwdQz8273xXqMcsr/hpoUnNHMkdHiQ5V
ZW2aSB28kEtIBsFUipVbgeUePSTGg3iTCDu+Jo7uMYDPqH1HeINSDXd+5MUoNZxcP3pZFPZ7h4yK
D8oow7983F5w9LPVZmEf8K3u7b6awyMSW3F2aB9VG28IHEAzwAGCoTRq381KzTwEOGtvfJ/UM+vw
qGL+2SUMl/jSqWW6U3neDeepzCIYtJiYmA0gUgw0AvKABZb/BIgIjl7t8QHgEhrpnio3WEAMLq7K
XqctEyzRHcXi8rYtY57522ooEOiaPkcCAJTKyNoSm4xWgLw0ZzfjBzqgtujCnYWVj6EAlM/eYrB0
m3SVPmZyT7n2UzdkOLE5ItUO72thbYxBo7Aph3V18RHFoj9OU8j5ImqVi/8aditN5g6Vs+m4TO1X
sayJOqLt88PU1l3+WoZj/jZigoe7DBId7PJS9n+Bqvi84qIavobatmGHMJVEKT6i/g5aHlZA9wtB
XK43F/EBb2H3X2WIqSbMI16y1JQS30eGU3TZGzVOTysds1lqSxS7ZJ401QupMqtzIJ4dQ1oW8jWc
62x0p5pzzb7FG5M+V6NLsoJzjDu4PZd1RASBZJofDmzt4mUZON43ORo2zT8AlLyLsPJP+1oSupLG
JWFwW69IshfT2MK5OqoJT6gBTLkhZyffk8Bc1cdFFrq8ILrjQhtQstrnhFBblcKcafwZCfmBiJLC
A2xk3985BKw5m7gf1esw+cmrg4na3/e8ODfTu7IOpi27/MDjeTvljdVzSpu22sPqGtRDsxt9DGGD
zHCYLQRMo887mRjXP0ydQa9Rl24TH0Y1mHA7YSnd3+hafC7YT28IpQ8UisHRbveznuJnq1eIPkpf
6nqboNX/WkjuirY1WuFnlOiwTRmOY6ToVDf2qWndoCEQpUDDPPc9nh4LpiRBZIoti/GrZFGbAxSE
2ItmctluYsKiczqRauLYfkbu1LdZrWQNIEByu+vEz3pwVvwTO8IzrJyfWw/HBcuUdQGi9cLNjAt9
QppbBacMg6rZ1rIAMOXkmJIU99r/z+AuLh8b4QJ8drBTqQPXmF2mxUh7b2qXTATycTz/3xD58UPc
6X6Cjic9B82cGFonxb0c2ZsyS8wTX95YQ2ZI9Z3QA/zZIuiJzpGXCfvoJPaSMDa7rrzzZrOGvG2B
+wd7V/TODV85O4Pik223dJJvp7ecF8IB2H4HNYFzNCh7e4yLP0k3rO6mIU7GnNcsd/IDIHbyrw3b
tjg5np0TfA4Ib20mz7TrrqOAaL4jdMIrtwxUzMGNGvuPtc/8Iu2tWGFgtgoHAUscMLNXaDDGkxM2
mtcnqZt57ylMBNs2B93fhQGpHuTtUbwL+59Z0QtJDZgvwhz17X4FWgTUC2b/5AABtxAxPsFrAVmK
Z0Pjd7Ahb4ycg3keZkr9bD/mCEGw+CS6Wfjw0Qacu0AmfPFijO3kwfKKbgWMEcF9rjX/JWEle/NC
S5ZH3GTuN2QRwZyMZxMxnMZ1dwvYm7MJ42FQ8FwB5uFqrMibK/DJcJfbI4VTwXjLoEY4zMAXofeW
KRHA8tfH3qXOUcBsthENV/+Otq/oluJX4NPkvUpY+skfMW8MW3xLisLGdesvkSO+7C4cZkRrLYEo
ebE2j15CJeRhZgrmCQcXaJ7J6FRglasPllBxLHxaNZrzI/LYgTzJJgJQpH1EosOWbpjhNY5svvTJ
4aO+1j3UxInBhOZ0tqm5OiPasW+N0WNF9GhQFzG+3pjgBEzZ0H9r03GTc1is6yWqjcQr0qx1/IB1
VssHAOjwK+qg5F4tUmDi3QJuxw+0kHURbLG2WKO8WqyHEIcqWJkp8+47QfZ4bjBvLXfI3Oz14E34
hg9j3PfjFT41uxoVVt+21EP5jAgc3SLP4AJEidOYLaLzqDGxzRhEfzwgf3HGMVeK7dDkTBQVX6DC
4OkiBesGpa1z4Wb2e7VQ33mszCxebaWJOBiVmrARVDk+oTgu6wsfzPiYDEqVO64f1XyLgZlnN1jl
2h1MUC736MmJHl+cPvwsKuSFM+83r23eDwUS2Cifr/KmrgSBip9t4qmw+7qe2Heg/ROUCwTCs8xD
xBf4CCpzVyXeHO1tq5GH1WYDwqNrd0RS8G1cHKcduw15aEm4G4U/xvuRLFX0+gFp/dguhJGnyYv7
L9I/WygKD/7qKGeSIXfTwGJzFIRC7BaRaHVNAi0/g3KtPmIiA9mBnGx5XVYh1J07I6fbMdbE7i53
0S9v83nNs62OF1SYBYFMvBs5Wi2QZQemiEUQfn+OXWSEDWXVBfFB62UmQMgcVJJX/obPrxrx9uYz
D6vq5XNticl6Q15M+24i6Gq7i+jEzHaoj4sEzsxmSXKmSdZHdriqvx+sbni0Z68dd6OexhKVgiiC
nUP85WeFMqvcR0OizQFypaDcNmHhmlsXlQckScNFuFpi3Jmka+88T7U+OTLRWh+GbHZ5iwNUvOwd
VmP+6mRGfdUGZABiQU/iw4qcsUjZJ1z2ydVpPMIfK60+Zu4k5B6OpZsUg5CEPQOTn3FZ+aIh9iIy
bYqk1ZsfmQfddkMmJEBuXKng7AoE3qexV1N5avkugAmQvrZ3KEGnabeiYrqv4jEPrpOukup+mssZ
Mroa5gPy0fJnsqzIprRL8KU57uqeQM8Ie3JDeXvBByv4lcXYzQ9wv1G/H+pmSM6zhRMQ8mDCBA61
pvOdQ9wnQViDb79bKjAgIWuouf6jBbCH3ByBbTQsY9wKQXPzqFlUE8Va2uQFrrCRIG9u7lyHNskn
csrCKNi15HxzJGimrr3TghmRWEQw3+pZ0w9qjeC3Uj3+67gR2I49pZZ7fG/FD1NI29xs73qbTDP6
v9tZvmX1mWFlizl/Vr0A30W8ASJo97YnINlk/4+8svKbJQsCKWPeO0RgAMUdbrGB8m3UZ4ZWDl2b
l3JS7HW68LKnqnPUz6TxH5PkgLFwVzkD1a9FswJqOLFDJnwE2pmQ5eASsxVzaHARYW94L5pOxecs
V+Z9lev6QogG+QtM4/8wSykOn4h+Y0IYhuToDai3COtZl1e76oKbmGFBERjydD0NXiGOVGrlj6xN
EFChxjh/roOBPemWOqY2xIMRo+D3jiXSWI9OdGp11f+YbsIi6fbY6smj7fAuxaAPy9HGjdC+tzUh
tPtbQdjfoJq1OUve3QNu5UxfZi2rXxDFwUZcRu9ZgExDEz+KB+U3GXFLgeSh9OX9zRm8x7jxuh2h
dCpJey9rDolIcmqiGoCQ8yxE7UD6rS64bYBTAdVMWz2QVZbXD4TUcBSrsWLKDT0g321XszLeltgx
O8c2xOLOdtdI7ew+IbM2kPjoUp84WfSZuNv1g+JN++P3if7pIpXdEfxjo2qeNHqQoe2cW448mw2z
fVituzUunCdyoJE+9UndPqGOgOIe+JqPA1FgEPjsiH9s9O/VFhkvwc4kxxK/vmatU+2sygt/+bJ6
ZyPJ4C5Ofjm7oDUtMYibLKir4MJVZ/IDeUR+ccBFyVfA/3I8xkLW3EyBFw13GZLoAVp+yXgEBxl/
FMwo/TG3ibF2pLT+BXZWrcdVmtLdz8Ks6uamaZ5QvILF+pOl/9okBHnINPT62zTE7N0T39J7+2K0
9X8E2Rf/2GfmhxJp45M/KWx/snba9yp2vDcOveShNI3+TPBJml1uJTEW+cbHrTW5HzmD5HuwrtOU
5uQgaNa0VdBuTg72qULVhCKutH2uc3vRw7Ziz8DVHseo/nVriGXO/Cy41sjsLY5QYf5jX4a9rKfS
+Vui0fwzGi/6stuRvghHEHbEsp0HL7VrEEYpOny5pqpwupCPFXqbGmBC2V9QYs3/ODuPHslxbk3/
lYu7/oShLKWLmVlEKEzayuqq7DIbocvJe69fP49qNhUKIYTsRq+6gWRQJA8Pz3mNd5fnvt0fUspe
xj6CvFwdqXIpHyYvnL5qoqoqF4Nq8wtlcrY5pkS8lBCerV5GdAyQMECwhdY3cKR3hk8hfEcSo5Eq
ZWr4rJTgMXdO4+f9wVGshMoZvSC3rkK7paFOBwK4qtb/NMYoecHc1wPlzBWGUpVn1ADnPByX96bs
h+gRLU7x2nTkBUqXeBjJdgOlS2HTZ+tNmSl7z9Ed69meHBXVzdoUXyx4Du9B7wTBPgaOigFphos8
Wlhee6YjAo0/KxX7E06qUnUVcsAjxUy0iNqkQ2wEk6chOGbceOAGwOLtYUdV0QFOGHVMM0WK7S/g
9gKuHGoisM+Kls71MLciMpq8UC0S+EX9pKnNKQBWMCsC1AlvrpAe8K426Q2iHAZ47B75Qu2kY+Ba
vqtlhOAD8BxFOyXqgL+SRwFSBx1eWOnfrYV0Fphmxn5fWfUsnZvyi8ayan74IQI6NO56tbgnl8of
o75REdgY+uLnaCniUaNGQymfBvmTHmtFe7RHB2R1zIHVHykTTpFr6oVD1NW5sZ/VEcjEYUpDJT0W
SWt/4m2ALZuokFvc0VjiLg3HCQm/MqoaxGLIAPtjak+k3Z5u59XcW/ZD1+xhNLhGpM1tXsX0Xkdr
TH41GVn6L1Ml3zuiRKq2D2mJwM0OkT808ruSLuLOiKbcOmTYRvb0GCid7ILQMF/7oMjpN9gatf2o
DKGQ0w8qfozWlA6oM8Z174aQXbsdamSliQ+9Zv1Mwfg9VGMtfs3AIn+ndrwJiD5UH3Yt6oIz5wjI
PpKwo/NBTf0ufukVuw0ewrqwIPJB4uc4VpBeyzyPoEVVfnNKsX1FUNRwEt6fyjR9CynpIH6XV+ox
963GoKRjG+ADG4SUn7wSHZ0d7u11cu6lSUULPpqodl6jmB9C5IJ/NBaayEi4OP272Kk8f2/qNRHW
Czm/RzMAqnBMKnM0d6Ne5M+o7dK/V9BnQT92EJ+sWq+/NciQg6jRSENPttWJnxFuRskzt23+DJkJ
6+7aE2p7UCpPAJROICgyAT+i/olK973dN9FH5E/oRyGZV70WRolBJ3Sg7jsKXWW+6zBo/FkZufBc
ZCdoZKB4Zr80iRWQHRBt0bIrjeiXwxFE/VfrIrpORm899iTAcJSCVn5PkbDt0JtCO2eX8BSUO1SY
CAJZIvoexn0Fn86h7Xo/laQbPL0GMgO0eawfVg3Eu46qyttricftkeuVfAJ9DsEFJJLzCUx5cNaq
EDWeKu2hIkcmgtwH1gNICILlDYCdwZZzmy0AbaHqZZy9E2mhfc/BBBR3DoKRKRrltfiBs4ei70c/
06GMZlYTnQRo9WfDHtLm5Gje1O2Tit7mYcRJR5xA3Y3Plj200FYGXx3cNDaLfxLfD794ABlfDcsZ
EHobKg7TD9wMRXpC+6mtd1YqfAHYpm3fh/hFeOeoiuPwDqwDOTUgu+bONnIVESng45+GLLQ/2Ujr
k7903QDsJe1QmVan7p8w1cnWp6YGvZcYPDkBRJofJ9uQFDOR5YKGaGK1Qg+miYN3iqKar4qTwAVW
YiOZ3TypcbcoGFhgJdLKAk9MyWlOA/B3zj+YzURQLAqYdnQ7664+Wl1mfmn9woJerk36R2sCUIhj
gi8OEX1qkBpoa2j0ng1ep5yhwERvFKKFCxxZQros4AfuBA3R8KCOkjKT0SF5u/NTQqsbUAM79Ogz
tUQbOvX7TgL6fgYH0qBXRhMIZWsBCUIL94zllAfR9nHy0UdpxEPmeqD5CHbS6Q7o7cI78Kx4oB3n
2WN65kIOfZdyiJGcdR003aHQOv0b2r9VeC5EABg7kI3+iJp9F7stCH6iu4EfBJtN0T+rlW999Hjb
2gc9VacEiBL0NleXYDlcUDukqTAY88cBu5S/U/AQ39q8UjJaf7bxmtZjh0oG3GvKE36hfkZ7PvnL
7qqR6YPyenKQoqjwUX6Ik/G+FNZsokMR/ldGbB1BvOWBjZhiV1BzRwIbXw1pD69p1w6fywmwu2JH
MRDkeuoeqnCgxqwbIkQLF3z3awIOT3sY8CCAF0aONcsKQLM64clUvaidxgbpgdR9HAs9x64w5yuB
GYK+jEhjD54KbXEoGBZITuUIwAhdqQYTxA/Iz/naV9OqqZn3WH89B0Tx74bqa+PRihCnflJgl1Ar
Hh07Iryi8E4xMNXtFyMJoB+0EDjKw6QF0CqjYNRH1weCeceN0iYIkuYgp2vFMP9qU7PlJku4nAo4
pO0u1EolJp+0qnurCx3HjbJAkqSgEKMf5NB0Xyc56n+rwZhpbk1XFo+urrTZ1j6Gdi5feqR6nEGq
0YEdpQ+jKXRBkcXxmi9BD337kXxlvIe/rDXHSqem7xMSoNjTvkcPHDpv/gL2kycqrdvgtcMrFMR3
6+uRSzvIpjDvUfNweVLFnxX0Pso9kpWjPBb0eD9nQW0NiM8ow/1/Sh4mvIboMsnE5JYROUIdXVUi
Yv6fMnD6vswSnGhsPRWPFT4i33Q1iKgCp4LeSefBTUCau9S/+w2kU2howNfQKej9vwqTjg6uLhHl
vixFo4EyjGgAurToAn6lNN7aL2UVZO0TrWyNHD6vfO+j2g5icrVwMu7gGoUpTJsyyHb/cXpdHzNy
OxdsTfRAX8FBN5ytHh//oxZULAoKhG4gPesHvbrmNdOjcE6ggGEJmMmf/jNNkBlFp8P+tWrNI60V
gBUV0K3UQorUOv4H8mTjCOklh9zSAn0vuDzvRYwJzzkCwzxu2EKt+Blps68af0UKhCpmz6E/nLFU
4SPuohfNHkzSiNKUCcjlOPTNoJ+H1k8eJzB2X0cvHu9sCgfuf//X//q///v78D/+z/zl/1uC/lfW
pi95SOXr//z3msWQQe+bZN4whKMuvA57chpJrOPpA7sD6BKStJTznIfbo6zZJiGVZwBqBGHi2AsL
QD8aKyyDeD0pGs1VVBh/KW1TPfPOGO5vjzR7aF0YnxInQJ0bQuftY/JBLz9mHwV+jqYWlrKVEj70
U6uduEz7vaHgC2Gm+j+V1SNwjsHGQ222328PPk9jMfi8hqo0sHq16EpfDl4GnR/Dw8c7Iquiu0KE
+FUi1XGs/QaGoNEFaPDEyeH2oFfflq4fnT+GEwDqNGexgtNY9E1ggnqb6rb4W+gIY2dFqbxDDj98
q6ciE3NMQ7d19H3wL1ssI82yocHfAIJZUdTHTDqZC1W1cQcPV6W3zspQqamopjRQJrTEwuTL8LSu
QAMfsUlpfaicKHka9PKXkXbp89sH4i1p4EKv8hnFwpQtUS0TYBNqAejk1ruBisA7jah6pAcOO/P2
WFcGcEzGsDGBdPDZs6HqXu4PGLYYrqSOsZeojaIlPWq7WM9pWIAS3mGI0b31cM/jOfNyEVc0uHKX
40VF4yN0xngVaPwTmo/KwWin9P2bZ4Wvp+bQpBCUNozFUqWlP3Gb2ySc2JHtvTxyjhBGUcZtBOIn
em9t+CJeb3iktSXcXkeTdISWR1xV4MGmAgxeItp6r5kWzdwSeSKjt6e/3zw12JWayX6XfENjsWDd
XBpIQ+wmpiyxXqOipeEgC+NXg0DhCbxq8NY4KQ2cz8HyUR7ggGnz1P+4ChT8ALggQdEpiPGeJz8n
IwdCtef23vJjXPmKbAss7JBoMmDHLFYNjYNmJi4gOIMO6BlDF04A1Zk93LV2w2ByfSiUaOd/HXb+
5aw0D2YKHKL5LBvlTtFCcecBIKyUyNgIUCsHTCdmEAuB2hL9F+tVaIAMh4CpVOAYYOjywO79IToF
Zo/i2lRGb49SjOcIw7JMh0+5iL14ffRJ57AVM1yQT0Ov+66BZ9ipqaNft3fi6jfUHB2pEVtILuzL
bwjJH+8cCTE8rmjLT63vHaocg/po8Kt/MykdOqXgE1qmvhjKJ6U31HAgSvUaOnkoBdyZHrQLhB/k
hmvk9W2NvzOynvTVACjiaXs5K6DkgG48JIXRwskAM/eo5hx98nEa8tiF/uqrCrheoyl0QSZwyfej
o/Pg/Ref1ha2Y6i2rdtLg/acx3tWDeg8aJ5S4oEE25xiZXUWdh9tBOTff+syQ4C/LDCxsATdX01d
pCfCT5uchpi+z6Ys+KxUdHB2zYC1UQHK7J0IkvglrCrjgeZY/YgZnnjHlTsdaLXbd0Bx5M8xLrqf
wLIzm/c92Cy6+/E5ClWKuwr0l40Laz6Zt37uYn0UBZhqbNn6PqZf4WcBHVhvwPoAo4sDcu1in45N
iNYwQiG31+R33nlrZO1yZ6CMAsWlZ+Qa8UYADyjLpfY7i8LZvlSt7sGZIQEUCX55lV49ijANzmXr
bfyKtUNH8Ge9rDlw2fP//yMcQx4yIh10D0w/tCW9EI3xGrj/HSLh5cZQ86G6mi8CCpxwYMCWtTh0
lFyiFuqesfearyYYzRNNmYy2LjqyBSJCt7/u2mD6bCwK0gP6g7bIeZwiboxZ/5a2Y+ar+1w1ikdF
RtXJ7IeEWrwB62xjfurat7SpFJCRaJbUlm7GDhxrsgg8OBFwqdH2xYsABLZX3EnS9bsRty/AKJp1
RC6wfym4Kehw4QlwoDQSvSqaYz2MoL5LF/6MOJYUy0+3v8l8NSwWAFKxinyKTa2PK+RyrbP58+dI
aIGKg1hpl+DtDVpvh9ujrHwFriWHhJYLShNisa29aaD7iuzBvh4FkroGAinS1HZw78fj7ZFWQivh
W+Vi1/jiurXYu0mvd6DtyP3oDlV3U5B5dwXdnT1llLkFYWWnrlYDtCAd5RHnkOrtQZWEmlhnUfMm
qi62WDrA/Az7wNw7Sq68bywBt0KMRf4I5Tr5fHuqK9vZxOLY4KXAxlKXD2gQknCAS8YCKDy7AOj4
1FKnA009lRDLsD7b+LYrq2hxM7KEGHSbdPMu9womOoh5mpT0Aa3V92Ufo/1XNPZjpdnOxlDzn1ps
S4ZyVI20hpfz0sIZl54aYyCPyziRtICSOmyRKA0DRMAxVTv0htCecMZSNiLE6gxtzbZMMDemqc6n
5Y/IB4izilBnQhEN0sWROicokgJNdFgd+fnNq0dnAj1yzrAtkRu9HMpS0JKHXkqSO3nig1EWEX0D
cMdnWJWxAw6vK7WNYLQ6O8fiVcmdr0p7MTtTb1RiIBtG+H5THhRExZ5QNjEjN4Ra/vbnCl+RJbRs
S9PJgC/n1/BwQg2OT4myigXSiDxH4td9qArgnbc/5dq8iFy2oxnYwUp9Ma8YGe0c/LG5h3BmYjCE
+rCS4FHbAj7c2CBrF/R8Ang8UNKB67mYFlx9YbUt08LkSfr7ws47E5iAzM8I6ytoGAdIDie9k/W8
08b+Z1WV3R1ePtX91Kok52+fucVdRvOcoGqai3BTJ7hCyR6dTEx35bmFAXUcnPq17SHF/ouRHAc9
LPA93BZzMPrjZPB6w6CUX0C2qGEoAD0MqSMN3CuOeBvfeO3sy/l9hqsafV97cVnUQwVEqwZOUQD3
vUOPkS4b7lVuRQ/nHuFo5Q5qov0vjiPvC/i3RG5qFPrl/HyJzuOIcDaI4sSHaQsMIw0s9ctopOdi
cryNF+/qHGkfSYMUCz3LxcLlcBxsbUS3yQvz9r0MjWiPB890RlEjfoQliOUEWoVvfyYSu/UZWqWS
1lmLOU5I0IGvQ7o9AauqHmbSKDjBRmrPDmN/M8Mg/HJ716xN05Y2e5MdahHtLr8qSmiGN6DjsbdG
s34dJoTGqxw4a4Qj6d99YCePba+MP24PuhYOqCujKOrwnDPMRTgQVSZLo0cpASrM4OajMu6tRIEg
QLf49OahqHtSk6EqOBeBFl8Ul+2ZaUbvAPqv6gZUKx8pK8fHpPS6jRtxZVaUyaE5CcmbkRzn8lO2
0JcgZdUoxTpCHGOQlfRCEgv5a/vX7UnNf2lx90LzY1OSP1GNEYtFG4Tn1XGh1nsdWMlzhWn1ANcz
w6Pz9jjzHr8aR+cRDFVOMKVFKLVlmcUR0rbgXSrnzFnJT9ZQW/iO6whOTZZ81TswCwXXISYIMv52
e/g5Yi2Hl8ICWEKjzKIodPlB7SprTV/qnHhh9h+kJ6a/QHUjWWp32bEcM2Wj4rpyFiRep1TIqXHp
9jKCtmATZRDTUrQnH+ZRmsufuaj9fUh7HwGT2Z4SCORfb54kMRv5F13XheAhcTlJpI8R7Qerve8c
xOlyVCLeWXSnj+hBomnCi3JjTX9/tcVX5VJkf9q6yRmUi+DtJP1Im7RGWK2N429mkMrvc4j/JiSU
TrhTFfrsajAEUJgmSB+gufyPKRVIy7098euvbUrLIaPQybJwFl8cF8gcyDeFFEqFpWjvMU1MftGS
wAEVAsIDUgmm3I0QbIzd7WGvN5UpOabMH1oIog3zKf7jmrTQFw5tTJXwL8RxLM5mKRNsJu/gs/xk
E4Ybs1wdTrXnHpOjOlyal8MhWahCXQLkNGsAfgTHY9xVCbz4QRkgZQc5MnNvnt/8RfH5ggSvMsfL
AW1rViXO+xr6j0JbMtLT5sPUGtZdZHo9Bpp5szHDlXXE0I0xJfcIaeviotTLLkxxWYL66aT1OdQL
1OuxdnAVz4vPQaB4d5OiaO9uz3KOPJebmJo+8ZwnDq84nleXs6RAm9NG4qji6QG6qRowGYzJeKRa
FD+soCx/RE2NfwAko43zcx3l55EtMgPe4xbwq8uRDZSFxqo0uTDRLz3QepZ3lW5rj+j85Bstw5W9
QwVX1anKUcolCF4OpXhaVASGAcShQLOxGsbpALcasPNUfMg9nLxvf9PVmbGC1JVA1xnm4laJUxko
Uwj0BIpzdszJIIH5e8oR6Zxk4yOuLZ9KgcexHNpOQi42aaQNcDzSWT9mggDYVYp/MNDdQeFb/5vG
r3ZC0Gi2SRiUjaxuDiqX+4b8iiFthzSSL7rYrHE/4kyUVg0UEOpLCi5Fx5DCx8aRuF443h+Uj9mX
hJqrM9ipaJJA/G72dR0hqQMpwEWEpjii1IniEM4wG59TnXfCclpyfpzRedLIjhfHoRIFIsmN3tB0
Ko3nKOEFGUQZpmaGXoa4tnjVSRQ1ZAFLpOeyTJEqDZ3m0HS+jqxHXz4JRNVeb2+n6zW20O/TKOXR
eeYGWWwnkNc+FDzWuE4T1CE6guxnP26GEzpB1qemgYl5jgbYhS44bkCWt0dfWQKHdyZZH//A21iE
eUdaA7zcksZ+PX31kT+m8YLJ9AiliRB4vD3YdZ5EFFJp03JuTF1btp9nU1wEEXGnEEC7zxhyIbIj
p/7spVjmUliTd7mfIibZNk10MIEivL0eLDlEjM+vsBBkX5ynhBKpQOCp3dtx9IMHUf2EQ7uHkGxs
vL891esDxEgkZFBIubuZ72VMakus+WITvI02ZDCOy6A5hbQ7Nzb0yihkYDww59SAnsRi9UrFQUZb
eHzQyYH2i/nPvaIhlXp7LtcBT84lyHk20FvYLpdzydGsRUl6QJ51lvMaA727s9Tos95P0+lfjGSR
4em87KiaLTLZDtEy2Cs9xq6AkfEz9eV9ivgweh96cnd7qJW9SO2cR4iKSjWd9eUCBTa2NNasHYPv
Yw1LojWPxqD1T6pGvX6X6nX8MR3h7dWyKz/VvfX2SjLqc0CGNAAKFp3OxblHoJf6TgqMCvPC7JF2
+HTIe3QpYzEYh9tzXVvA36AF5/fyLRuCaMB0rWy1HjmeEppUDJkM7nv0gtrhVmdi/myXERZ3XGY0
A1kEgtKLHWl7mFSpI2zLUp/0D+jdFZ8KxdI+aQr43l3X2I6b5ln+5uuKUUGu8aBUqZ0tFxO5nmFI
fKPbD0ApHzBWKly1d8x/cQ4wuKMOOOMJaORenoN+xBhaGEi0wzhEF3TS0WrVp2qPl9/bi1RMhfck
8YPGKhXBy6FUDcYyIGtgTxLLEolI6wEnPHPn68ixvH1zzLWUGURAB9xcnDmtqjEF6vRuX3r1eJoc
lLEDGsXHpBu+3R5pLVrRiOOameFVNKcvJ2U1eupMCW4bZVW0d03FCzmzQfrfHmVts3Oh6ibcWlQx
zUW0KnSP0l8E97K0sQ1BlR8p6Mosz1OTdxuX59VQTIKsmpcwJl8gTBZZ0oTOUm21eLsKs5Mn7FHG
c9m31BhgIR1uz+rqXM1D8eUsiqRkusbi5lIw8oZXhNxRnKX+GfizjwRRE7zgyVZ/cToDSmqEY0e+
McOVYS2yXOyF6CJwzSyjJK1s9kGBFyZXAFl18xnbRPWUpLH2E8lVO0cEyizfes54MPw56GLzm0jh
pH4wTGjZ5ZDTNAx2UOVojmPYd+fbn3VlBenkOcxQB0IjrqBIIU8gDc2EfYHw5j2IZZQ5JX5uAMCN
jXN2lefNswI6SbuWbwlg4nL3e4BLQn2IZ2POZMCaDWlXQ0eAB/iCcio6zfpKHhZ/GGS9ceyubrrF
wIutg6YLsHojmPZNo/ZH3oGoF4UmVE11iop71NYDFyUvGPiYDz/SWE43DuTqHuIy4ODTQaEyfTlx
RPampnKwOhEBJlS7UCBr6fpBkj16SAREUDRKlEFGJC42rvj1gXUT3Sm6aGSclwNXUkWCFactunxx
9zeqH+U/GjZEJ6gw0i2FnE4xJpBvP6hzj5xqINcfQLDF1+4LxVEzL59nC4h/T8mqTh/bJsv671OX
KS9dUEcKFdy8+n57K19FV2BFvIKp3lJA0YHXXc7WyiejHFHA2SO/oEywSVpQ8TgWy49vH4ekUyfd
dACTLntvXBdaaVfwpy3KULOjzlh5D0EAb2Vj+dYmRGilcsGRw4BxMaGwmaSReLGYNZExb83xX5jq
bqs/uxIB5J+jLI5lEKPRjvCH2CMH0pyk5aHiHjizCpF8c0mEFSJZp0cCOZMGzeK6QEeqTLtAA3Rj
5dqXQBnV91or6XaBJ3JvL9LK1pcktbjWW3PveYmjwyjHdrLEE3sU31DbQ7MSVfB+vKs6YZ99nHV3
HeLsGwu2EuHIVyyL9oGK+Ka1yCSEDKSCyZaKxFxafafy8g+KiNNzT0x4gIKfueY0e8s5ElH529Nd
W0RrrnBRTaDev9wqmN35TRqzS9rUGk/Q0jFijGD5aWjtbFxOa7uSrB3YG5UR6wos69DrqXwTiRAK
4PkpF3npSooKGzFzjhIXaTRbhWIhED4Je9Fedg6lgeRnOeHiBrx6RD1Slnez3+2xnO0u+3LUNhpq
ax9wrojM4E7J63gRo50ByzhsvrR9ZWbpIQ/a8Yjz13iC17hVB10dShJABOm6yXPyMk6JEiYUzSZt
X0JKPBAtESbEoAzdSbkFkV39itx+1BUpDdKquBwqDkHrpzLR9jWemHeQGIy7AveU+wHm4rve1P3T
7W24dupYMiKjRqZGe+tyPJwToqaxmJquVz9j6IrnsIE1F+OQ6zYYRmBePeUbY67NkSfP77I5NZUl
ZKAA8O5nA2F/dBqxn9Qyjtyx7NMMDj0+jIhQZ4+3Z3ndGWFzOlxtoGcILvBlL6dp5haGAKNDYI6c
Ntwl4W/J68FRjzHyyQjXoRpGnLOPYWCiRgffUD16uYBmdvuHrMUb5s0THtgXTZpFPI2lik9UEIJ/
i2ztRcGQRYDRsPoT5bT+e5Y3JtQlZOm7utK34HDXY3P+CbAY+VHOp5Z0+Q0KxbeGbvSw68qj0m0N
Y4jRydtpzhFuUu2WRtAfmrRWDrenfB19GNZU2cvGjMlaPnQh7FPXmi92vNWNgxwj7ylG++58e5Tr
IzoPANqblzQ3hVhOLranESO5ASytZxJ4fMy0kHs5DkX56c0jSYMoML+pydGWyQS+6BTpBqnBTtS1
gxNPwam3nfKkTr21Manrw0kjfQbu2hZgjCuQmW+FppLVIdB8B1l1PctRDxcKslSZ7R0BxCpIDdRb
QKXr00nfGVAo710eo7RBLrdJKyFztyYgPrib4dko8batsJk7Dw3M2zoER/zW7zmXk3jO806k17T8
nlkXxzX+U8hkBVML13eoiAw5D4/HFHzNxma8PgOXg83b6I8WYdF6Qd/PCCJZNQhR2zVaEX6ru2Iy
e6x64e3LnBCf4uq9Ue9ZCUEasC/EFMCez4nOItLmwmxMn94nHfdIPmFj2O2VwPicKSZuRQWypwiT
Yh87IGFaVjgem6nWbYTB66W1uDAhVM3sEgLAvN/+mH0eOnbQCHV0x0px7pV+9E9jIr1znJYTCkPj
Vkp3fSgZjz40NBYGpAJzOV6ChCMSQM6Ik47mPFFxHjBDC3TXN9qtYsP1wkpBkNFUzeJZDBHjcijU
ZIYJrYzeNYuqQ9Wwq5vX0EGzXW2buIUyPJhfMV6pHnzc2Dc21fVnZWwWFWSzQWVlSbFKRhU91SHv
XRur8KceBs05oyCL7pVWnwKhthuZ8vVnnfNGGsGkPzYYRv1yrjjmDIoVyh5DxJLg7UTDDjkNjE5F
9fn22fzd8rxM6uQMcOXqpLU297wuh0qCyqFi748u1rHINPYpeKJdZWCVCtRPb//u0Mx6sVDaeQcq
d0TrP6I5spsFovEowGB31yeptdE7vb5QpEYAFiTN81W2RAEiHtUKYMSoqHgC00HkfIK93mfjr9tz
n6/ixdThcZlzokIJ4CoOwhPHdUs1UFfwaxSEoLqLPaCfMjyp+I6CTdMBOMCUsl3kOht9l47o5t3+
CSsLTdFlHp1iHWIQ86b/47wajod2bGyzqU0RP5IiNGdRmeIewLy+8RBaHYp+GhQcYj7I38uh6kgn
C6nV3tUmpcELLQtUYx/UNYrPUu/bjcfPSjCkWMyDSwcJN7/3FjMLOlZCIFmCElKvZPtWU+FLo6lz
r0NZ3XeNCm9dH8MTLGH7uZ4q/8Wf1C2+59oKQ2OlQ2QD44YRtJwzGoKamg/4C6nq46jp+MSEVO6y
dEKvEDdYlC41xU0S+P1kMe3H26u7OjzniuBhsp+XD14jqb0gJnC4qhqbaFCqNJTjDlq0HZkDeong
4wFZt6g8FNjEKvLNeGubNaCxPJOC5tfhYg0aC2hHO1SD63dp8a3AsfCke62569uy3TiyKxGSi4e9
DCeUqsiS1OKrrd1oUz8gkxIjpYGD8rkfAHkjdROieqM1p9ufdm03Azyic0snUyV5ulzZCFPM2JBs
r7Jzho8WA7gwHJuHqAi3kBxr0WgujszpEliv5U5uWoFxZAjWMdYLLb8LMhu5JYzQMB64Pac51C7i
ETUK7m04rzBsl5RXmYxd4efccHmp2w+Yo5oHL0eGKG+b6UNjInqN3JZzuD3oyofk4p7rMTOyQvuN
TvgjAqFzKns/RlDP8oseEzG8gtxCn02Cqhrxr42w8BsRt5wjPXbgRrBIZv7B5bqNAI/TTIxYNoM+
7lX0zjMHw78pE/I4lZ06HXovbHJ0l9PxG6IMJtryyK0i+FvOcjQ9FdJ+14gIOdAYV4tn8NnNeKIn
qvrHvkVKfkJr42srJAazSLexRtjGWNN7RfUVb2dWfmcfUGofmvtIC/MnJu4nKDNrb+aMsld08h3S
Iwemg7YoO2VBXiXSbBHlQxXzg8j7e79HbhEPLXmfGFgpvHkVocPx2gQka1IwmVf5j1VE2K+rkyQx
eOK2zme7kf5jjkDBF13rpo00d2XDwKC3YYwCJoA+shiq7kt0loLWcEs9tT8gE5M+NMLMztaA0OHt
Wa0ciLmRRVXGIjm5ymbbOoBP1jIUjfDhgeTadtVmCu6jhAYdvEvtUcP8aGN+K5GM5JI+J1+SFpqx
WDl90irpIUnmppmVvQ9leIeNBUlY1YOMb5otjOHaHP8cbnEgsmR+UlPXcCf8rpxzY/sIrokJs8Sd
U3NVdXRIcaIxCnG4/XHX1hGJTDQDeH1SIl3kmCHSqcgNUuTtx0F8ianWfC6FX74mcTq93B5qvmcW
h54OCy8EA1gVqJ7FHGsV1ROfFp1bjpM4UETEzLvVf2Gyg4nXoGj7HAOYX2VNg+L2wCsfl4El0E0W
U4WUc3kszAgdrc6rVTduJDo8vaZ8BDX1K29F9zw04CqtUc02vuvK/nEo/FDxpe9OjFtMtrcLpJMl
Y3ZeZXNRIFDylAICjHa1hktTNtryeHuWKysJTVzMgBG6LRRoL2dZIwvmtBMCpj1aSF9U0dTPoxFh
4Usrb+N9ufZBZxI3q0kQp8x1OZSSQA9LkXxAdrQRqIM2VW8372WTSfogjabttcq2X/oCttDb5wi1
UdfRYCKTMuev/keAC0tKPzpJpFt5HhZCDSqpH8tEqZBXc9JqI5lZ+6BsVgqKc7ZMJLgcrJJaE4c0
190s8+xPej7mGEuEmEZYdjhu5IhrZ8Ocr0MQ+oBFloibGPu+BgsY1ZWOV9X4wKndQ5fYJmpdPEQp
x8yRgKaXdkAVoN0Aza8kqA6AH3INqsOMvkgQia1TVFYG1gZmoXR3o0z8s/TQmt+Xow9OrEk046/U
062PaWe2v7Ka+tTtdV2bPpXKGUVPZ5Ifcvmp8QWVZl+XumvFKTLtSW1Gw8nIE/OfJK7EnYnp+CEA
+efWI4+0jcHXpk+9BrTTzCi9wi/o2tAOudXriIUFWXIYpe6XiF1q5YfYAUpr5F78gGGA5fJc7Q5Q
4bfwXmsbjectCgyzqhCX6eXsY7rulYLqEIhOPUMItxG7sHCMs4I8x78IEjCEZ/Q8+cFVgh6ocRRI
9MrdtA/Qcwzs9pTi8XqXFjid3F7TtQjIEICeeMCTWS6Oj+ZnKjJnke7iV6/7+57yyc+sB5K8w9ul
f+iwa377kEgtcH6oMYJLRpvm8kP6Zl6gFVZNxKW+e2nhTB7w7cS8hv86/FN46JbdnuN1ILTRtUJd
YtZJmiV+LgdEYLyyEAqc3ETVos/gNVC58hR1FwvsnFL8EnfIMA8b0ff33XF5kUI21unizGIPlEYW
p2XQBB7QcTeiAOqL3B26QX3oDdP7p4dV/iHxxuCx8WsUsccis85NGvVPMY7Hp7FzxI/bH+B665IF
kjbQ04fudtVX7VA5RSRCofKHGcBHAY34WwZe8KnIyuzT7aGujylZ4Axm4krlVbRMHzSd3nBURZPb
orZ9GFLNOQT41R6KtDY/Ol6bHkQfVjtuV3mu08E73B7+ejvPSSgRgg4rudISdu7DlLYoh6GKgYhi
hmpDjEReBKqB5Eyryseuc6qNhV7ZXao+Iycog4FCtxe3nQ1LusOwcHTVmZbRJVZ10FvFOWDTMn3D
A6k8xZp8f3ua15EYBWeq9Da3LJnmsnSMSZk6tCUShVUdhq9Jqr3Unp3/RSRUzmofoDnK49+1SYY3
wsXaTiL4gRUGhc0bdDFZP8W00wligfUq+kfNoPkPSgK2P25if+Niv8ba2zaZC9AK/H7YScvCat20
VdKbGFzogEIB1PYRCvMxRoJ25eXPbJ5+l2Ax60ZaP9xJ1R//Csm7PiK3ihdqk8RPWin98+0Pv7bY
NC2p1gPDIgNYHGrcxSLMDAgl4QTZAFNQGzA6xk3+3sPeAnMlhIbvMsdE9+32wGsrTipFtQa+HAhq
7TKGRTlmXtHQT25dFP0jhkHa37i1Jnd2rac/xqESxxzBg6MaG/3G/l47UoQvEOIa72NK3Jcjqzn6
WF6JbjL1/uZ5qNWcuarKJ3Sxmvsq8L2NCLK2xTjEnCkTLC6dr8vxUoC6vQyxp4Q+2h4HVKn3pH4Y
RQx2vnExzKu1CNHEKr4mHXfi1bKim6cY8c4OmUjkDs17GhQGgvNN//rmpaNeM7+pqEuRDy/OTIkI
4GjX0Yh7ZzqUe/wK5V2ZIZijKnFxRHKTKlIdNriLwvJQNvbNyoYlU4P9S47M02qJA6acW3Y11Sp3
8qcC96yyvDOLXntusSZ7oFze7gZ1yN8ehUknuNtnsBJ7Z7GEJi1/MwyzWUG1xtPVMLDcwBf6KDrz
1Y5D7XT7A//GCyzXEbQu+QuyBya37uWW0VGz1WLMHV0apfEe8ef4gFXleJx603pf6G3+VUX52R3x
TDkMAlfEQ1UJ64SHZvwxbAt061GUNPZOyaNo46et7Gba7URbqvi4sS8LkqRy9DHrZnStXGovsaNM
d7Jryw9A37JvPq5wBzEipxr3VfC54NX4PcLyRyAaaeRHHC/Dw4R/wGNDLDqLOOo3dsdK5Z/iCX2r
+RVsUP1fxDMI4cUk9W5wezOvkdYp+j5xQ2R2vtRCV+RRKvik3luoZHzvwf77+9zPxCPazCgRbHyp
lTjDCVQFjTuasoCILhcxjSgOBzn1f7PDpRJ3vdg/tig8P8yd9umAmot+P2K3drbwSEbw3Mm+t+NY
hIccrTK3lEr2BC7WOIWySB/jqseEr40Vc2Nrr+Q3REESKTQp52bB/P//fNt2pYTvJQY38vKBEv1k
hA/amKcP3JXOV6TdkdfNUXvnU2ZjsRPN6P19+0OtnOiZPECzALS9TkS+/AUmYn04Rv4/9s6jOW5k
Tdd/5UTvoYE3EXNmAaDovShR0gYhQyHhgYRJAL/+PlD3OdMs1rBGd3UXNzqio9k0KACZX37mNTqb
K3Ow9kuxy77A12D64JY+w5tpQHh7h1uf//vnAIwrLrnRFgGu7J0D+dCZExN7vPq0scVuVGIT/Syk
pUGhNoE/YPTuVeb5b98s83HDhm4Fis3aL3qdxMAcK1N6jOOQbL+k2iLOcqae3amPV0AWpj1uURc4
3Sy/3Vmkm0jYpnNCEGO7vXzKgBBtbJFqOkOyaDt8cAKcWqyiK2ExJ9p6hmO91RwLFltc3ItjoMw2
JVdm9KQ9e4c89E8TynSBfn3jonpnJKrAYnBsL4Np+WaBQTrJ9fFuDorpdEZnJWIAPL5/+4G/jle0
JyDYcc6DOkEO7+V921a+KkGnNgZpZj7RLHJg0zkIOPU1Wt5vX+tA9AHXopPGbigMhrt7W14E1Dv6
ymZZTdU3lxUBqo6tUnif7VH28rpal8U/CWy52PjCQ3KM+gQNbjxrquYYnft1LgAYxPtF6CK/RRfz
5Y2rzELaBDIG1uyElbDvDHG6YplzZPe+jnIvL7N9/2/xY1At3BLfGmPgbX6KM6k/XvYtzgZ4evRf
g3yyT95+yIcuyIalcwRugIHY3poacnd05qqY8KKDMuk3OAZhZQqJCgfEMAFucyRDPvQcQcxvr5OG
Amp2L28Qk00DQEI/xdYk0+tm7etH05mPHfmvwzCtCtQyLKSbyBKNvccIZi5QdTVOWAl0/QlkzMIN
Ayxo7phUybvVCZK7rtCs66ZNq9iddPvu7ad6YJtwbbIbElRnw5u8vEtaG8JWOdcXVV/HeG/hND70
/fWyLt3u7Uu9zvzpellAPghEZE777AfErEdzhUQTY+tUYJHS5tpTXpneRWoYWHszjscJpDaTZyqD
4ljX7bVo39ZzozWE/hDzqlfjgE7DaiA1B240w9wiwhEkufRUX1zW+uB2CB+hWPvLUvGTwCs5Sux2
/Dh04/dKDNZjn63lrmjFjMDg5F0xIxoe3n44h9YBZFwgsxu/FLb5y/fQiNnGUqiaGGWPLR1tRIYe
NLcRp4vWWha+0b6H3t2kkDDKLf09ou7OkeTz0HonD0AllSBGmbT3CRK/thMZ8AmUgwNrKJIKwG7u
90e6v4e2MRxPoP/wTeHT74WnAmu9ycRlLtY0ffrQNXqB0yQmrMtpsK7dycTY+PztR3vwxmicub84
Gq+n9llv4yRQs5E5mJ/02UxuLJci5e2rHNpICISgwUTQgOGzFy6gc9dNI4iHdTnou0FLvDirJszB
Gu338Ts0LUDF0zFBa47y/eVaSTJBtBUeghmTn582SgWxK3SxS9KgPZIrHborhIPokdCK4qJ7i2Js
jKbMrGCMQZSi9DqOw84UJsbmQhzryBxaGB5xfRNZNGlA7T/AYZB+6xDfFwzOLk19yGOMv2vMnnN3
c7lQvw30JysA67XhVADf75+TDDbqdsSPKE4gEaH1XclTOXdpbGDjdvL22jgQ+UydJBuMBQUKSeDL
FwYAysrpp03x4PlIziZrEKW1lgMemfozMw0oEjQbuKYqkiOb+kBFiTIRIQ8s0tZ/2hesFib4JsZA
Y2xrov9QF4uXxZhyeqGRAcw769rA+IzMNA7YOh5qSyQU7VSqULveDNYxpWI1j7iVcYKdpS1kxPjt
R3NggW34VTqcdHU33ZKXj6ZZ/LZnmKZiG6eD07UrP7fYA6EX7h4JsAeiwIsL7cWdPqGEVwI05Qpu
YI5REcGyxBqc/ki373VVQwkKt5G0ARwUE4mXNzRiwK1GjWVsrqt+GkyTpPI1tJ20URL09Vq/0dAT
PHLRQ6cbXEqXyQD1FJS7vRVmMhYYrR6j0jF3RROt2oIRsIVmaOSr2vymtZWOjoU+WHFOpamwerHs
+9pq24e2W1CkJnKMBVlUkl7mlJ2n7Jj56e03fejBgKLfpm5EFHtfgKfAjtC1W5RTckNzH0tMWXdW
Nmq7tAhoreSzF2Om7R6JyocuuuEAmarSv3mlyImqPv6rXjLFPov5LBfNlxKY027AnvQc8zD8XhPo
n2/f6BYTXxY/TCY4BRzCi0GI3ltpSd6vsG00Mo0grT+7zfSpQCDzNGuH+kobpuQ8MzykshbZXBZJ
8fz2xQ9Ma8iO2Y7gHzcflH1ybeurZDDc7XyFUtDHVS+bm2zx0iBcmsU5zZqhjKpEVydzZrTqTJbA
hVRfA3ZliH6M4XQgpm81GPMaIK8bJvPlZsDnskyn0uCdV315Toidb1Rqfh08uVy4c9efvn3zh+Is
2hxYv2wZHhCovcsVOCdqHd4T6+oMP3H6gb88VK2zc1SHLzsOptllikTczeq0wZHj5NCt+vR9GGkz
MCJLeXnt1dLzBkvtITa6JTgNhI5TtIPOSRgEstrJTh2ZnGz3sr/K0ALmMNmOFpg/L69XVK0wgpHr
kZrOu7LC81hzZXNSON54pEY49Fgh09L2BQbPf+zlG3m9LkWFmWqceabKdr3v4ENHMxT7rr4/o1AZ
nlF9xsMUmLb59PYrPbCBNx7jBuoFpPjap8VMm6JKufZYa+7JqA2bAxn2wdc+/7eL7DofLma383dv
X/bAHga8w9CT4LF1EPbepnC6kq0tYcCmmVufFbqusCzT6CFkiTY/zJ6lutPJ1Kz3C1h2dBV6+1jF
cuCpgwahCexuQzlkvF++YBczP3/Vkj7W/KE4CZbyvddO2Fuv5niit0F7jvi+iHsO7yO76MDKAhex
QVyJ8mgE7TW9k8yTgRrKIdbyzP+CN619Wi5my5CqPiZlaB68SWiypAAoCkN7enmTtb76yarju6Nm
z/kmMTC+YDJlnsqpnM7XYRSxSF0ReUZWfxyxRHQhQwDTWHUbD6TCT6Y0hJ6gzqd5tuI6BY5IYK1R
dwZ53n/qWkvgmVS7typZMwvB9XX6UsHmVjzPVV2MZdZFhAnHD2lK4bqXu92ZWLJj3hoH7xLdxK35
B4t1H5fp+wJL214N+FFpzaM2q4sSVbYFiqkpQ2bri4Zv5bxe03PtjhQ/B8IS6CVKH0IT0OX9hWzi
biik1w/xgF3VZyLn+85q0h7wK+gER5gf3t43B7IsOmAbt2OL968kR8Yu9wV55BC7fUsVDV9xNMOq
PqafcmiJAiDivuCxoZa2t0S9rk+mWmhDrHcjBht1UWUYyLX9ctH6uHu+fU+HYgGQ2u0UQ+GTKfXL
NYrra+6U00plp9nLB+nbsr5fhwRK+ah661rRj1qwPBomvC2prneqwKLv7Y9wgDAD7gIhBSaXCIzT
1Hz5GTS8FqbJMuBXGk43I+yPcix6EW2fXLlrDd5Fppb8iEqIXV17YjE3S/ApRTFkML4X7VI8G1ml
vr/9oQ6EZnJcxkEk7mAd9wOU6IOyKy1cjIFaqqsqx756GpzhpErrZZfJ3hQhajrHhMsOXBU+8YZe
CsitmEe9fBLCLAK8J7UuntrefQrgmOE52CX2e7017SVkaBJcFmJsfv9mmRsDWaWBZXHm7h230pcT
uFV0safc1/uogC10VTQMcKIAJ5Qd2tJANTipjmzfQ3e7yQECe6Y9yJH08m4tPTOEm6z4lddO8OR0
5kwhYSc5tACZtif6UI8n7pzORy77q+24l12AOiGH2mat2DTuVTF6bcjCNzVQ+QV769oyejzpJyso
vy300B/yQFpFWELzPhsXu3ZDo2CiECcq70yQ7gKjWR9p3NhA9RtVRmgLaJgNWJOFa6Olz2+vwwPB
4FftuA2/eTX7mZDhFEK1gULoStYmDsR2GWTLnWuhzFFh2zjKYwHh0AUJ44wZKawJrXsnMwi2lqY6
ylq614L1J40uL2XZZhfVgCBC9PbdHVgBbC76FNsSYMnvrYBx9ntfcNzHSZI7T710PzTtWl37OArH
cze1J1mXHssADhwa6NyR6f3qfrPgX666hUGlXbReFy+Nhj1MXvYefuJ6if6s26mnLlD/F21wKMnQ
yLdCYWsFvLwi7sj2OgyVpJElVAF/Il+HM+HPDHGLLEAvbTU0ce2ltqou1NrZWh7W0jS/vv2sD7xY
WN4IZDPn3nLqvWedMX1IKtl1sVEBMF48aYVa6hHHBIZ2J29f69AzRo6HITj6J6R4e4soKGkIsJ27
WORyekiNcvlQ6FMVcmn/tF5bcaSTd2AdQZ3EJwLFJdKAfRVaz6bVAQaFirA0unvk/nAKnfVczMhb
Dvlt1yZkeP40HSPfHMgINsUaiIYk0uiQ7Z2eVmnkjtkzGstA3+wEmhCx4VMcv/00D7w5pCVpXzNb
sJAz3QvPmR5kXlC0fVwWYwPF3F4uclzfIxEU3e8/SCZfDBHIqbZr7t3Q2ixDNVnjEAe103VhWgDs
KprUf+AJPMMp8k5gOKS7376/AGtHaFrMF1E927s/ANN6Y/ooMSe1XO+mBZdbpEI1sIBGfiT2H1iY
SIRsSll/Hu17l/KLAjn/riWFGwfxU1WV3Bm5rl9BAfIe6sY8RgY+dD2mDZR3WxZB5/zl1h/LWkok
r4e4m21v2HGw5usZzzi4JKUy38/96ByLb68JYQwfIJ9BPIYtxYh07x4hRmbltEw06cwSuQPlIfJw
ouiDV3mYTUaTx12vWx+MzFuLc2OiqXuSLt1wmk46iabd6YmFWFfjmN+kM3vyNNWd/NlPHLmcVGhY
kg8omVf3K/txE4ywkru0r9MfYmgH7OC0oAG/ufpPZeNXVRQktZme+iWDwCNp46s9z07gBAdJBM6c
7vNeVKV0m0cnk9wmuJf7nCMqni2ph2Vrr2e5M33nOXx4e6G+viSEfNoSm7obXJR9RRSxgoAs6saJ
u7z3p0tASZRvdol3fUiPQK4nWkGaczEC5TmWGb6KNExPmb1QunKCMEjbi959jsvdsqRO3OdoTOzS
zek+S1gAv7sXt+sQSKkHGLTjgfFywfZ+godChw0NyiZqCRekxCOlldbVMvvVt7cf56vNwbVgvIBI
3Mi8wb64CjodtTeizx7nVpKc+lbrfZLSuhs1keyaauQY/O3rbZkmGGDqRZ1W7ct7M71KYmrJM6Sh
VGlj2LlJ8FOIbMJ8u2QJvw+sGt2Dty/6qjzeMLiM9pk+g5B91enAqFoamENxUT1FG13P+3ht8yqW
MhvjBbhO5OA1dGum1jGHmG1JvEhzuTJMlI2PxoJDOfjl7TY4DI99lrtxLzrtw5QCVDvLkc6IzLQ9
akb5K1XbvxrvEjlTUivW597D7c2x1PGDh3YSoMsa9oOwrzoMylVI1pHf6z4kxzAxU5PyvDORuXZE
rt0ajeM/YCZT/TS7CukDrlhZMRyZdQN51qM4L3JJ2htgHXatF8JApiIR88WYQ5oKzUEHLuklQ5OH
uoYQX8T7y7+4TbF8fvstvu48M/DQXeA+9M02aNlejWoLh4QNj7S4TTP9CqqAqcJgdqqGjylzGarZ
H50dpV17OToSrUxvcWQeanPmDfiSWF519vYnet1d2j7RRoWnm0Wpuj9U13tbSNqTDbJhdqZ2vNSi
P8msdNV2qDCaDDzWlZqk7kEmhPjDl8829Q7ykCn2edGa624fSbzaZaiDga9DF1HuJl5n3dZPMmgI
RZT1eX5Xd3qJZrrlLp/pdzttOKBWX+waTE4eF9NDBassbNwxMGgezrNVBRk2A44BuQei/ve37/n1
ika4Awl1+KtIstCJfrmil7KDcbXUbQz7z42WxizPZDWAd1jVsUnX69gEA4lxDqUQo/xXnNVOwgtJ
USSJTV+On8VkuxC4XANjHrT9Qp1i8EicOLjCmHJRI2ypAoIsL28OT7q02lCwsTnkascJD0a2lMWO
xAhO51TLWOt8PRT56uxWABxn9ZIkkfCa7E/A13+88Jrvf3nPf2/aRWbove99+V+37XP9fpDPz8P1
1/Y/t1/994++/MX/us6+y6Zvfg77P/Xil/j7f10//jp8ffHFrh6yYbkfn+Xy8Izh9PDrAulzs/3k
//ab/3j+9Vcel/b5n398b8Z62P5amjX1H3996/zHP/+AO/q3Bbf9/b++efO14veuskGMX+vs66vf
ef7aD//8w3TfMflCrwDsH50Sjq0//qGef31HfwfACG9tMIGEiV+ax3UjB/HPPxz33SZHxSEA9gVa
4lab9OgLbN+y3tG2ZOciRbJ9w/njX7d+92dk/fOt8Cj++vof9VjdNfD4ez7Mltb9dwAGNE4TDTbw
Vv8A6XqFIbcTpyzT1mljz0vaAL0rw25CvbbNr5qfDkXcVNPyVDKjfJTz/KXU+wQ5eVyKTnAFKQ2E
RIXXo+oxVJdTn1ftbu0rrw2tRvM1xN1SJppjhjTEXY3AXn85zwZMJdm788e/PfID92H90vD4+43g
D8lgAjlsNh8soX1wIy0By1s1EjsXzdqAaXknxlN/FfZ60alN4s0ryuxHZsrg0sNf/Bl+n+9Gaac2
b6I2S8tQehnGOa2zdiLe8DgfKL6zOzexKxzCm7G8nCE25PEwp8ODng6ZEwK1dLPz2Vn84gQWvomM
ie9D3dQ8JnlnvTksXah0HePeXKUcZEvXlJ+SUekXqsJ9PPR7lQv67Lky74JUVR9tgB4efHO9lJFY
O0ktxXDye+uLatqp1JvLWJTbBlZ64wq4sMNEL2KmXRECD8gd8BJ+VYbZMhUiqjS6o+GEJxQ4KULz
FGU0yO6ENagSN5SixkPbm/z2pE8T1QE+E9PV7A3+veuXpPQpAx0cqGE5qQjyJWquQ+Ua/ZmLAaAC
va3kVT12i3/hOHXSnhq9uYK198r2h5953UW3Bs5lLv2KEUJey3OAHfJzjseCHWZgenlIWtcx/hc4
Mkd0NtezTo7pZ2dVAzK4gzWelLOZTTG1/3Tjr95ohGgQKRGb2qq5OyAceopQPTOCUFtS9JLdxMhv
q2yy/HAK6vVHMkg54G6nrJ9dIbHQQAlHPRrlOGk4rgvzOTW7XESikNluWLT8xhBDbt42WFVfdcpV
dliVDTtA8YkrK5UoGnrkD6Gjq/WxsFJLPXhuOqwMuqrFOpk7p7/VKxxBQkOtnmASOJnMV7rMufJ7
SPH4tGEOHfvVWKUnhrSdj1SO/vdMJYsbuRoZJSqzNQKpTc36jOjcIYsjQCGUoYshPXg8KZZ0F+Bm
fYu9NKMTrdaRF1zzybevNA1fk9MZWqK87ODo/VTtzGoOEnhYkV4EOMyzEvUSZu+4+qE9KfFVtQgA
72i0BZ8Xd3D5nr2uTYhOXJPsUnp4aaxyx35P0XkK8dDFcrVYTDP2ZpTdQiuBHBauuliaE30BOQBg
cIG0VJVLHypZOKeaPepFVGZMCzb7T/XESFOqnaz88S7ojL6JNBDtT0lu+A+GNa/q0TL7/FNeNoAe
MjpdX+xuKudQaBr+RG1NShLhtemKc4p94DlB07Y/tW40vpP8D22EDe5yVrUN3aJ09cuftbNA+feK
5tE1J/rTYzKxHcCqgOCZ00s9kepbxTDtAkv0fD1N/SYJa9//DCTJ789WsSSPpNq8bKGx+lTTDt/L
ljnjeTAu/cr+1qb+wmxzV497vU3kzvNq49sy5pNxqvWd/ykYx4menZhJb4K2rUj+aP9nUZ/O3m7o
i0mH5SwaLzKwlUqjEYSctSsmw1rOF9laRtj13UyQMjTvJ2cgfY2J5x37GFBlDH69wdj1zuj7sS5l
s4QasbuOhG4mZNJN13vhGqQ9VvKw2r6ZTtE/OXVaW6FV6slFOtVdcVrpntaFo2UPTTyVadozVzTM
x0Er2MyLq0ZGPLCLWIhKoM1k0hb4ViRmU++SGYsqWhjpfUMrvNgZXA8pdlUbdZjNKm92k03PidKe
RROvvhyeCkJrgDRuZg9gKce5jpgee+5uyCZlXepeVaFJMQcXKV8nIU3+4ilbME6knV9OVoitY+WE
LcaVDyIY8inaRKzTyOj9ur4MsB/u8CbYNMPtLkDsaM6ShCTPQq0AyuTci5AWYGbcpfAO0hNRZbTh
SeKq5sQFd7vG9TjZ3glCZFV2EjhDepPJtRvONGnT7x3hrflXVVBkJUZZpfpqmlI8+lZvV1FdFu4P
cwyAq+nMaKcrl4Be/XAzVNUFe9wN/TUZTC5m2WlYSjNYLzQtKwUTWbdCVMWsl8tUmbAfla/PXwu/
MK6zeWjHiMBsf9+mYFnIqh7CJQkIWSiqYssF0MF8H8DnuVQdnVKxWGXJIu/rexIv/3Yz4bs3k7n/
Kf3G/KamepYnRcGEP2T3FkOU9HDHwj4ozIAdZrH9h2SA4FoSuEcOLJHe5pXHUdEop7ZDl9UVFl2S
Gld+O/Rfl2wtvF09Bn0Tkl4jnSnbdliibPDQA7S9PAjnfnVY7JPnLGeJpq06fyobuxPgrsMXHCty
BIdkThVmiiKb0VVwiu8Cas4cY1+FIG7X9Ix1fNxyHjNkm8ewrIbJvxjGhemezf5golHNeuikmluE
KFP4S6SZw2iFZDTk2ylLLPaUQnqyHLN+DSdsO4orUzbBnZLD8DhXuhhiWIHJHXZkRh4WlkAQ2Ohq
+Rd64rfS4/8x6X2RKL+ZRP8/mB5v+ex//CsFfZUdh01PavyPr/WPf5w9y/U5bSBzvUiVt9//M1M2
gneoBhhIy0Joh/O3YaP+zJQN5x3IQYByG8sfiZwNxvRXpmw779CD3Hhlv3rdtEv/nSnb5jvKIro2
tN4gcG+El399zv9FqmzZ5Nx/z5XBSsLL5g+CmWPPMc1/WWvNI+Kh1YSHrT1JVlM224lGn6L0rw19
LTls67b/PMxjWoQr7kR4NEuM0iCForkTDvOgcjg+gb1ugHb1NR2U8aEX3gSolx45oaqSMt9xDHrp
bpgcI93N/jDXoWOWnX/euqUaY3OasSmd+wrLwxmeobxx9LlO4gDH+Z/oK6uSX3WTeTdOJQGGqXD5
UXP6Gskt10zXqHZyzw4TBuoXHn0QZ5dRnnwMNDt7kqkoriT4KSM00D15r5RwuT2nkOQy61xhUdyO
apc4nuJ/pKZxZmSTSVu4DvQLfyEfvB6Cyl9PK7OXlz4hXQsnv3R3qTfKy4wR5Hu9CohsS1LGhGL+
rFWT26kxyYHjWWUXcXKiZYN1TsWUcly706FAb4VPX3xK0lRellWjaTTgFix1skI5CQJNS9aETWfU
bahZefcgNTX87EVdJZelzXOPoYoEehyQmGWxpUo2NqTZwDpb7V5P4BLi+RAtjp5wgOllECUutOeQ
iXn2Bfd1bwrV4AW3ligwt+oG5RArOSevtbx3v2hkMoqjoZ6+N4XufdfsFrjwVBcdGlkBuXoiM+8s
TXI/CC0fB+loKhPxwdMsZCmUV4PvnPSiuKn8arjpzV5Hk96f5jLyRMIqEz5mV2HOeXzFCZV8MeWY
MM2vM/OjKTWdHlfbUoMspTyrXM+REQ9/HABC1CPTZwzyPkwlKpoh+6L9gDlc+q0WuIWGY9J4fthV
1fpU+RJsSAWKWUMv2v51aV3vQpQAiik0dN25W3GmNOKmpeqKaxeb+pPUlmZy6bqjWTK7bqS38xPX
uMwXOs3Y2GL2HrZ5Lgwmo2J4P602H63zOIWtJcjPS7k0OUrr3fitzCt146EX/i2bdejnrtuUYTVx
wqyqNE24aW4CrUOmGBLUfW+EeMvWU0RTCuCSkWXVJzU5S73Tqq3vBL/sNE2a9W7xeIkAm5T3pU+Z
/0Xr3MsVXFy14BTh9+K9Rg64hmO2kH7nE3R3Ck0rXLRJ+8pHWu5rz0ymMywq/RKF1cnRojFTxWWb
gNi9piry58jSEj2Pm1KmQTynrvHR6Tx3CIupHx5NRbkWadYq/cjRqJ0upOmOOq5XhlcxjvPy7iZQ
wLOihSnFD3pGTREF0IfviiKon7K5NL8H9D8Ra7E6Y5e3FY9tKaDpKfWpcgz1qdTN4sFSwlpOp16v
52jDvKnTZiro9ZhG4j8kZJGornhGb4cGbuIVXPDFrU6sEnuOKIfhM7HYSnUfMCgk1Rsocr3BpWU3
tk9aP6zfBfmcF45wMws+p956Ia5d6SPtS4SQBlBIF0Pflibnc23/UG2B4tUwrRZ0d4l+rekr/Nol
PLFd1uFiE5FPiHLXAG2+73vLXGKGq1YbyaQe0nACPdidBgYis2VmJw86IYy3QuM3nKckH3daVyRI
TC3L0O/kPHTLFbsVGYzAa+fnVVPl/UodVVKcaYMb49nqXnkNkpuhMjsS3Hwt1HdOCQ2biaZrlwh+
ZnupBSsWQmwBL4tMF8PHneYb81PfmDWZOlaLeTgsI2zEVs1Zc5U3YnEwn7NmJ9JmDJWiHKGI6qaC
6v0d2HvOYyS1uk8CUWeRdBrnwfQ6/bmfC0uPKK2MPAYkzVmwDqtJTgm7x4mzHhOqC88vYFJ5LWDd
SGSQZkJwgIYZ+m2OGBuqZQ4RPXW1s96b8cjKGKvBRkhT8yMA0dI7FVtP/wzUk/9eQ7ApCCu3LZ0T
DbbHDQurCiJXDnl732WJm8dez0tCjjs1fi71ZJZRl+I++35t17K8kAtWsx/cQOPHBcdVEFEiUGnA
mBv8yzRw0jZWrRFou5Ej+0ugPKun5M28MSw8b/BOtFEzb3S3WB+apteMONDE6EUA2edvY12XT+5o
N+NZg6XDZWIb5RDWWT9+H0SmbpEkcrtLp/bSmiL+VlDxTzsseKuJKhuVjDgZhfjyt3zkQOvo5agF
UAeSopuo4TZ+ALW13x62a+UQxzM8RYe8v6swVjvn1PZiyqt0Z+Y1Mxj6CZdLPnl/Nm//f074xwY2
+J9zwpOvsnn+x3lfkhX2f++abr/2Zyqoue+QhEYyFxUcZLLQd/pXKqh575ArQf1nw2EhsLmxSf5K
BV3zHb13iAbQekCA0x39dyroGnyLuSSNUyaVDECC30kFf9kx/3ezkSph400i87nlpKh/bCns35m+
mEIKwx5rO0KWsr/v88A4t2X6mPhDtptwfjgPZNbvzHFdi5BR5anp59lNnpTmRZYXNd0fFMyZAr9P
9cI+WzNxQ7Qcrohdxf1seEew6r/gAvufludCVs0IGLDE3gAEJcQkb7TaiubE6D8mNe5FUdtI/3Gz
NFNhY7cuHcrg3ATR3ITKHrsHMckKKWYvN84HyKE9wyGrOskF40bLKWmgiBLt6gBgggidbB0Z4S/a
czHnw43ekc3knYeN5GIXAjmofL0XLvLOhFLnfesnqYzsgOOR5kfFzEszkx99iiBRyKzsGRTp/CA6
h/rPdLXizjBBlaK3BAO0lkn5BXgj2gB/W34HQsAveuDLJ8Q7pYWF7gLyDygSvHyfNETJUiqmqmlD
+5Wa9koUzXSFB3HWnwml0/9oM8+iCFfWeZaalR72UqiHtvWaCuA/0XTlB3alvghjV7uteU97IahC
zXGqeLGt7sgnZr3+vRbZViDTb7I6xDzhsvFuX35i2C44M1JERbS2tfdDnZTn2A+b34fSp68rsXC7
4IhLPmRO6gwU6El6Vo7pTztpBgt892Lg+VTKawjxaRe5KRIbobL05aPeWcPHpGrbLBqTQiGEmPTi
AWDpfD9PqL9Gcl1QC16mpY2YbSSIWFtz/mWFpC3Jz0ptNxBx/dChugHILSzxY1xdHBhgvzs0XFTt
R9j1LSUw/bnl1B6GXaK1I6NPkji0Sjzx6NUq+TTCpY8mV1QPAwDWr6PObeTOmpvxCjHrDGMbDsy5
8rXPwhzl2WL4/Y9+Q64Mc0krdaSaQhNtdYNrABLanSJTuG2qhalkMBjZ/dsL6BeYam8BwWMEAsE/
20bbKw21jtot0TUjImPLThGuzerQy3kk5FtJFs2pdIudMhMRarXr7xDmC068cbQfcmWVpBOaG9LT
QWRWTncZjlX2DgSZ8dhNKf1tpGm725QROn7p1iCoK1WaXwdLyzS5WxMpdspol2vy+rNW1FKFss14
Sbqd4Hnajyj/GdPVkvTMBDAdtvklbcgYTJKPCVEQpWtt/FhOzTrQIGp8SvpUXNdkcbRQ3CJ/P6CZ
5aMQveBmqucJRK0JCgo3tSyIM9Kgu0IuJDRau81DP1manSUsnb4yVVrRm9WlBs/wGvtJxz0xS7O9
WenexgMd6AuIuhgO0usqi5gKursSFT8QjW5m3WWme6v1AFYwUh/FWVfgh9bRfw9WAdljSTErTLwn
d6mQpnYbR+CdMssy9jLtUm/SsaKp2t7Cocs/u105XzHFKR/MNSB3P/LuD+zETX2BfoD+CzTxcieW
5lowVxvMaCxZXNkiUfzBUPWmA5BzuioLfoZD/7VZhX4Ey7THZP0zCMAO3lDQNCVMfQ/MVNHlTpBO
w8IKW+KdQ5f8M/oT3qV0zEugRuW5PYzdqeOAodSViMpAa2MzG8W1FnT2LmhZKory4Yj0x95M8dfH
oo8DuoA2Dk3NfXVEY7YbnOUotgKUN3bC9qbTvO1lCI1mDNdcrSdWS1lmtFKGNVk5FrZp+SFtkiFq
RG+FrjXpp6NE+hl8i36hZZ7LmCZJr5RezhWcG+s76QE0ld6Zj8TVX94wext5o6luvka0eV6J0iyj
XeEwGhhRotn5lVvnC41Jw1zqs6Qw3tcJQ3FMoWXwSS8rbYjyQt4WTCFEhVwpntQCRxRPjbBtSsoq
/l1V+q1dGF1OE7tNd3ljZjeL3nUXVdWYIlaKEyZMaoVslWGMO7qq/Q0GEV2c2Eu7c3iOT6XjLZER
KPzQG4P2dsYM4rKRy/LD1CdSfWz01GUvtds8UberSwckQrwjezQHl7KP2Y+8rdjXn5WBp2eU5f+H
vfNajlu7uu4T4RRyuEXqwG7mqBsUg4icM57+H+hzbJOULZbu/ovPdqlcRVHoBjZ2WGvMOavp2K9+
dmOOmbeScNyiBzyd5wWICraZtspkZZdNKJ0JOmcBWxgt8wyajpIEO4TYb01oxCZlplKVdn6UOzPC
8jKRHvNYkid0tNHA6VdflGs1pcdjwAPusmXWD2IX39V63j0bc2a50oyha3BaN4Y5olb++9fyv63p
kMtMxzDb6+7niyqiT1SaafzHUcY4uJV7Sd1msEFuU2SD13b4ympLmzjA5PpZneCzIImRaKchZae4
78s1qut57qTEj+pItRvqKW6ToXarqvk7TaiyfpYvow6dMss1dI4GUi1/nkPacJiVPhJZPoY8fajR
454JQm4roSr5RaLrPqNJ2Yh6KXl9pCNtqeunekjHvWWOyUZeYovxhhtBJ9AeKCCdd10/1GeLZELy
hIkvmZF6h+k3IKBhCW67SM11BUnlWY2tPaVDmZzT3I02udHn20agl/fNw/gMIjIlwKiwMIIZwHpB
mCqfv6AQx4GZ12QwjlIqX5aVZDol/M2DPHXWocnpJEhljd+6ikUQJ78p9nR94MP3mkgZX38TWda+
e9e/sDN/f6iVwGaOQmaHfd/nD1WZeVCIei45UqEmlyp1PE+Ym96RjGGXmlK2jZvCsjvzURdZKSV1
P/XjnyWMnj7DKmIAFYKgxlX7y8YhjpNuqpF1OVU1vmqxqm8Ha5D8nGLtN9PyycTr0yBDYC7jjQFx
wpGKg8vnrzu1cyJkYiat7cfscsgN654vxv7bMBhDfSD8iBd23KTkadVlKxftDxxlw3uwi7BxgwkE
b9A04QyZfNzZhpVJLynneGtZ3Q3p0Qy6vcxiZy95tmySUqFdXA5Kmmywi2mPss6OqKFfVtnNbFWF
nZbNc5EZxBtJYlzvUWNPpodF1cXvR95JcvXlW3O4x2qUWA2Cz8wvI49DHIAyOJozsutxi2kmcEbW
iwNRncsdSh115SrG66bMzN2ShElnt6N6UdILzN02rPnrWoJbFQZMmluYxXyD2zl0BIb1wks4xu2N
JFRnYt+Ut3lDkRKQeCg1e6ay+lyri3nPvkHzBwGOg7J6ymZbG3p7pERHYW+EtLNqiE5VqijKrRUQ
JV+qt7ERhDeRmvVTWOrmYzam5pkiyMbL2KnsqqkGaYe0lvXSFspePzMw8artNoLLXjoKvjmArEoF
7olcs+yxmiQ8ta3yjlMajekqIplUBZVQcoreWtTKsX+65f9X1oAEY+L+33WNw3M3fMXA+IV/MDDz
L2QYIEroPYCJqW38q6Ihg4GtnuMWWg2Ug0AQ/65oaOZfCDfYTOHwhQER6eD/rmho2l9g0LClRGMA
0K6BwX/Q3KJ1wdv/n/eEOYiuGsgZV1/zoZXTZPnBvCydDETCJgI1mm/Fe2511lPBmrcg9+43mYJE
Db8gWuZ9OJlPwYKoxDMJNTqKMAqqL1mZeq83S0obRlrTAIJEDxNvVirmgqWaVysFQyVqLyaQkrle
llrqDllWuIFVl08B6qPeS+Cg9b019QbH2n6Qaw94g9psSuZab/ezWPrIbAP5jLgwfXTSMUpvuWtd
anNWmV7ZdjbCJtfUjkmoMmmRh6UkjjAJ45w5FF6ZgSItrhOvrGMCoCL1pEQIxBjT2yx55KhGf17V
mYDtdq6bylM4yGg2GdDKcxZPrE/FhHcnTQ+1Ebcyrtv7AFbD1toRAQqahfd2iYQ9UQK5Gwz1dG1k
S3NFB80IiT2U28nPFTl7zjlj9Q9EcBekgvaidezkfD7XsJlO7TFR5/t5njT8tTEv3VkQB7kfN6b0
NBcQVI5eqaRc10WwPNKoqiKXjkH1PKWo4EjOEiiYU2zGG4C5MIOhGIRG8sykM96ITYlDZwGwZtNd
xRoHMn0J7ZqZOyQEqOnfIy2M70OVy3gZRsVg0a2xFrlHCvdsL0bhKEWWgSPj3IR3c6UiBcOlZnkY
4qysWKojduO92S65G4dkATpZ14b3RATBaDRYetYo2E16S+uxmDlML8duH7cKm351QXnmFVmEBdqc
0mpwAjRDu3EuOhCIIZHe+p6GpVIJucnU2YQYfg9pf85xP5I3tczX4fEqxMeraMY1v1qGfj/ncr+2
F/qAWxKQZ+1Icj4EbtcaWugWTVc126HspUerM2tYBZRt5DrJ2MWUwsx2pOop8sxqXVquKLf9oWct
K/B7L/gMg1GH45YiMc6NglY8qlAMjBmznF7USszonKmd0Hg95rix2/XqhOdGHzCUGvb3iiNTBj+g
RAmQ8sdtfaUKRvqQSItYOAQupG9jUHC0iDj23OU55jVeaiZixaMKk9QbxqKzR1rej92QYkWthrgo
ObOxPvpyynLgS6tvam8qe+FBneuUHcVa+RHNdJw3xUgItjsqbZxeTGIqwpVYclGzLlbzJiIZ2HKk
QFYyR4dvuQ8WjJicRE0C9DwNwKSddLgmVk2SrCdduY6dbm6lyhGahvNllMtGhJpFJVw0xx2ps/tk
7A5tko2JQ+JAI9h6bXU/pr5WHgKTiomrSITPsPdpgvaomOmQ2JJCBs0mXdIk35e5Uai7MCz7Zkcd
Nk/8lgwq08nlSes25CnHyQWAUC9uR0Na2Ni0C88cWaRMXaIJapOwcWsh7zQ2CNZqarYIG8HMAsqf
FqnWTi23y7SfpCi4NeaSN1lcSghDcNDhygSbkfYxWRPalug2dbyZKjGVfmBVq+aeIWQl5adMmiq3
bpb2sWEgqDZmSsNk5w0dbEeek4bSminNCYmjOifFxMbYKa8u4jTSgqtwhIOHgxLwU5Q7/CUOPRSN
tAHaVqNzSgjxe6dP0WBHqTUg6Iej59nGqdJuBn0R7ylGWSapuFXymrZwm/7I7gc4D9lA+KIKg/qj
KZfwbeg75a2JiJP0ooLizyHuB8y2BnDg+6KTVVq7zCNeo0vUqcEo0gdcwelkcpQF4WlMPXzA+rWt
Dz37NICfSuse6K7jOt2f+K54mtLSC6eV+9K0xIQ/L4lt8VDj6+GVPOce+7Kq8PK2Xl7YgECRNaMC
UTad6LLK1CDNlCJWbtEdwJ/1ogTNnp24tBKaMd3IK67WlRLkGpdtH+oVZ1PGtINsO1FuXVAKKDxO
9FuLN8FsNycqLpgC0k+Nv2m5FZxrTgydIILTVSeyLsbpVcJuYiXuAj2yFGxxJOYrApSh8toToWeq
NR3uE7dnnhg+Co/wfFqkj922KVTzMWYBgPhD1frSnDhA6cQENic+MIL9wlI2pim3G1aEsG0gFm16
mMstCcrBbXuiDcFcnwQDAFE9sYjZiiVS2htftL4Mz/oTtZicCEYNlrEvp/K2Uc3uOLZt/g6Ga5kb
ccUfuxMJiae79FolWvU+nUjJDNUWi8mYDdBN+sJKNtJ8n9i2h9MPpm94S4Mh+qixvxxvhRXIXEy9
ezBPlOYQT/0lWmXYzXTFONMT0YmkE7qTB6RtjBPzGa3453IiQecTFdrUOoQo1iNTbwcnclSifFrY
9Ik3KmfpG6DqKXTzE28aaUQJ2jWWNpm99oSeQEGgU0nmjJ5BN2FWywp3YHs5sazmiWsdTowr0xG4
64l8DU4ULK06iFjOdtCx84mUpSY+XUQnflY7sbThiasVT4wtRRV42/jE3monDjc6Mbn/tyvu5pM+
Yj3N/+9d8f5n0/6cP7b5pPUX/unzyX8RVrmK+dmQrB5RIpvfv5kvQaYFCO61ntCxT6HE+e9tsWr9
JaOZWP2sVh/Gk5/4P+oIfkSDD38I6in8nsgp+A+2xesH+7ArRrWxmiVzYlZXSfpqZfz5zJwEfUpF
Vx3shsO7bC9C2cp2JpSVN6ujSE5SWaRPJeqALdt0BJ0UjMA0QQlDKq7j9NamY/00NUnUwFimtwHL
L3ufPikeGrHMnKTMrCeVaI9Lsw/kx1Ya9XfOqc9qZASv/zf+/h5/a4rE/x5+m/ilec665+bjCFx/
5Z8BqP2FyJreDarV9dhzKov8MwD5EZ0N/CxWcRXV9TV74J9Ws6L/RQOO0hERRwxeEMN/H8zWH9FI
ZP2UoAXxrv2jEYiMfi1D/edkpul4QCIcXj8hBhu8LF+Kg2zCImby8l2SbNCEXXWbX0uPa/eV/Fqw
eFf33tJ9vo+c5SBt+9ouN+Mm3Rpn1tn8UzsMb92Ocs55cZvthIvsLXmTXG2b3S6RZ7yO911g18+t
JzrFbnZqz9rKTrULt3QHzpbd8BaNtiHbtRPuM7e+qvf6c3Spvsfb8qgd5GcrcrE7kSCJ7ptbNnp7
wadTfEEErF+49Bt26b18VR2ABq+SneKX17j4etnl7NVXK1TYu+Zt7sVbNXQsv7gor8a7kQYjXPTV
cjA30wG74V19LVwor/KejGR/3HQHfZOea369YSe/TT1xb/iRo78nl+WeT3munBnb4D6/FizbejXf
hdImqzIanJDdOi4osIMIIFxzX+8DLtrZzYXla1vxLpwu6n1lXb70RzxL+GfD8+hy3lsX8z238MB3
eJe9wg92YJ973RE97ay4MGzDrvzshuryjpqKEzmtc5s7hpd71UHcKwd0RI7o092/DfaFj/zRUV0k
KZvxZxH4Te9Fj9q23Eu+5dM23fbH4IqDhC2cBT+MbbpRb5bMna44fHWaHficTlqHzOKYcFhOS/z9
6FhndviSScQoOOOZtusd3Sl8ivp8rumAEU/uoGa4IbVNUZ1Rt7XH5ZBv46vqjOCi3MZbequ5upPw
vTo747Yku2hn+Pm23IRn8r64bX8I5xirXHKFB8uX4C29aEeLwOS2p5t4QyLbtbKtWzt5Cy1HeCCm
7WLcmO/zEenN8GBdw289KGfdTXNhwiTiuo4Xjbi1+KCaLWzFc1JtPNGtNhRd/f7Z3M/7rnBcS/fy
M+lCuGF8olqKios43xq+ZJdHft+F1rJDXwcHtUXf4IlsMrd6AkKy6yvap8gAOls556blhaO70zbq
mb5d6XYK/KjwhdznxF8dBn90+tzOXzSX9OJN5HZY+B0vc8dWnfI68em7+sY2e/O725B6371cuHRd
R5Pb9INmW2SbXuD0DpiHh+mEwaeof+TH5azwu4sS+RR23vwTbwnDSHSmHbouVbrQa06jxWFtntpN
70v6Y280vMnvVPfs2XrPgjMN9lVzJmU7KcfOvnxtfcOZsDM8U23DsTG/60RHuRuu5hvtDm8Gs7Cr
NfkVQTh8HAdIp33Fgd6e7jLPlJxtU3rL5MyywylRzA45Zz0KkBPUlUYf1x6tfSba3bwVqZ+0TszY
Fb2A7Zk9P9f75aFAooIiw8MAhr7XPngtb0kpSO2o8PSBr7Gvd4WXGs/ZPr7Qbut3urbb2bgJzg3m
pc6f98VB3XS+Iv7U7mpPbt32or+pXDRfkuK3F8MRhyxw6aN2TxHJiR3Q4InwNoZxSevDoOcPVkDR
OFZdgfRhXHqVaEdU8NjxhY/6cqtWULQb5bbZ8wrb+p3IDre3h/IKKwsDyBH7O9Owk2N5qb6ZCNS8
yW9bR97XsR9NOyM7Zs/xjbDTNxhaIHCqN9O74M6OWHsPJUwYhSw7vYKO9fJdBOvSep3yzP0VH9vG
ldUHnWBhJ/9ZNQ+Cl6puusFZjCqOvWxV3ZPNo5J5xcsowMJuDQstVGA3Z/Qw2ydOj3bujde1Y7qh
hMnPmSJRTPc4kjMiOm7fGlT+QHvbScsfSKUlzPhGNwtegzjzFV+56ZdtHl1Okt0Ne9lL79FASE/q
mSEfi7s63+UP/UO8wOKGtrmt6AkCQ27EIyc654ehbzh7tvdp5Ov6/eqlKD601A+2oN1i5xDw3Gau
WLjLY2+52rIpdSfdzdYz93q+webK3I43441xz5hyCkb3OYrIwWkp/kGQ7rur1L0xdpLm0O6lpmH6
8/gWmYfQugoFd3xoH8QrUbMHH7i7F3woy00vONvVKPxOuDSv2+2bBVZu50SR2W11FNRn4yiSz94/
1hd9WtpkUQfjUQqvC1+5gG+YNLv4YfR3PQqruDYQqyVOicxvek0cah6lndvGLnYzB8ud69GbPT2Y
HeMIu85AvuXfecyc6CqC2C9RNkLKQpDuqd9UR9k66i+5zT/rJt5ADHe0Y96ww44u24MSx7ayqfXB
k2qPUyftf/M4ouhhfsspdGE4e5/pdv5kIZ/pbDk/xo9i8ShdNN0PKdwh8e/DQ/uudBzEqletubMu
tPSs3+fWQRU3bu31Ni9V7w6Tczd43viat56eECDkJPZU2+pDuLwNx5WgrCrZ5dQaedVxMB0md4dh
D15ekU/nhle9j7LRRhSKrC4WL1mxEO6/tqa9mMW9GqsooPIHwY3GI/3R9CZIHM7TuIoWGwGPz32/
G93KqV/Ma/OczjYlrWOdOsS2yS/80R2z/XwILjQnd+sXvF12XIqHWjm6lx1MaJGGqb7a6awu6o9o
178g1BrP+hflctyqZ1RNoNwn3U4vy4NZu/XjqF1KW91F7ODzXUdHkXxj2vB/aMOKNJ7tIGKgkUwT
bRmr1P7inp77VjM9I93U1S6J98GaUbjttIcRpOut3wWNOy0QRl6R7wPZTScS1Tb7aM8gYzQPRxVZ
Z2L329h9Nrf4P0mIwkwKKvuguxTLfTY6U+e+iY0jqps/35bfljn/+6qE/yQK2vwsV7V5+/Uv/X+o
B1qNGH+zHccd4PXnp704f/+fFgn6n9WYx8Ts/u9OyL/OgiiDSCVSadMCduIxsxrZ/Ev/I/0FwAsp
CrO/ErzrJv2fs6Ci/rXaTfMj2Jz1KCj/yVnwZPL6n304vWsQRPb8Jig1oPAvaRAUT2KqExqaGIKI
98GkLxeWWEdbYbKIAFia/lw1xuGqChVh0/V9vMUiRtt+uFmXf1/to17/81ng78+A/yxxOhIZJb/0
0Sc9HhXs2EIHUEXalotYn+Ok3pyBWpru7y/1uWX/96W4r3xbYFfSN77ARVMutNogWgL9d/oZelqM
NA7qNv3OwuIU5P7pvmLJtLpz47Gzer997UtTxzPRPa75Y1MA5r6U0xZgG4wOv079fDTyRLW1oE4U
qkOxyeo057qwQ1Eyv2ranBybedRug7AgI07Rm4oFFervNp2lSdoie4SRrEfK1ms3iOyxLhhaYDtj
SDk9CLWlA+2vEzmF8uppimXNQ+tSxB61XaX1QjQ/b0ahG147jSuUThxMiTLHiNFZ0KaZPWL2kBVL
oV6dNRirLH4jwALhgxoZkdfgNKPuQdLayPnDpwPKSwGEXA3+FGnrfy5MTDSSAkMQQxTi06teT6Ef
DEL6Zx76hsx7yNtorlo8eOpTZ/Ij51zX/SjHQho6RthKWwGvwbM5mFS2k5J5R0kUHzQBkbVtIvHe
WqEkXeA/wELU5MBQUte7OY1GpzMr5NMDg8n+/U34bLeyfjwkSJzNaYJic0fR5/NNaGTiYLOKj7e0
sulW7ZpcV5Gh4tc4sXhRlgi3v7+gTJ3gw1n8dEXo4DWcCJ9dpKjrzz90Sad80mIlmBFqoXO8k3I6
Mwiul3wblln9GqYowOxCHfIHLBKrEtXX0L+s8R4xhnGxNjjGCJgrd6h7/CHN2eevnocJKG41P2P7
LEebSk7ZQYptG1m2WFW1+ef3jDqCSOqAspq3Kl9e637BHjxdCgaOmN8tTdZtYjWM3b4jMli23n5/
v75OVzwgutr4njEBo51ci3sfbxcBg0W2KLDFKu68xwB/pk1eZPNFIQTKNx6ElFV+eTTA7agC1mId
/N+XMkmESlDQkdDjXxCLpZdnaPj8gRfco+QrzNvaxPjUDiypTexZU8Ofi9ZYl0CsxAjlRSVpOBqF
Yu1PupCYOwky9q61JuNST4xI47BRU/9DNYXJmajiH+GK+I+fh7loEs+uxdbgQIzEkzPGw3BZahWu
EYMygdgOstwRoxS04kyo21ALiCcL+bJT8RG74If61bjM2sukmTB59A2rfVmAYKHKa5moOr0E2gvj
SFzbnSTkDeBo49+bkE/WPR9XlS/E5mlYrwVTGV0FdpG/PKfUJB5zJQdtNSoDvCfkijKlKU+ceMxp
0O4KhG6PaITQhi5tRyjJIFWRV0PFXjTWnLxN5MUj+++VBsNyK3hs80K/1OtEvzT0gdwULRlT2W+i
zrpvyjilQlqb6fPvx5q0jtyP68g62BgBtEtw+IMUWAfjh3ezw/ZoyLSMdaQok9xHGThAzQSlSxMz
dsQiQu6OCtbcdFrdua0qTXam0abFzipwlqFIKA+Fgw43b/Z3il4p7ojVa+LmeAJE37yFXxfX02eF
BMGAkPkL5O/zZ6X5KamwViEAqTK6EtIQR8Oc0/v9LWEn9eWOYDeIzg8QFytJ86usoYonPQzqEo8E
UGkOasZ0kOoYcRkmGbhVpGNuVxiZ8CNTby5/f+1ftkvr4kGNlH0XLn3AJV8mmrbBTBJH4JC4iWh+
qXUlxrytms9VLQrvgEqygvIL3bd5zDA3IYtsIoZH1L5Lavh1jeATmOQ0ICfHH/3Eh30YFUYdaEKP
3MTG6a33ozapD6sE0FbnIkWPUEj6Nyvzf7sgAiV6BzA+QL5fV+alGAbY95AG8GouMJcEwOt1Q3O+
Xdt+Rv7NmvTrUFot5tYuCaJpCw7t81DqGDYRigoo/6we3EoaCqdlO/fHA5arsA3UCL3H4Fn+8jSz
icyObPVKIttB3baj2LgYihrfbG//63fRV4nWSiBJyjrHf3hYowmCNFt8F/BuRJpCWruCyKV+PzT/
21XgbDXeO3rP2A18vkoeMEUPKjRMWguI8ZFQePh9ZN+8fP/1KkBNzOAS/MqKbn38LlqYk/g2Mh0Z
WJYMCGKUbDt2/XT9+y/z6zsOv8p5BIu7NWHnNLV/uGWiPMWanvNgxnQc/VKZFL/ir27W2MQdr/V8
byUq5dW0UL75gqdv8HnCxZsWV7NV+MAfJ5Xch0tXE2KXhkAyZ675x8VuKW+7WsC4KUKUXS4W1ci0
W2CO+sLv1VdCrW7ZBAVOEKC2/P1dWOfLLx+FhCmJ6RuADj3U+vMPH0WDTo0jtY/Xm109h6S227Oi
VltLnadvONrTUP98LQ4rnES517Qe2Qh+vpYeh80kqnlgl/Fi3fO2E1ZWJP1gOJwcVNXRCbU1fIJt
xb2GvYBhm1kSHHKlxCFXCvvovupGI7gg+Ue8ntSeNryocaz08x4xjts3/cKkuMQdNrgEvRW2ii0v
JRQpDVq77SfqdFIjDhSP1JL7mCWWvmnFRtmqeC78ma/7ujFAGkvXiebYekg7ua59uK9TU0XjHMiW
jc3v4BehIjlC2PVbbHzzb97KX+dNtg+rRZ6uE00lK1/mTU4LJDxL9KME/IJ/jnhKEw2F5LeTrfey
LrrNn44YAsMxBcF6FHkAQtLPT9HScgJgRy43z7AFCdoZSlldItFlAZb4Zvb8gpqv95EvxXmdNRjS
nCTsz1fLByNADJEEdiY36MlFo9h3ZlvtlyoLfGg30R8zxbjHS0S+7lGE70QlFd0UI//d77/2r9PF
ajbI0ZHcUW7113OjMpjxoNYMXgMF34Mcju0mnkCdbMzmFCBLJVh2WYYxCOkY2jdb9F9f0nVeV9d8
aZz0fzmzprMq5XnPLe9wC0A8z7keHXrt4Cz13Q3/OvnSMTVxPT41TFEi/XLKCfIobYWEOmzSv4L3
C25g4Cj9+3v5hQ5YrT7Byk+2+GteD//9/FQTUk3kvIRXJH4AvyEBPeRmhvPD+GSephEhU6op4Hez
GO8EvRjZ8SgFBojTMEka3STTih21i7BUnXjcvVM1RX2ou9Sq7GicBuOKyYD6b6FhdQCWL8QPQ2YV
ob00y1hehn2d0n4s8+o7PezXB8X34ohLBiK9bUSNv7yKhl5JNQISJ8Hs+zzEYc6fp0g4DDCW39zD
Xx8UvW267BzeJdzVT8LKDxNMoqqk+C4CCGGbd9tJECy3HKTvHPd/OeAw2HHgxK2ApXg9I3x5UnNE
DafPGppGQMxY0kZJYlN2EhKOexq+A4mWm45oDf1N1xYl8/kABEXcY9Q+5m3XI5JWuoWSD179IhYl
a4CpEMXkxtXqmGs48eUFNfI+gIkdFQVC0yhCgp/7JQm+21/+srHmu1B4WJN+mEg0HtXnUYeorltq
NGhOlyW3kpU3z+24drehHPdqq7L0Tpp8PVV5fBtEQ33Q5Ur5RlXx61PjBWOZNeElyG/6qlfq88zA
ygb7jjEYMh+jtYr5Ygm/WRH+y1XYBvINeWzrhb7s08KhS5KxLDoMuTizVFj87oZgEL3fv8UrXv9p
70BCCltBMphF+J6Vsv98P6OujOOeiFqHdN+A3EdzbGcacGlzow7q9GSM7XCBtrS9rox4Oi+SdLqr
Jl0ZNxCxVWqzMTNp/AhshNBciOO2xVOz2gxYBb7Xw9IcgwWnRD/NFjH0m2TIfwTNAOcQEQg/25ag
aakjcTi/o349dO5M6sS5GIooj7BfDo5xJHUPZVYgslkdTlonRDh9XFLoPyeeZsRg7ThkTwnOed1O
m8Qpd4KiHl5wBV5egVSxR5J6dTULxcXiLguBmKUwN8o/XeHWnBkQFYtNwurOLn/Z7hIjxsFHwved
rdj4UBu59d7HBhqqOjBv+1hJ3UZuy8mzYit6CXIKKAVLRI3aHmb3uw+zPrKPWzQcbdlDGCzt6/nz
F2QmknJrwbkDmx75Og1sB5dOop/Yi8/fXWlduD9fiUoaBXKN94Bj5leVYTUbQx4KGZU9q9T6AzYC
a8JOoVGZxSEAR8QxGkjsbQyVBKhK7nFf0fvckC/FPpRvfz+SpV++NvPo6u7NppQvrX/dZeBxGASz
IReODEI+OoFGx4LxMmKRTrpz/94aWjttWKAI6onFWD6jfSFR8SLcyWQJEuN7+h+qwvos9N+s/b/s
gCgtsawAU7EPQgj41Vc+l1D/kS5aOuGkTpAPcxx4U2L271qVltkurq1MtrHRKi1/mel6E7xidr2n
SoFwVo347H7z5P7e4X15dEws3CuG7RqU8qV63Oe91IVhnjmLnLR0cIIFQ7HCyhbJn7JRi1GvqOaV
UgQgCCqLxVPSFWhN0tQQnvJ4Fu+6vpQf1EJPbvJ0brzJKrK7jED3DMubfnyQxHa6pU4V3Aaamqeu
0szSUc4ipcTRfv1Ck6oIt2rQCuFl2aa4F5EvoJcsKUqCq+44aUeZTdSPNJaE91xpkOoNstaj5TKD
4L6bSzAMuUIo0Uqd9cru2axYmtQJybW5qCYECuaXjmlFBmA6+yW6HlaeYASqmuhWsIOyZxn21Tao
gv2M5Xq8WZJODTxVDEGyx1pD1aEwqzyO1hguwBhR8aMGdR6oS0uAYb2YUe2W9cYYfBI+tdcaUSAT
mGmiaEsoJ+o+DqwinYASdZDbleYkOq2Wd+NhGrCHxyp21n5o0YgnmaZHdKLpYDBPhbo47K0wSzEv
lseRoOuhw2BYHiIz2Sa1RWzvNKS4WOUy9QIXQzrrri2KWdjESVJd90rZ3AXYWoCV0J8DH8HtIrNL
UM7zdIq7e4VFhPQws01/VvLY/TCjOTmU2FyMTij2ZuTq+VK8ipNeeAhz8nmHIBrFn9WXeus2Sd2c
kfhgTQ62VsLPuiNd1WniYrkXkFeCsg+hIO9aTab7kSI1Dmy5zczY7/BXwLtOHY2XUlumq3kMrCvN
6McRHRUzPxXivn/uJMaPXUrJEjpK1yAW0ooKE9VkWY5E+rXLZuixSqOgVDxGo5481FWZIpKZGww9
kKwIrY9QW+a8rwtlZBd4VZlnZVQnTmcoQX4sm3z1D5zwI6OAvWZFzn2en1t53ZoeqXnsHsQMucV5
3yv5jFdZhlmLQIYsxlkGSlU7Meu6Q1bT8lVFfbEkTy6x8nRLxWJlydve+InLi0A1nKyDnFJs2kx2
oPe67gQqxfcLQ5kNWnRKkRubwSx0HTMRIYWnrxtMSWe6A1AZCfKwbtBiyTbETsV3NEuVAfMIhM35
ZDXrzSsWr+ykTnQTTVwMW5xxaHNVFJhnQmmpNZhXilfdlAfdbRXj7AZ+kUSPZVN1hjMua+hlgBmg
oxtTHflIeYLjGHBiOgRLEt0RXRg19/0gEkOpKdWYoLNQ+9ap8xQWTInMovewpElGKCrO37gTSFQ7
hkm3mjNq3dUdJnhoeiUcoHknF7m6yvD0a9c92vxzGkzjLK1aOdvgdDLcpnnRtBAXbPX5OHnx1A0S
HoTdZLSHEO8+tgdDLuykWDOesjDqH6cKMRvu1MaAQklLcG3TpQ5szFis9LYXZ109S2e9k+2qM4vD
MFZWtEGvdxL/M/eialJnmhYtuiZXmvrpCfeMeUYBMMyXmFqKlS0aTa/uK+zdxL2M00F3RlqORs81
6cE4J1MBihrS4jqWSX7ZjZUw6RBMhaWcWYVllA5HYKQ8QcP5m9igztpgKIxjZT5l1ejj/p71TlQr
Q+PSRiiPczbRIcEz2MLDuO2xG0SXQVC4FErQnUk1zo5pztHbFNZL6BVm0PqCXht7vbCEg6xQMHRm
IaheOFuBpwQoLC/JWMbNno4P2+TUzOXXMCIOyEFCJpiIv9iZIDSaouOY4cYypwNefEwTieUpOKhM
dDqLJMDj3IiqHRaxAYyVOeTVVsTg+67rZFJmtSKnxWMESqpgpSuMaPmsDh4T8fpCTzmPoRNnfFBk
V+3SovZVq0GvG8i1Qm+56tu3mJTEEkeFUcGHPf9/nJ3JctvItkW/CBFI9JiCAClKonpLlicIy7LR
t4n+69+Ca2JRDDHum9SkqgQQSGRzzt5rW516MTUZsrNGN8sHe2nm33lpI/Wyu07/bnQz+Mg+0lk8
Rpm4KcQ/zS2CzMoI+KraBVB6MVcqM6Nd9l63JEPm9zIzlrvSaeO33s6d8dp0WfQuOkeVwwZADz2e
xOXo6qWckkM/7dUKaSnLrhf3yfJnAQ71OGkKB1ktMknLniw6VGJe/EhxdkPaN4+LmprwEcSBShSm
53C4slt4wE2h3hR4+BU7ImfdfitMZVdiVgzScPILPnd0YlNQG4pXZP1Tmdh3U1c+kbSGBodMkQW9
Z1O/5ka259RIeGj2WyWAVlONvTkQ306bGZbMTQh3u+9cdKui8LEowVmpes+a3B2Wn8e0KV4ki7tR
y6sZbMYj+SU34zxcmVb+ltrCM9vqsIjXqn/KSKt09F8C32gh7L3BX5Bzss27OEgKfcvKam/txMn8
xGgFT9WC9qS3JjJTfoYXlaH+A3Yqs21N5boO1dsen33hxSLuH8LSZu9NiWK6oNdwRSWV/1ZHHKYC
eEWLrBYAqe3JBwmyS2z51A/IU/Hbi76oDiFZfyYo+YTm3T10zn2nGAu/sHjs2vaF/caTVGA0Ol08
/lBLu71QZ3tXzcsPKzaDRrqHSEOn7LQPulZ8I2f3wkyG2cs67cGpo/vUsvdm9s2JICQRM9gLC2wg
K90Vo6wL6vFP1kSXNrv3sMARW0TdN1FHByPWaiIHxmWHiWsvJ92hOzk+FlLsxkERXm2seUX6t1Cm
P2HYA03FOJ8PNdZDbUtQNI7DvNzaQv8+KdqdiKm9xXRn1Ep91BIS5LDRbjCFUb9W0G+22FqVRdt1
Vfyoo+ON4dsQ4x6lgP2XoFHyiNu4swrz+yDGF6X5rsOYiJT0V9rl7zKkwTXJ8qCl0/XqnXQxKTpu
cRvmU7/JFbFPI6H/cBJe/DSXMD3H6VLE6HzD+WpENRsvqT9q6nvFAAqafHlP9B8jPfrRnG/HyHzJ
+Z48YEX+YqkXUW82DyOw1YGCFrE4fOtjoDrVuyGyi3kabigJ7MymwVAcpRQLuvZVU2Tl0w+9y5P2
ojIZFWmkkq/Rv/Hh31YOfqpqLqugt5nimmp66Nux8UK9+5X1GSreREnppYqiZZOEgZWEg/IwdrWK
uTS0tyzMzkvM0DH26mgekFFcOLO8UEO0xU7dXmdkRxRQzRsTT3NXdYmHzfsGo+LCgg1hu0qmC7LC
ul0ss3eOvRgMYJKmWvGE/fTVbuFvSflzGCzEgrKubXU/RhOnLUxkhMyXAB6vs8Kcnq1SV35oqEPe
Cy2P5g18MOzcKnsQ0LPkoyteDg7r3nVqgDkmR0X2kGywXKy6c/MwuXHj7gmG0qqNqs6zvQFZICBh
tZXEPilhwW4yrVu+p0shws1MVnXpD2SZkFMUD9mN7TQWOSUNxTPCWVlbJPnp3B5ui9/uGFqOr6e4
NjduW6m7Lo0MGhY11EpDiuQ2hAJqbMj7Swi8RG9jb3pnlSC5zAZvEz3tN1WtGsPrdLmA7CIrhUJ9
lbZsN2sBsAT3mSDIWtObgZNF0VzOKoCsQF3aTpC0VBIdrzhZpcOi1cXPQjXK+0aLpwfDGod0m0Ux
hf+uTCF+wo4Ikd/LBQF60zrOewx670dnDCFjV6+ae3vg4/KbPHNgj+L1ZfrqSO0aa33GsExdCGX9
hFI/1JcSufycsm3M4g5TKol+IQzlMKuaDWnhlECMtmmKzcTi8uBgSFhYB+ONqrgyWLJkFIRL65Ck
epSvSH9G8vQ2wpjYhpiTaH/V0kCTjE3aenDNpiw8lA6oX1uWE9wqc5Xl1J5rMW+JqB2J1sAh+2cO
DR36vdYOphc1+UAMi+Lava+PupmyjGD65ilmxCnHFL2Gq8ZekIPNYtAf9By1x03DBJuhzuylHdCW
iq7ctE2Er6ujLLxB6c0/adnw+qqmj16MwYGCb9p5/AbGVNSBlXXts9JBSatmGa3qhH6m/Rj2DT97
kSpMEIIpDrZTsLRbKd5uOEE2HtYqjZZqM5ojXI/abgrGDgHUdwtNzCZIJrF8y1MEUT6H4/DZbmT5
ZiqJpoEFLMVPaHCQd3Ev17cGZfFDNusC2fawFGzL9BxxUNKsjT1su266ZbM5RJcVeWez7/SRCzRE
ErnrUcBVr6mFdM4FJY+s3USWmzxko4C71uTVi53VAzTWdezOSsdTpg+prNXkcXQ8Wakgjkk1XkVy
C60psyrZnfdEPPxYo4PhYYuFld3pCWf0DLN33TW5EPlwE9bRPi2G5DvWXx2lc5rYw8YpLKR0k6b3
b6oRVXdqm+p82AbRbpaWFs9jloP7T/O1u4vWBmBAHvI1enlUOt9TF6EODBkH20Ze1uNe6iJfd0hq
cZV0VoLtgUIW7qU0TO6VSCJNpyJG3zax+vQ2tEaXOJJ0tvQLc2mHm1YvnIggknJ845yRoGfRydPd
1rhND8Ju4sbTCyV+q/kfvluZDu5FbRwNATKtdkrxReWwh5A4iGyedncnwrz8ubg5zb4BwO3Pygqr
AzKkHszZgHPXU9h4/1LYON8nolg4GdiFcHaFNNKc8xJsOpgWSd2DvNL+Ivw4im27pRe21xpqrm8V
UNoddLtByKBeQO1cRDXyxTvdqMm9s8el/0VxRu18p9DdRysayzv+7PCai4qjfIYc6TF22eb6HQdJ
JPqy6f6QZBA+NFUKlr61AMrPcp2bUooGHIJqI7Y8KkXucMCmH1+0bRnn20idVzt4ZbCjJYGDtobr
JpQ9YP3NgH8TAwN3qi1dGjiuSF4EcIiX0EX+6hk2ZmNvrrOWPpZV3LZKno98/TkbSqWOUH2XlAqw
JhVLO3t6V+BFh+0L0mB2NHMzdBzZN3o08b0MbAP25E+ZGJjUGgE/TXr1fbRxoPuDqbYvVW1UHTU3
UoA2kMjjyyULwbFO0N8d34YTSR1XIW3Kz7TC2hU2UUSyoH7SDgCyRnS8VyqnVPobpnPI1T7p+XBF
/yuZhrKESWeaEC+g+V/BZEcYnvcKAUNNmPKBt2RbMZm36fQLGhBzvwOtkp1tNvXP7GgVGQi4i7MX
LebEqkIC4N08l9FTRHLet0rWMQtYVIxGQMWCMdHA5miBSlPv8DvAE902Bn8LLltM7p4xl02eVUxw
3tsxm2GmmGYsdmblqJeiQw5FFICNMh5IhCP9kbiXuxiSAf4WcKx0obpsdnH5mJxFpFsB1FoMpbtC
9qAbQV5wGPHreMBbYaRKFAjR2K9NaREWgBIa+BnzmbYd6lZ97UG7/NbmoX4Lo9CQ+2Vq7EM3WjF2
nDEK7+c4cbVdPrfdo8JOotnkMmGIhS0Uaj817KjZcYheK1y6mv4mg0kwGOImmf1RUn3ydHQ/bzkT
F6EfeTUnvjE18Ppl1ENxMbu+2+n5QALTCOBBAhToFzwcfVHDFFQsoJpVWKb3lAMM9XJm6Wr5lKNF
7hqbCPpMGtFtR827Chw1ZHMTR4OuBBUlf5NxxfrlV30U3ZltzWCwJDVRL3MTYnrSeYFa3ytrKFLc
ivx70fXmu1BZZFifeo09s16zgiuUsScgbMvOWKzqR5q5hR7YEwyIOVeW5qIv5uwX9UfroE9Zd1NJ
izGVsSe2KDS2409nzJrDELkUmZAT/tUDGMq55MdPXQ6QyUzz5DDS2qMPcSSt0dJFVGGaAJqXZYoF
aZwOHI7PaCNOXQSrrENsuQDo/Yn8OLh0kUtOpxw9k6AlJN0D1xuf6WEfOWJXmSLdBoBbNBrwBPwN
x/tX7aEpetxS6gHvkkb1YRbQusdQGi/lRCVKizFE1qmr3+olZW1q7SQE5MWT1k/UCdgdX8JbM/2Z
+Ju9YbCp+roI/6l3+vfeLFWgz8b9e1xVnsrKKQu2w4RKUL7SyjbemlX4UDrpdKZxdUQ4/O8xmKgR
QUDhm4Dq9rFxhUIi1dowqpk+Rjhqs2ztP25lsHMpSNxy9aHyzXWDV6VWt7Vs3d10fRa9QgUEjYRi
GguW3anXMtLnoJ+y8tLpVOpdKUWHioiHb18/mCNo9n+3y7EWJTm+/LUJ+/F2J3rhuQAzu1GMGBdq
2tAltV25nVqp7fskbrcxaDU/ZcK5tLj5gM1Ef5mo4YtbkLKQsX15oEQVcbDR1YOzZjsAmzNiBPuO
4+WTaDZf3/GJ0YyqnNEDoIBe+LGglF1hqQiSETYGvNTfsszdt7gW3f9+FQ1+rk5Xd8V8Hev3VL0t
6jSRmNO6MLmmsEui+SCH7de/5XMHnDY+5bbVuEJXDNT1x6fPwcOtbPBFGyfTsIw6mrtFT9y+m4Wm
0QGJ3UM54cpcWlAFYV1Zh2Zaa++FVmC7RCurADAdIqxTotqB+bOdzRIqyxVFv/gyz225k5NjPhrW
PAYRm1f/69v//FVx9xC6kXKgXaGp9/Huk0oj5UttsDkn7B14XwrlStSB0sTF9vWljnVI6+TC4Q9O
roroCWrmx0vVYy7GbsTlUS+Vva2SKNpEJM3hebB+VT3WyK8vd6IxZhiw5A2cRahFQfd9vF6vKhzm
xVRtLDMcblIW56AyjCZAV9DukeZgdu8X9WG0ASNTKqt83R7aHT3q4u7rOznxw5FH4CghWxSx/rFm
RhVzMdnUqjem6LvfJNyEmFvGcmtRY6PsXlpnpB+f36mBlpRGJcUemqfH6uQpVM2YsAlMtn1b3lqG
LL8X1mBfj0aWnlmXTl2K1WKdmtdXe6wycZSYusJIYZoydkUApYZxMAupg5M94Z5Den6eNjjQ8hhV
y4HQzo/7+EI5JU26zsKEDQazlAM51o8LloGv39ap6RRnGyOUJcBFNqd9vEyVjamT6gnKmakj6K50
zfDFQWYWBtpQkvbbZ7roN6ylk7wTC1F5njARhng5XVgw2dmksAesh+ZGW6iVey12lFttdqwnglwl
pK6wWHryR7LoeRlUcHtf3/6JN4Lti9RvPjZ8NMcqaaVOEooXMbQuGyqtNk3KTQJC6joUvfX89aU+
j2v+vIPejR0D3gBtfV//SIyaIWzF7CzFph6z4SJus2WviKLeNzr9yEyv0zNz1anrcaBH4YabAuLj
0YtJwyqse86AAPRnczf2EY5iuqEBQE/nNlkwDZ2ZsdZG9YdGtmWybNBdZ9OFMMg4mkGGToA/k6xT
OdpsTgFa+JhqTnOwW2HvMplRVusjMBDCWaiblll+rrf/WQhnIdRB10fMOYMRg+LHR2xwAu8QwxYb
qyuL9zgV7hUZGS6l4QYsmh/N2aggg51azQOzpL63bmTI66J2osnT+QwB00fRNAeFUjsvFsn3E52V
lty+prBpiThqRdJaTX4TVfXUoEUQtnn8y05idAIyKY06qBxDWnvanSrZA1DvXknyU0AuJNk8HbIk
pExNt96gxJrULUk7YQc7xXZT1fb7rFaATDZTd4g7GzA6YGX7UfSwEjeo4Cw4zHOpqVe88vWAimLJ
JM5cXZNtLDV6hk2o/SF9iIJ6GhsvMmmSwQv7VP6R5SLfwOym/QWykAmSfYavcVO0hfUb5yZ5g67u
TI1vcAh2X4a2q1BFap1JHu6a5eBPZR82tMbH5LXTyuaV6kd3F3EoVH1W+e457juKssRp1UiFKflp
20oiDrtedGIV6dkQP0/dkGaiH5ZmB30gN/LvbZIhQ61a006pbXHkhp3ndgp2vRgTfrIM3V7Wjvtu
2G31EM1IwIJalMvrlKL395RuKcVWnUcKopotmxBf5JBQMOc06c0OrW8iHevmRRXG+E0zVhO+Ua38
r2awRAOcX3B4HlHKgL+YFNgVuSJzXkeZiBsjL9GEzOUCEwzJeE78Qx+Xjxn1MOp+FCmv+XXpn6Qe
qAN2czEogeyN5I/SF80eYT1UyS6a4ifShRfhZaMTXSVDLgk2hpTptWQN0VQFfN96fWnnb0LaC2mV
5vD09XTzefq3NBiqpljBVviOj77GhtRit0hiDD3mJAnI1rTAGvGOfX2Vv9P7x4+evSLbOERSXMhy
1lnon1ktcocCNQc93QJUqS9JwPw583xaj6Q7dc9xnFTjJa+DSQmnTdkkrT8g/EVhWVcbyoT2VerI
6dCx1drUNFITT8hIvcYChzSidWu/K9rukoM6fEOlaoC0US75+iecmCc5xTFlsfEBcnu8va7Dsjb4
yopNkZTmjT6mYDm1pr2E+U8LRmfofH29T34FTDn4rbgiI5XL/o1T+OeRjVGlxo7BVg6+w8NyYX7P
t8UuvFj+5Jcj2arFmVd0YoXmegwA3DkO845ztBBUhNX1sD7rjf9j//D7Yb/fecHmYvT8+9E7s8H5
POg+Xupoz0H3rFDbgUtN8mUiH4dK4Llfc+J1ffg16y388/TmiFmUPK56c7V92vJTdrvdn8er+zM/
5MS4Xn8J2lbM/A6r2pEqqxrVCMEtl2kC+W26bjbzHVF8V/l2gmZUbaQ/7VCb7Gn0R/5yp2zd169H
yeeNCdfGX85ZjFv45JmjNEMOvApVwqAQSejJ4Oz5lupt2y3Omd/6+aX9dwmdAcLp7Nj4Xoe9rrQN
USxzo0UvEjE2m373fzU6sBkFN42CD2IBw//Yaqg1BT3auU3YJyb5UxOV5sMM0TVoMshSXz+7z9Jk
rgUUjfGOgYOKwtEhc7HGyZjJB9wgTO0vJ9Qym3agndEgQclpPanRD2IzRj/FCbJNSy3u/USrrTO5
KKdeIdZ4gy+P/bfxt27yz0ilfUfPgBdJwV105Fr2495Iy2e3jdUzR5hTb5B2AKOEoprJuenjN4Fp
LK0s8no2qZKMe2TK4NkmCL9nHutaGTma6wVjkjqES1Hpk7YWoY+jDfYap7MUQ7+zlwhgyUwINloe
XemDSnHFE1n1keB0X6ivJIQ4j0VRx49xZGjX9HsWygumLVEq5aswxaSvBjUmJM4gqprufy9pwIzA
v2cz7VGE/qu4/ucFyJT2GTqktQwoqSuv/k67qpszD//UU0GZagvsNLztYytLr7qSSEsNA/4yFNeh
Vdr3sT7AshNW+q1lfOpIHSZ5ZnCdeOXYE3kdnF44uRxbFJ3GVtxcp8Rpxr25dxu79gkcLc78tlNf
0lqscXGS4l4B3PtxZCUip0GnQ7pOyaYAYjNl6bSJjCblTFZY0qUcAfw6CPWowFUG6JfCTpoPV249
q/LMZ33ie9LW6GW29i672+MDjZJkkrRetMwclsnj1igiI1Gddw6MaP/roX7iUhQHsRKyr6So+bdY
8s/I0RGZgmMWEN6kbW+htoL06lQSpNgCfn2lU08YPTIjlBofDkpxtIHCojuY7PeZq4g1rTGAI8zC
Jl3fKtR87tPBiPbaErf3WbtYe3Tm9BmV0r35+i7+Hj6PPu218MchmLmKesjRXdTWhOLG4fwxwbSX
3oyk9mBWs4F8PJS1rzjxn3aK9SCKMnWnaGNyz6dlvE/ORGIWVWj+0bi+rAqsv1Vu7NsF7ycI7xFC
4qCzgqEJmQasSbSWUwKqgkFd9X1Fkz5PM8jmr3/OiU9Sd3BQQGRdl3D76NeEosETLAjjNaBpP9Pn
cB7pWQ5r0HMaCHV0vwFAiM88wxNjBleycFBjs8B9csDmVYfkeGTRAbyBbqMX6bXsG4R0TqyeOely
qP48FdNEofVA7CO+pePdPa3nLC5IzgHAhb7GM8UAIiuOOc8MaY7cTB0qOurSUBG3IfrOnpJscQM1
0pv7MpYuAgHdn91euW77MmHznpDC4ZcEMz0t1qpKNLscVWe/qnqDJh1zCcyM2sZGDSvdvIwIEPqp
ZZX4WZOv9Fbh0ikCpZu1mwGVu8KJ0QQbR1wCaqa6lQVcD1GBWounqfg2J0XBtqYG7+3hJ1buulgA
Zhe9m9/gZ7W+K1lpX1VZDUlwCdXpJmsW9PoDEOgb5OFR5xuDpsQbu2vq373VV5U3FVqFwHq2ZYu8
V6lzD7at9dR3pnghuq7+riMXb1ZfbD0/KLYD9pI4SK337aJRLruxpiVJxyC9dN145rROw/chVyPL
8NaAyBAFz9gOHvVPxbytMiAiQWR0GsQuM0JognPnku4cMswmmpsDEY1J46PEqUN/nh3J1+SMo4vx
X+Wu18KLgxVGVwBchgXaPrdAObVh2UW6Z5GiQOFTi8Crqai+Yfohvrx1ItOMCIOQhDG5cpxvemvO
9C1J0YjT88wiCdnNo/S5DYtohqRutD+tqoCaQSpjlgZ2jknMs/KSv+qW0wKdXTPbawRTjuKTDaHG
HhFEHYF3SkcMi5IbnGwZXTVGX6MG++ZM3dLtljZCWIi4fal8QbfgcnSLcPbr2hm+wV9BbKXQJ2t8
svTqfW6GdnFdTAOIqjU8wMuorL5TI1gWAtPUJPezzooPQ59YUCxxjh3yxp21nUSahQRuUhFFI0l1
fsdUWni3/LRru1a1OjDy3mWskjVhIlwcBkSTEynM3jQqFVIGo56MYFYz551K0ZSReT23GoGDyHDM
vp4VHy35ZAaOMi6v9RQRJdmpw5j4CW0hxAMk81hQJRMktNq0xpxRwqKKQeJ6dKt2M+EJsRHqJHiM
7YzYRqOLGVSqlf9iRqHC1lRZqXjLuD7qyhJDtyPuoisC4qamertgpwSnB/S9uQixlDkoseUa/tW4
zbItrNGoKQpUg3Wx4MqiXCNFrTPyY8TrDMSC5lpc6VfLoBid36jZ/KNtRThcmlrd9RslIxedYK61
N0QQZ10TYe/GGJmb0qDIRAaBSeRmlC27eZjaNY9BVPWN05doJl101elFVoQj8pZasYHTERpf7pd6
QN4b8fnOQdo642NkVxFZsQMVbi9pk/Ga5B/rZWDB+glZGpxHxiKJEKtwG8IV0VaJQImsXr91+wyW
VjJpEeaJJHpPOrV8GquMbbgthVldG3JkomzVnsGSWpR5AmcwekTcbRi+GURuP5MErpHOOo7274Z9
B263AbB1UKJNvR5FUqmvg0Pr1RMqrT0cBaH7ipAxRNEzpHcmAptvij5pD3ExcuJWxwwya9SV5YYs
hgWhhdmJy7QnNSHIVCt6nzHTf0MXUT1/vTid2LmxVcceZXCws6nOf9xSkQsTm6QrJRtU+s5mzQ65
KRQ1e//6Kvrny/C3cRRRDuQ0hP3s42Ush1jMpeMy4H6Cxe9AJ+YHfQ8KxNf9ctsc3BvCAh6yC8C0
W8BAW3dH2FwggmprBhhMvPIwXzgBGoYz6+SJtvnHO1vv/J/NVVvbPal+3FkGuDj3f4NEC36jZfEe
s23iY+g5sxs40dr6eMF15f7nghUNhzFZL1h4bw/e/nUT3N9//bQ/r/0fr3C04UjmCM3gxBUUG8Bm
cx0BtiJr8euLnHqjtHIA1NPWYT04+hmi0zt6RazWNS3IwG4GJhRCVs7sLU78FM5K7LOpULl0O49+
SiqRycUwgTaZkrd7szPVrZVOxZ2sq8r/+gd9bhiA91PXjrZqQkE4PrZmZomuHp4LwtkKaVHUUteu
B6t6G8PFuiyGCTMJcAT51CgtQTdmGinnhobGq/+478UDiEeT440Jq+vvV/TP0EBnSJ9MjvlmGNpU
fcCNWNQb2QuxpkqbIZYfgtjvRoQmr0qsW5fKgAV/5xpRE9R4tThaRkty7gM58aLpDhIcgFCI4sUx
sqiKnb4lixYuvyWNb3D/S2RWPMMrqyoBN8vCMH6NfV6Tf90PbNOsSOSupyUjQq5e1YufZqzO3w3S
a+fNPMflz69f24k2C+zLtaDICXStOhzNYPiTZ1sMiOpFZqblNT0PtJlSCtxj5YxOGgVtYqLedkIQ
ws0su3dzCh0IxLVidoi1ZfazIer+bhjksmq/iTVly9jV+MTFsuxyLdMLLLMmpjW7aWAhKy6hchZh
GzC1awIn/aZvanlmNH4Cd9ElRb9CJ9CkTmphwf44TZTLEvV4JbGtZhnt/KzL9EMZyuG9ndvxjm11
HW4GEvh6jp1z/auUzK6QBWvjUYknq0PhpU+BTkqpsjdF1j/EFhVlz2ngAW5KDBJG8PV7OHF0tLlL
GopQfRwG8dGEQOWs6SeXDl++qmbA+S2Pjl70m8Yus0c59ADSYWP9WrIl+RFzVN7iMNKKM7PSqbtY
wTtkmwLNZME5arr1NfidCH4MJYLRVa7YvCN3Goclec519l6bzM3nH1NXrdTfepnGoKAG81MuZfZ2
5nms4+7oY0aDhIeWAycL3zFLZcjh+WU0/DZm28HjrLvK0+CjXkWaMV2meg0L2mnUICuT+a5L4+kb
AwJnjsiUW7sMQ3+kAhLQvp0vOEkBoxahtaOpbRw6OvVnRts6jR7fKzxCtFlMtDAU1iPsPxOPCgyM
mhnfEIqAaNs3YQFyR9G3IACiDRHX8szDOTGnuCBXKBSRbkI35egtDf2Y2kU4kahFW+gGwW590XTz
dHHmFXzyoVtovNeSGxQSxJnHTe6liQo3jZJ8kyQ5DZ9wkqAJRGQq6FYnhaA3g8+BTHKrw0eWq0NJ
bB0t+NdoUa0z0+jnJ0x4MsMBjSGICLotH5/wYufT7DrU5bre7b8nonKgiXfzs7mY+iUizeTb17/9
hLSJCRtRmaD2gAnsGMrp9iWtRJ1WWNk6MtxytKU7SRie+id1RnIuita1fq0hVBoHx669M7Es/AF5
3eLosnq6xGRmGQeAD2NLY1gH/7GgFGVmrVbzFcKd5meUt9G9scz2Wzta6hT0uHzPVs8/7wD4HWBQ
VsAaQR/HH3QTtpVOhmi2sQdX+Z1LOAos0+K+SakRNHFuHNh0NrgcjIGwAjPdh449+nqOv9VTZqW4
W0Q+XwBpojS0hPaZwueJ+Yalh4oZr5WBDG3r43slzszVopjGpswq5Kl6GCvg+6to6lhxbP1PMivy
QfZj9NxSjkQA3yoaKfVtdS6498Rz0ii+rqo8CEZsYj7eiNRUmU6zRkl7cs2LDrcVJqzOuKLyfk7N
eWJtQpmHahYOMuKsT+osTU9mzCfgGeWSWlt1crrLcrHyR9POkkcBVKb3+PyjHatB7xEaLG9z3Yyu
pLDqC7tshz163PImI07Ty5Km2isK4dmCc1d2pknweQ6mAEZNmvaLyibhuB/cxagTOvCXm1kf1Vd9
kh0+QrW7qlJAWrZUiLVLh3qPYtU4Rwn+XPXj0qvqw2FvQPfnaFvSq6HeLnqFwMZuh5mJHDLONkPv
iQduIhvSb5xkuu3UKLkK06Wj/2437tuQDuM3Vx2kGgyoqR3cbKW8Lkn7IHdAFjZJLcOM+IL0YaGf
WQQ+T8rI22zKrjSCCEU+nqJsOSxLzEy50TMnv6aKEfmWaOf/xytx0OZYVIeBKhx33gg2pUo24Ety
omp4zAjXhgQprPeJXctdRwAdh+FQksTBdvwMoOcECsRhJSb8nLdCOf1YhGYheM+VkTS+kC7RhQkI
6Epa6bDp8GH9QVqYBpNbhdMWO/J8m7uI4Tyy8JpvWBisXVLI8L7JlvZcffjUbdF31wmZBfFGW+No
bYg0t6U7R0gJtZLU8AvsP48VidGenbk60m0tfTNaE9NPoTGJtaV46jM1mwLwTPY+bIoaN14kz2nj
T0wo1P/BQcL1Q5h8vO9XJrSVWYxPZ0n75bGg/hJQJzQJAafP9vVideJSHCLpbkDKAa5+3LSyZqGD
ZgnlpnKBULQgG3wtSbJDNVrn9A72OiF/3OqsEjvypf9OCEiMP86TcdjLkOz6bjPVuTHfYhMsApdW
Iik/IqpvcIOTnZHFNcYtperQfLRWiIFUuvpLlrbUZ6piiZ8aBITCS9Q+vtOdKkJeZfMvfcNWVvdf
upDdbafzy6LpAK9d9jomvpxCtW+codOtbYc05Qd6VvECZUW+5Ngzn4UifmlurT5juVN/tJa8pMOX
b5ehyYZgcYcEeEm5AAsJs2b0lFG20a5Kbaluw6TT76UrVbJFKhUtUdcw/r1OT7Ae4T8Cs6LkqLU3
Sj3QmRuUIiZconbD32LEILnLcncSBL9Q5POA7MO6IdCVWI9oBLlBXS0nxmi2M/O3i/z1OQlbjZwN
O5reRoun56XjRFhHmQzLizlPUBBEgUXLq9REYbvQWQ1Sv1Gf/uQa08nOQNIyYyy18ic9sqxzp/jP
0y5dMrhDK8b0b7z5x9eL2x17FgmvBJ6KcM/Z2fANYkS3dWZqF3BLIiyNkzwzp/1tix0NKg7uNHhW
atvamvx41Wyc+kW2bEPcGTedifzr2sQlf7ekqkVddrItX2LkRISnDBcjvS2fXuaaIF1o963qLltE
Y2S64tHiOKc27nUJPvXMDvSvVPnoJtekBhrDqwaAreHRTdajqiXxqrUz00r41PqG0ncY6r/7sa45
GzeG2QXxpOoPM1aYp9mpEg2BpquAJlEnk6icyZwg+vEVuB7ZxViNDXdZd4NSHQnBJqWAjRhWvYMu
hpS465rIdl+YoCzgSTvsKXHmJ1NgNH3iXmBOix7sNCvf8YDOhBUnrv6eLJzViLPM0tt2tsJfsiv7
fhu51nwLwaW5ZCUk8EQLdeV31+FnObdqr1//0TNaS5Qr6W/dNhxv53QzLJSeVsPGBlcQ2Kqb+ZRr
06BE2PEjiezhBrWwgySTxozO1v2WXGTlOh+sabcUWrzJREX75OvZ8cSQpruG/HxlRKEMPtpiImiM
nNBqSO9dlN5vgO69UwYSfltEoZfSbKOrFZ/T636akglfh3WIhg6UHQeJoxNhKBO8KHBICAtWin1o
p/ISnx67mdo+t3P9vJ3kWo4Gs09FtUCp42hgssLSVjGJcnJKOFJBOCnNO40L8UTibPpDMXr2k2YE
GJ4e6/iIapacCcrV5iHWFvHeauKP1fYQCGd9eTIbe/4NPLK7T1tnefn6TfwVw30YHugqEEKZOrOg
YG939FQ4BHS2rJt6oyvECOyWqGvISxvJ2tgaopmTg0gxlPi1qAkSY/8XjgAPppE2p9PHlEpBOS6b
igr/TAp00le3xVDrZ44kf1GHxzdJ957+vWtRjDk2tZR8GLw9HdPzbGQ/J8pVf2azQJ/rFlr4YpsL
UF57suZfUZ3+H2Vnthw3km3ZX7mW76jGPFy7VQ8AYuQozuQLjJIozDMc09f3gqq6OyOCxmhlmilN
yQEBh8P9+Dn7rJ089bMM8IhWboKdAvW87oUKbXteZmU1klhlyMOd3Fd0QAwCcOIODiWRvPP7CNnR
DbLh/mCXhHqFahjCTNr7cJDsaqXqi0WZLaFe3DhaOetnwtXTRLqFKw652gUxR4/vcVOZbnWFNaTI
aNo+13c4olN30Wp9bUdWT74ls32AgP1KkCjyIkHu0qGNlv47is1npsVJTLF8koWmifUIseVxE1fH
Jqpl9L1ymfzVphjqqka7iVRpH8ahslH7cY1WZWdN8DDrOaeslp1buX6v3kdPnc9goi4ydJ3/Hp3/
ApbPsrWWz6C2w/UQohgEjKyar2ao24HbhjlW4GR53dCSKTiFIGIGWcEhBdXD7SIv8duomHdDEVjb
NozkK0enDhkIObpsBkOs4yKogeqM4yarNcxOAlJ7FNRk2vjTbGWWerPm7Q5Xed3QVN929dou4CGU
cgeuvLTVC7tpuqevB/50kVKRRIIu4tCLxF8+CpyTBEBl6xgENq0TPMzy2K+6Ulhr2LL13Z9fioFd
+goRJaKQOdw8IdmkTRfTTSf0gYJzZo7rqqMPHAl7eSZt9VstdfgoOYAhf+QVxgiBp3l4rc6SprCu
E/bSYoaLWw8TMRstLBl5CF9JI2iwpYPxdwZuye055/g0cI+Y85DWGZQFGCaN2LZbtZywcZtvcpWJ
3VxmtJAPZf2samj9Y5vHaYeKfptHuXRD8lu5DR0L75UkrrZ63YfrMc1FBoqhkHeaOWFpiJvIZT2V
1Zkaz+8+taP7hWpPbYGKB81sx81+ylRNFiT/3EutyfzAsTsrfOhL0m0aoCdZs1f30iYbW0HHMUm0
eMsBGWxlSH0YhNQYhj8JTGrdY0yV7diJMMIX0DAqfxx0eVspNl0G9WBFOQCSzHhSu0r78fXsONmi
KR3hB8QexutHRuRoiyYkbOZoTgH7JH18rYhgvKmENeycWU3RWjokSeb43LLz6UXJnfICLP0lx0Bi
fDi6WMdYCV3p0N1yjCvACQIRg/1nvszpOD/onV2dkeee6sW5VeJcJG/0WIERPcprxCXcQ/J8NB1q
abnF/kDZVg0xvYtixdkHqV56M39wwJDgEE4Lz2aQIwAXQmloXkhwGv167E/SFnwgZgcJJUT/BElH
i4CmA6AcMvieRsy1akr9m0U0eual/CRIAfv++7bZaU453UYYV4WjQ+EYAfvfgxTFZlQOEtv0E+pd
+ykakCzkYzv166icIzi0fTSg3hH1+EhA0RYreDciWkmiQiAzh/YUuKQTERByGkVREUUVCZevh+az
h7V0EpgOzRAmn/9oXpJrSFMql2jEp8a+bOM8fJzUOvNo5ox2ndMafpDm+nUJWO120hFNwpEZL82m
b9egpqbXrz/OJ8s1aR/S/iQpf9sfHa5rYo6HAZBb7imxSF7NJAcMHprBmxw6hFRfX+s0MUsGi92Q
J0X9jCrAEun/raQxgRLg3WBRCZ1gXEWxuae3bk22eoBZgUOjNMWvTEvQTjYEiTzbnLn+ErQeLWqq
iVReZ1lbfPiOhl7LUuShwGe8ekry+8Soo5UOhQbpN7tiNSfD80Rx+wYHGLFS2krfzHHRAMnK1Yd2
MKYzQeEnLwlnBxQY/MFrcpxhkZq+Vgotwi1VQZUTmpKxNaCrn3tJlkE9vuklf6MQgSAiPUZgW/oc
qRGOoF7CkRfDI7u9Uye1eVGckOKjInW5tZY7CbwLqQMcfAe5xdhaSzO+TWczSws5TEgo51m9+vp5
fDIA7NuY7tjUiInhjx5HJGwZHS2PIzRILnbAVy/MtDZ2X1/lkxnONRhfAASog4+7henPmSw9xsRn
siE/zX2MFV6WIMYGinDm3f7shhDtcDLT8Q1AHXw4v+3SoULssOzhk+BccAJH1mrTXHf/9R19dhmb
TgyH1AbNlMfjhv8E1LaOfqRyRidrt7pzAZnmnNfWJ+NG8pNEOZNmkcoenavKqFTtLibFmShhAQFO
bleapGMXK1mzcuZVOFX8oCfkhM9ewYUQehxFyo0B8Ceifo7aaeB4IEFbzRuluClyMKZZqUAGnLXZ
t4vSulI1vBTTspC8INSdGyqKki/knnC4cbpvI8KvcxmIT4YChTsfkCo2pbvj7Uyp0CzQp1XAAm0C
rIIRnX6oc2h+XxQa9tUUEDPuElqXr6tE08tVlxX9Hb+J+qbFhAsAOMl5i73zCDlFU9mx3AYB8jmt
yifzgkblRZGO9mKBih9OvzKMyRkiO/TIWTQ7odKLP2vntvbTzDgFJpvjHTBqUvb8qsOr4OXiIBEV
DTZdDWh/WLLkLWdMcHEIRFUbx74Fyus6KdvouoSVm/kwzqNXULnPsyJpvkkO+9wat7xYR2sc5pLa
AiYwCSSODX6KvmxQs+pwk0pr+Fbp3YKgq9NfMJzntT5MYouIaCUl+QfmCP1KH51qM5AWOrOgnTbS
0XvA6XeZJWhHT475chdIaEJl0osDnZ0Uk345Q11uwFVlK8pbyW1DdviuCOcOKi9s0qSfJjTxw8/U
Vr+pA4weu+n1X41cwxhBG7My63LejV0EKqWyrDP74fKkDkeNtm8URKT5+ZdX/PBJgrp1jKrgIUoS
MtiuLe0reKrORaaN+CDRW7aRssE+U/D55KKA93nTaZvAY0U/mqRzVfStISAvtcHMog8G60rp6SWr
x3Ly6kAq/JIKoff1inmaDMaUlwmCvQ2vLy2vRxFyH5mpqou29sYmb18jJtF9iUjuxa4G/RraI1g0
CHDOu2lGAGbJtqiKVxiAr+hODrInM+qi7y2El2tUBOqiObOmV6FirX3mc34yOos6BdUNeh2CpOXr
f4uQamQQdWJUtaf3aJ9Z6LH1yxR9frHVJszZs9T8e6Un060ihePzBIhuaT3Xc9sPqs5YxUj11W1Z
5nmyaohe902QpB8QGXP4RskI2Pnrz7sM29EMYraj6CF0xEHs+ONa5VRXQ8HHjTOt8ROZhuiMdq61
FOXa41C02pvVxdCkI5RoX1/5dEmGx2EqCkoeogTZOhqojBaypSlyqSnIAyFkGF2HHVkOgar2zK7+
2aVAuSyFMA7CNOsdPhPo3uQFNbI4PW3uK0CKjlvZSe9O8G3P3NUnj59NBsQKUeqiFDmqWUQYHYaS
TM3CKsGDIl4v7e+zpoZ7yZEnSMCQsNGCa418zhXjk3vktVg64AhcyKEeDSdIrwzgoQy4RWnqVdj2
jl/oReo6eh+eicdOxYEWIjDEKMjoEHYSKh2Op10kKHyAdyNBTwvbq1BkfxQNjXqL5ymE23TUOECr
9Cc669EKjGFlsTbN2yozIepLEiBMl4gO21k6iiT4tjlVSjO3o9CDiteou3CcC3DboahXTqjWgS/B
T32rzKRo3B5pvYNLAtH3mTXmk2dHqXjp21681pgvh7dV1Q4qijyovHQ0oiciUnGxNKBeGpgR3qEu
kf18TpJvX78Gp1s+4RJaXw79nGnQyh5e1A7J7OHXAsKlLoNVRTbS1ZJB/vPwjMtQEUBSTBMYyKHD
y4yKGGitc+jajieVFobJ/GaOM93pNKtQjaRIuwOuSZehXtX7SjZqJmyClfCSBIYoCaKI0Mqd4jbY
KINKCvrrUVhei8NlSEdSRaIK2cvCMzh6Q+1M5/hS4Xof4G/wZmYRDQmgifzJhOvqdpkZbb6+4Cfx
Km208kKQ40zEEz9KcEg4cEy4HDSeGtlyDxnadHw8HQwHZI8yO14SDTQYRLjLyq4eatZaKKKeYenV
WQZhNLBCt2gz6y2S8/QmDloBsFJkZ1Kxn4RqTLNFCA7mYeEIHI0Ly37YdxK2qnlZaysoc+ZaldFW
JBBH3oiWo4TW2sbG8lmv90Y2DuumxYIRyHx4h9DVvKA0fU4EdwqDo17Gk+IpEelx/D1aanKpUOAP
q4B7MPep6J+0rR9pFSWvkVHNH2VKQXjtkKIJVmlFE8qqL4W4J3GVl+sgsHFQyCilQI+AW/ksNZ32
E8l7q/t2OyuyN85oiRUKED/OPPDTCJO4krwB8wy/NqQKh2/AUCNykxtZApjS4zbStxlFpskYd2o9
pSvkvjptjdG4VhpzuK4dqzP8Xq60nyCRzTPJtdO1elk30ZP9jhAo0B1+lAokLzE4MMo2rN5p8lUu
HKH9GMa6O5NXPF1cuNCCvCB5Sm3NXr7+t2BEiqw4xzaUCzVD4ClKmlD1pW7x9dB+dhUUTsxSyDxL
DfzwKq0aJFHdcRhK24hJ0Rf2aizhP399ldNBw2WIYgF9h8w9dvLDq6h9CRPCVFIvjsrGWwSTa0iY
4b5VjZ9fX+n0fqgPmBqLw2JbTlR0eKWac/OCnscaNi2KC0c3yOnjhLD6+iqfrEAIqnXyiEsURFh7
tPJ32FFpSh3QjzukzlVcjcNHiFDEb1qwTQNT8znMusSlJxfXZDH3XqaI3oe+Wnth0VDxhK5zkYUx
XPhUWGf2+NPRRtSlEMnCMIH4clwEoq6gBEGW0Xyq1z+DNFMBYLbaXWKn3duZcTh9MWFgLPQ7Cn1o
l49fTA36D0tIKrmgCTtev1lJ3URR2z3iz2Q1JCPu9BJ7mocaVvUDM2ofBDKdJ0Jn9Y8pC1T6aD5H
dKLAyUM3dvjok4KD4UChiO0uxudOnsedqYbpudPu8mgPtzuiQ4djONL+xU/5aC6HkpjQGwFiLNQm
fXQIAtzYpj4DehkRiy4nZChA5qddL35qnC59MBj996/H/fQJo4ym+YZKGHVtCD+Ht0obM/2ObFn0
O5jxOpo4LJLcEDD663Oj+sk2xj1yImIno+2Cix5eCwc/1twcD0M7KrEDMspsydbHWadc9KVRAOuN
DONXVs5W7C5BzNU0sT17gawjntJxpsWvS+4ph8ytnVhnwr7PPh3DsETNv5X6xw+9mLRgUNo8J+si
CL96iIwbld7fhw615QNY92afyL0ce6FG95KdxeEGTvedXdi0kEwcJHahBrTgzMc6XYXQAKOxp8BA
SMSbcThmGE9kkdSlOfYrIkPbpuc7Exz3n25FaKyRNaNk589lQhxeRRmTTqa8VXjUpaTvVRaXF5TS
Z8r9hnwmCXdyQ1xq6YlcFnFS5sc3BP9KrwobQYozYMnXJ1q44dT+xxlcihPoYM0FIwHx8Rj1VAQS
VoUDMHc6FKotiivY3Y1t+V+/PMvLcfACE68vZBcmDW/wSeI7zqx5DGDfepldjI91GmuPGkyyJ0tr
5R06aNMNTbnZjuDZYVzO5Z8/NV0zdUpQPLLltHn41OKgd8rC5IyFWGVJtjrFprIFBjElRk5f3+nJ
oQgxCCdZHttijUnkdHgpMgZ5JLVwOFS1BFyVu4WqYFG1j4iUte4cERVh0unIcviiMZF/CJGOxUD2
wCJv13iCcDbHN2IQQPc8smkyEpRCHRzPSEc8JMZcC29MkWNiN6Hufs8aMmSuXWr6zzhEFLiJjHB4
nzttuqCGLDY1OFTVyxVTRTufF2wxYWVMNP9T/56R6DgzDdVqhqhzDhVxh/TB7OggqWXjHksJobs0
HyDUIi+K+1akTM1DFKid4enhAHQi6AZId1YzTPlet1R0mgULnkc3NjQ2OZQwYu6GXqGPudPT2I/M
Ur1uJSdIYIH07YWAlwQCv4jsjzya+q1ZjZmE2VEyA8NHV0qzdG821wvXKYFqOGC46DRCizwq+dJ7
YsXDhRPhiEMjfKwxH8IQy2wxWNJbCSXxObQClSJ2M70Iq9V+hkkpvVVybBQgfYyodIWaWg7rrpCu
cciV8FfXhwpiIBFJfdkvtBu/6jsIn8QzIPlSeQbjg9YlkXazHMWbUQfAs8lDM5rdWq1gQNplRbM/
HnKyL7Wq85bjN8AN0iz2UmF6q7uykDGzkia6uG66SGdRUOAkIsbLR2yRRDaZ5koYNV5TWTLDcYZc
y2MacUpP1lRTq9c+L3MV6Hk7g+nqkvGhy2pV9y2gAo/4MOSFL5wOwxLUt43llmjRa5+mF0oOhjIB
L2pp267cYarE04y94QM0dKrLSVV3xTpjloQIAauxXDl4KJb7uQJdBKW3yKkHCPiyeBSQXPd7yNu9
yywzDR+uMtWppjFxuRqLCrAch0d19M2lXc1PrTn7mcztyEsE1151w9FWXjUFyYkbOgYuQ0ioxJNw
8lmGLdgT1ZH6TW2MzIbyJ/IIMd47sqifUt3Q0fQhg2KGcOq7JEEvK16ntKiqYwKWCEWU1t/KHchF
r4isZmmWtwFx5FNULZbnKRAJ3qfIDYPBeoTwkZSeFjn2dTU3/aXGaPLrrHAxldN6fV7N9DjiiVvP
A1LybDEpYCJai9YuxdCsLLHWIC/Lkvf1wnO6xLIxKcoShS+pu+OdSUcEMIuMYFepaYjxqONGaweZ
4GUdx/q3eTSmxyGrAJXgNujmZFbORMCnssSFu7S0l5ENUpbjzeHK14J6cqqedF0O0YJ2NqfweW/z
XW0ONjqM2fTVNOk3wH41T7NxDaN5meSNjTRLQaLiEsfHK5ao/u7rgflkHyUFqtH/+G9e+FFggJBp
pkqvg12XK/umLLLxvm1l58zwn0ZF3D5nANJGS2MJwszD2ycRo+ZylOSeNFD6GOZ1oDuYIssPRmis
rcJ4Qkt0mdgzVEhMXycdWUYdyjdN3p/JXZ0EqmiraR1HCk5ni0LQfPhBFLWyu0GliynQpuC7gymE
X5Rze1Gb+Bv96dDyKlBfwFWAAJ280OGlBr0eMuLPxbmgsjaVlgW/qtb6Y+sCyntLcYkcKg0qzK7D
q+jOZFgtFSWcM7t0Peih/hDHbXjm7P/JsCGtWRhuFikuqolHVzFHzrgV+Zkm6FO8Opp5jb3ZQj21
zpzgTickIq2lcoeS5xM9TKNRIbcw5vYMm5cija1pHVRIcr9+NqeyG54ItpgUB6ELLnL7wxsSRhu1
SYx/uwODBLekgryNN8vpbK9EUASVW9ajqAGz4EvgSsk0PNeaOZTeaAzJApqvxU5oIuvPvCif3D1v
CXpAMjqsU8cVlDaqM73pBxAjTWGuaEq0V6kC+efM3Z/GRew6REVkR0mSnkwaleJhrJaL+dMQY2kw
Ruk9XBla7buqXlPINa5JFjrflFHDhrswaJFTpS7Ce6Iybi0lSx4ZG9zTyNc7D1rmmC6J9uHPh8Lk
PKugzIFHQrh/+ISCeUyaJKWY5IRYnchyRxTu0C3z9VB8MuD89t+pW+JSDkmHV0nVusWck8ytlSlY
yjliuJazTDkz3T55fZAY4arEP0vy9eglNURq9kOiVIvhTQMdB62dkcf1Ngv04tyzPcmALD36y8NF
OIHQ8cQHIChL9vOa04TVy7cRzjFPyexMjyI2oq2Kp/utEEr6LQzCGAsL1XzW+9R4qHtOy18P7e+j
7uG5hk9C1gtdwOLecvwEowrqdxCjxzNhi8X7KZjllygV3XfOIjGqL3rmW3eoh8K+gAqmPSlDnUT7
3oynzMvtTr8PqNQ8KmmJAWCRCtnN1FLsps4ao1UGrfMHQFY0pSpJ3ovMmap2Pc+D/DPtBmxRiVvJ
qidVnv+yg6FR/TIsSSjG+mw+fn2fpw+XQgviRioNytLGfTSFusQcKwWxoQdqNvHZ2nW4xYn6otAx
cuZSp+cn+tJhoXJ4Qr0EgeRwthqkkGlp6biUpsXqvpHV2XarpNSvbY3C2dbiP2jDB6M+5ynyyZXp
NKGwSpaH/MGxANhs6gk8EOZCozp0T0UC/BpzjXatWbX2pkbpuNaDOn36emRPlynSZzg68BxZr+Tf
pcO/ZZzBYbfMIICo9twiHA0Gw3iG6GVctUE8E0qk55qRTzF5C2oW/icJDKqePNbDAU4588iZTidF
mir1fW7PmCQr9Hlq6zq0hbabQi1s8GnTpLtIdWgZtNMqu7ecQmBJ1mXRbTwEnHbKSoLqpaAjvU/B
evsaZqItYgNIsjsqP/WPsi2au4jdhTKgEcWvODY5YD9x47ptaX/G57GgkIQdliRcTUhJtqrCMk0v
xyA1JRc7yJreLVE1tITZUq74po6YxucYpv+SrKkttgl+0LpLtAtDtm4wKo3ndHpppMaKFmljILZj
SJjgFhzWxZ+udmgqeO2XxMniDnUc7DUGpqQYGOJNNrftJYl+QbsCBso6nQr+1zPkRHFAysJe1Ko8
NPgDzrK8/22GhLRa2XLcC3LaVnaVqjSGLYyuZos3Sb3lxB3SQmGp10GZQgf8+tonWwfXZjUneiDf
R936aK7Q7yWFdFSCT6EjbI8CgR481dH+fXL4Xz/G/w4/ytt/r5ftv/6Hv/8oMa6Jw6g7+uu/ruIf
uIKWv7r/WX7s/37b4Q/966b6KO675uOju3qvjr/z4Af5/f+5vv/evR/8haRB3E3fxEcz3X20Iut+
X4RPunzn/+8X/+vj9295mKqPf/6FuUzRLb8txKXnr/98affzn3+hyPjbgC+//z9fvH7P+bkt4JL3
Zjr5iY/3tvvnX6r6D0JrVlDQGVS6mWp//dfwsXxFMf9BYMP/Z6Fd0BomS1lBSiD651+6/Q/ki6wo
Ooo1vrAIttpS/P6S8Q90CItcBxEJndSINf/PnR88o//3zP6rEPltGRddyzVRAzLz/rb5sVjRvcxi
v4hZETnbRxFziXmhwAwWYZMtvQXjRqmz+wiN07YtM2OrqYsCtcvlNTR7X1aDa6Cu8tbKySwkVqSt
yWUaXoopl5+k+WOgTuaafL6OpW6S01k8yG5QlNp6TOaB9qlQu6o0tdtWhvm+nB5vrcSq9iZESXS0
Ja3PmflKB9zP3trkInhv8HBf3KfEBSaW8y2RS723+0DzVKwUL9RYklZVjI+sG9qjs1c1K7wdw3L0
NLD7GxaPXVfRZEq/xa0hOW8JbrFuVc2X8KQuJWXEJVvtpA1MsGoVCEVa95KkXY3mkguS6gYkUwEQ
coE9rXFtzTeR3KZ3oxnKo4dhqP0QRmW9krs2XeHHbT9hOx9ssVPVsUVt435wGzhVqo/HlvxATz74
iq6UHipbI6QYG6yWdDXsn9N2rNwsJpeGC7WBcbBo6KuyrRDuYy1keNeWIz0IvmMZzqobVsg0tJWQ
4ZetQF5iFZrrQ3ARS7RdcThUIk+RsRq2QjOE0hkPuR+2BphEKSrKFxJmm8IqpVVUTtUbjR3hGgcu
2rviRJdaqphWeq+HvU7GpJxxAhRYu+Opm4QOFNQWt505iKVLalr43PZZPqETjeNV0PHo8ChJZbKB
6M48oaDwRW0EwWkSlvrcT6PYJdFEGiGtpy3t8j+0SfsosxkC0WyuMg4vvzISh24aSQKeaZLUV8M8
XyjVNwWsotLlPriLBHvZDPdnfMPYVASVESsS08ukRO3FCGHkHa/XCwW22lxhRce2oW3mGgdce9Lv
p7Asdm1v/Khr9IGS9IoV0061gu9lGt6AIN4Uo7wFWHrXOBY3kHU81XAybwUR7EeL8s5tyrnZN/Ri
e+biAjp28ojliuJTKcPhtu4v1MTONkLJnVs9x0UUoBmNzqsp2DqxJS7DSss3tiLVfmE030kGb+dC
k99HR9JxQoyacHYBpMTruJeLHQ6DzrU5FyMGrkKdniZV8Os0OYXHrxbZJT1jzUpO629tnVWePVT2
w1S3+bdxEqZX9AYg1n6QtuRd+2unsXKXCHxhu1qRV5jRBMsKW/MRqoqF7ohcW7hKCChWGeHSY1OH
lCKNLr4UFQJ/FL/BzoReulODzH7ppVK7GvpSIj0rqt6Tu+oRgdKrReYRQS3hj4fJc+CKHtNACouS
V6P1S/TkpRrykkbWGiZnotl+roOGzo3ysZ+b+louwhDpL41kUEwzr+zUxh01I7606v7HlGEtiO8J
nytIpggBw2JC08q97ZU67pQK73UXI+N1MhkQbalgUpjhsKZ1YXg3t9V4abSSvM2EUVzS8ma+4mEE
2ky1KKgn9wBR9lKlYdnHEc/THLRdWtdHd0NmyL5F++0OOjIZJzCSEXeddpMbpKpXdVezFsW+RnvC
hS2G+iofQ97h+7LJnVWim/hjB6Fr6sh550R1VWkgIdqr8toAV3IT1PKlkAdzA2pq3CHMtO5iTUF8
yzK9r1j7mYN6uDKgmlzVXZu5MX7FaQjPskhXw8AJrbe3ZOauMInd1HaxoYjFCmH2O7vQroKO960d
flDp1jwyjetpSADSwfQLsJXrfTDgl0b1LaIhGu5usyKqS1cU1emjsFPzMmgMX5uUj9rGVojb2eO7
jQVOMdD2F2UVuWZqtwht7vIqj785uGGRPk6zfYXQZT1CcoCLFy6Kl3S45fyYbOFhVQ/4yqL0HP04
NWMvasiEi/yJXo3ZbXr8ZAxjX/TZCv+b10mRWSps66LLJNDMJboZVW+d3cjRxqUoHj9E+ZgFgF3k
blcb+X7E6cYoEnulDojK5LQIKIDZ+uSrvfU4FgW/3o6lFec5nsFCei9FGzH+WNfj6UIQnQWLhZDp
adPPVkmGjSyqfMNLN25jbX7u8RlhdzAI0qZaPBtO7vda2ePvOLQDk9jpb5MGOmEowvVUdtUq6bvF
HsagRQfL+ygo8EXCFmByKuy6Z/V6mpRtp4XSrYLr721QU2nCBOgmn+17O4guaP3ng8mpb7XxrRRU
r4M2Ak9HT70y1Tp+McIyY8HNuUlWH8+iAUG1aNqgkmvvtbbrb0yp7ehwxPtoLlcpg31NG4O2mQZt
vnISZXzqw7rbZtm8s4ck3RjAWZgesvCRgIi9Fsm4CshuKi7hPJsu3t4kkyK7UjbB5KhuVLelW7EF
U1XZRtSL3SSvXvoWkZ3UVfcIzOx9MVlYwSrsm2EzBruhidtNKfKANbwZKHAU3woa2VDwdBjSFJu8
bLMtKkd5302z/tAp1yShBx8FiOkbGcLzSE9kgMS2ftkmrzMNwf4kB5blJmV3p+HEvg0m5lbTSc9R
m0Y+k1DZ0rbq3IoUSSrBJFo/2n9JZSSTVwLKWctFFUcet2BuzGEIaP1tZLgaUpjw0z121nbuz4a4
knMeDQWVRy2JN5rZrWqdEjhHG5pAoxsnzOEGWD7CBvaNKPiRMRausLtXrH743mQcPDQCwdqc4+Cl
lvrhLgTLizksjBUTy63N7ETjZSdXnSv3Zv2G0Ac+JB7OwcoiEItXCcuNP9Orms8h7edDNbhOyWyC
8bxmWX8e6m49dcpmiqWLuUoux/QlzNkwkxeny65NI7sBVUnzQLkxQFy7TaTdmdSeWg0nm+m+SIxv
Yfrdycniw4gJHQpXDaiN9MoJ6InQdmkpXlTB5tq3ft+VN7rQtvWCw09tyOz1aK8ohLEuat3dEIzy
vi5MlOhjg+99szOT8FmHI0ORxryr+6jbRoNTYtqn3ZYjlRpcSKUeX5aOiuAqrjYajhmlme31+GWq
jbWQHawY8+I9HbMbuVUhjaj3JFteKjnaG7q4bjv9pinr244JMw8xdtiNU/qtNrer1oqbFTDqgUqQ
sZMIW1EJY30c9IEDV14Jr7Mo3M7gCHB34hlBDvSyvHiz4aC7UWy/STh+raBYT57dsT0Anrfdmndt
xAzcytfsZKXbp7g4YhJh7JLaVLdDWmxoPHud64qKPzVwQIHBbW1J8VY3C8UXUkC1cNTvRcajTOVJ
rCwtru+qht9l1lX4I5aatyjqk5WqZuzYTWpcGKIsNo6g7GwVk0diLqBlKLrKJ+kjcqyrxhiYXDQg
aHXzE9OSK9oyXWeMfKeL1umSg6HJfqXFTetpy8ey6uaFgI3fIXthVfuxTcQkjdH0kikdzzHp8xcm
Wo51WPWcpcO1sM0fhZDvc44x15KcfRCdVXucstUXrdG+5XLHp8pU5Cxw3qV7PVe+2QgN16HaBzdK
O9zVkXJHsnoD6nzTltMyiNpaGGOxmbjQVpbD8n1C+nEP633cxcmHwKhNze11MHXF1ZwR9TSZSbt8
O73JeNte2X1KpamqnJs8S1Pelby+4526tfPsJ6Ah/D3R5cHQk3f9BNwKNTcwwZ6Wcb8hiXOpBS0w
ZrTeK87dFyXY1tnNaK3ocIPADjudpkc7rqzvwBBtLyqH9DIg4efjoEdTMPQinpTd+SBvWMzLWvgK
eTyoTVrmEk8VrpPGsVea5o08YaMdpCEhRhjt+lKtLssyVfEgzQV0gfRVBMEdOrT4NWiiS4udvqt6
ZwUwKr03o6y+yOnmXLMjN56e8hmVkup3OQj9XSsrdZuDtMLGT5V2pS2x9C6N8W4S9vzPZKgvSEI/
SFTMcPhQ9PxCdXAviZHPrRRryZM3htiXQ9Xcj9Hc3vRBbLqybuUP0qSkNDvVeeeGOcNRUBTdsVvW
FzKuguuYbJSrTJKz0lDhCUQRzptdQfrsQhX3KNb0zTzQuN3nCYXt1u5BP8FXTp1S7BHaZG6tq+9K
NTg/J96P3k3D5K7IgJcmNc2NI37JS4/3a2RjAyDB/90B7Cj2eSloTAot0ewaENuPo2LOvtAxrgdG
1fxQg75ep+10UVRhk7lFqjiPjWAfhvNoQkHqrL2GBa9f2vm0su15cq28nzzBp3qSSJSWHrow6wZu
XOipg2JtU6vVt8IcYCKQMpW2mFUE3tBNz8M0Kn5oVTpyaLBLN4lTTdswHV8jkm+FXzt2Am+uxi0B
LHtw06SpCibEmjYTK+Wqo0B0lYrW8ZUZu56pnbU3ZyjVtTC7Ya8kBAMeSDQdD1FVRu0Qxi4SAE/t
zcHHGLBfg7Sv9y0YpT2cMXGhtvOjpaTy89CrimdQhnmaCbdxHqHYP8wC1nli5BsFx+ytFRbCK6M4
u4O/BBgJLoR8EdSi9ZWiAKpkBe1VhkDPH0Wi3NTAYpd51PzqtW7waidVrxqt28RKcTc6z1kR4UTY
5U+WVZbvSpSjerZwnAi1QN2qUla4c1H/cIpW3wxT6FRuMMGvqcKo2ljyqF0mKN08swUZEcfGK+0Q
xmPZKw06aGRxmAyGz2DwOdgYJo6lYT5uggiq1NJrfAUb+CFpjN5tBt3Y0e6XM1vz1y5nfgXN6GPN
2O7NDNwEFga2RwODfaEub+SYOk+pUqXfhCaPa9rsFL/S41vtfzN3HsuRK2mWfiLcgRZbBBCBUNRk
ktzAyBTQ2uEO4On7i6ruGas7Nm1TuzYrq81lZpJBwP0X3zknm/60i6C0sxosnz1nudKdLw8Dbhgx
QWnv0gH/J60mv/SywmXeZCuMj5k6ezr3dqnSUsZN5aRF2G3lq96t2129kpIw5tT6k9arAzfIlgek
TUjTvru5Xb77czckeKW6cSFTZ0+oeBXqyvOSGyW087zcQNWMUMTBDlMz+FlSCZkjkaYc2Wu6j1YW
rMngyebQkQjRRu2wOe8mOROPgA3mE4Wa8235o7hb9LmYKQItdT9wpnMS5fYvDXW4azU3gq8nxiVN
m8fG/ZkPCcYEDzDNPzMVRGQ+msNT3omd7yaWaL9X7vQTmbX5Luj6Jgm8adgHGE1SdiqW4gEisEcW
H9idV5V8s2yuWo00tJ88kfi5+qOWNL7MLtpcEMhZbk8lMNM7H3x5Xiyv+m2n9oLbyOgcfIyVX2pn
5WAtwa8GfXsxRUu7gPHuW94YwXurBH2LMocPwjHb45pa5edozz6lVGpw7MgRw3DNa7pknY2o6liw
yHmof3WoO4odSB4RTpkytmo3zgRpxVreeSxL8bjNPxqrhIF1M3HG8jMjW9LXdOMgUBiQurPY2tNC
UUtfJ8fs3bYz/OQbp54/smVAHpvrS/fUum33UPEzHuqOspHo1bW6rBasQOy0g3HfU/odC6shiWP1
h+bmgJsbV3PprR9uUTZ3S23i1Q28qQUhkaI5klWVqud5adUWWfyTJLIP7p2O79ub1hv2sTG07amZ
JjpTw6v7I7vpLoiWfEhfckXqHburznuwN2z30jlfopqSmEvMJ8ReTbdUJOmU3hmdXHHozHklGnDI
/YhG1Px2agAzfUm1fQXnkHAu9bEzIIddjc2jWehomcoAOzevEycdo5IiZKIxVCjiVaeh+XKC7yzY
HhqgrVeib+ZT0w7T2RxTRja0ViHXXOBFsEEZ2Wm+O0bFsNJVG/VGMk/q4/jeHeUcAEPhR8hp35IW
zyDglCOd3lmYn16xnlqOzixPS0nDVGrnNrdeiA/Z2YO5IjYY9oJ2ZM6w3JxJ80hsaq/d0HbTDqCa
zn1b+JbHMVr97TDa177Roe1rbsjUfOSnOJqOeLddQkFWOy5nP49mdzj6GFyX3e0xeB8UyhTPODQB
0orUxXwOv0R1l1G6Pq2+N0UOmgeH1WZYwFggpTmjaiHerKi5YlTRmhE2NZhJSfJil7eqdh/7dYvM
Ru2L1X+x9SYuhlTu1JKo+neF2+NO2ip0C/fJ2abuhc5QHvTF/4NTQwu8TXMrfUfY4Wzh0mzIYTu7
ueueiClxbxk3e1/Pfqos/20Z63ohvzdxVkftsPQGKjRXyeaxfmN6UZEHzL9TpgiCAn89OEvRHkiU
PLc6AUxN7px9y/mJHzQ1nSxydHd+QAWv70icFaHNnfBY5UT1QZf/Xk2Kb68rmidu4Njr12VnlAwC
PZgizemZd5hMLHPb3FNE3Te3A8+py5u3arkinjfs0HWp82A2v6weU+nS3DPdixsSB0MfXHAZkSd1
JjJZoonmikY7c56cVkYlI5RGgQwW0y9z8e4337jCnUVzH7y2bJ52WmnnTyMt4J4H9KsbMay8PY+d
YUz8c+tdl630Jj723vrKU9GCZFmsIx41c0Wg3WfULzBlrr/EtQU35+rPttPFPgolc3LOS5B9en4y
FKyYBhnWXvCyabfZmH82FJ4tM2k0DZWs1583X5aRk/uvae88DZpBoC6Rkkpo91gFHeZu+dLz6pqV
/MTCXGgF3Nhel0/20yF1w36pPS735q5MLwhoF0Kb05Oqxycq1bvKZkjc1S7Wg6n/MRSOirb1dqZn
T0hDB/TerPT61Dyua5eHnZ9GhSLOwLS3iCzzQ1taZPyORoARM4OUbhzsI7f+Wwn7kjJ5jOQyXdBg
Pi1blNXmkcBxrGos7LocmAzZBbuCDUfoLBsjbtviaUTmJr0ToxpI1NHj+BnZP2ltlYhMnFwgXwaH
qUO1BKKnYXPuSEwwukR57cXVm2S1Hpg8UvYrjLM6bpNUEYqjWvhTPhpmYOTq4p80uVMfislzd7Vq
l2Rc+3Dt2bPJBWsqhn8Pyq/3UyV410iEFjKQITOIkEHZUWZ2xrT9abP0A9uzKHO/lPJp9MaUyzz4
5XX1wSorQUTV735MGdjbm7jqhFg/jrj2RF7ec7SS57BbSvhozPLsqLPNIiGStOVZRklIH/RVE9TV
2jlPd6dd3YYDr17ASKWMxixON0Zsc3vKh4FAM/tjHN8MP9vJILjXA3M3FMHeG+x+JzH03+poNIbQ
gkQoLkHhR50ci1DZaeT2p0AZkRp+9MZvvzC+KM5VOBnDGGuT/1C1VnrMnOWMNoEXniCw8yIBSlP9
oRHDtXQYuXLIf7f6ck8HcmyU+jEt40VffwTm9NQOIDVMmLxYYeiY4L7yoyzKQ06b4vb8Uvp82tXp
eCpmwYW7aK8YlsMysdNYdqM+n3Xixf1mizasgU1dRE5zWav2qBV+gtYnO498nZqPlrGQzPlABNi+
kwdtvNjMqSiC7JMPA57Wr8wdwip9HRQxbZwo3vZsmDOTfrEvgoNkLtoL1tAroCpDlkX3dmnjX1mp
hPl8LocfHEUhNUfIDCJM85ElxhN+s6+LrZBirnAb1oPrvPrztDPMD2f9rqZX1i00e7SD3AcT5263
LecRmNrr95P/PunaTvTGzmDeod+KBdHeCY2Z21zBInGm0U/+WLSJONGuPm/67IU9JhgvE9EJ0cwC
PTbZ1uxq03+ReWDv28V8sr15vQ7TSB9iphhjid/24p2aqottc75HbN/sg2KsTnbProH6JdJy3zh3
qXrp++luAFseSafiqW75leVBQ9MIepx73Xax0zHaLNb/5ewluU4baiK511f/sdxsN3a1VfX8DPR3
q5udTWP+bB2ryJiXzd7VasSLDs6X+MJZL4yz7PrRqsVvriCmHx6VjJ3PF+A2PSyr20kuVv8+LcVy
wAiZWMiKwQfHLxuN9zTLECk22/So9FdPw9YdYr1WFu9ybrn3BZDDkc00I9z52a6YDru0NQOiGu8m
6t3S7F0Ie714WGhSW7Ovk+99v4bsRL391HUX03zYRm5a81ARWw9+sgR7HAJUbCzeS44/HsapZ73U
7/v+TY2SCXfzUmlYzUoRAU34YasbJ1Xae9WwYWu3fwxNzTU7FeqW4lP76Z5RONZdQd8zAtz6q60v
7rES/bXQHYa5fZTr+VPPIJcxSybJrAseG1x96GWchT9LKaYxcdctvO3ThpkSBmm7jhYp1Cv2HNNE
pbUGZX3N0nNpOnOCg3tGH5IOSTB346MReO9lkRXHacKAwRiL4P7GKJ4KrMFyPoWd4/XeNRiaY1N0
93m+HyzYbjwSvjv+WEgGJxmYskp3K0KWJeQzNpKW2erBCJQbks45JsTxUgDxEHoQd1u2itBytQ+H
2rAKtDyheBDxjewI2R/UuyXAr3LwKY6UALCv3/xZ3GUUzS/rDbCfAUlCurenpQy+GmUfSNq5KNcv
Dpvd/lhr7Y5RwitERKI5S2L0/uMGbRwJfWZiFUim+84Jf7RHi7JuntjV1rMV5phVYx0pXpuBvTiU
0s7ahM3wt4DfrwZ1NSZhxo6NYQ9umn9ySuhwK/0x2brqO19TKkSH+0pW1FWzXnyV/pe3DY+eU1SM
HHid9PVaZParT6eoMX4/YLLAlAPsdU8vfxxqrKCaxURM3dv5bgStSQnwK9hHbPVpQtt0CKb8Z+2z
ysuZFRjchJn+vPn5sd1Yw3dICnb6ytMGQR/6C0932kV6Vl00z1o5YhQ7BNTI+cmV5YkRW7pXnVwP
ckjdKKiR12W2dehII8zdka9Zu53rktBcdIO22xDdv2aNb2Cj7d5JXae6cfsAe9fqIvPUQGcBq4+l
voOr423lNjxy0xJ3jjJwF8yDexha9bufGVHMLgR9WlnGfpsyoqDhkOIMacNdVVv3RakE2DTP7Cj8
5ijGvjllg8V50y8zTqAjtNBkeYlriM803/o9AwszUmOaI51o9otmPPPyPYwFoxrmWGB0pJPEwybY
7ZL6E6Z41r+7uLzw5qyKTm0czqrWy1/uaHdHf8jH04Z2JVzkbDPBW819YRRa5FQ6ZiMYHu1HN1fH
YXGmo+YiLwnapkJaiqtgYZVGaJYlqYNbICJrweEb8HqAWWL4OhftEI8Z7N5S/NAaarqxLA+GhDkw
LcK23FErIpwS3zNWRg/o5XtcsQ1Uc4vdxoyNyh2WeVqk/Fm7WpvNvqKTkFXlglg5KJ/XeXwh7Pij
nnVtb49bcKE0RLYtWH0XIwRPMLU0J7p77WiAC2xQSe7VxiMC5fK12yS+fHPvHMeZeTYYPRPmVX+A
1Avutr6+71yzPRSB6H4Jz4arMkf9Yg5Z8L2qSftBvuPyXmATerC7eWXumTH9b4ZPQ2tdWp3trnfz
+zU3nzRp3oayfAN+t3XPy2Aphp9sLEqLem8Zxggh86+qt6I8kG3smeOwYwxN8VNUAYgCJUNDLb6F
XWnXR7v2oQZM5T5lhW1Gjde/ugH1TGn60AV2KuNp8bcka4P1RZDlmxDAPb2a2nRtDL34ZImC4Axl
cGiMy7Vx+Qw7qzzIouiPXgH3Bpt7nVtIltQryMntmz1DqJg9nBU3om2OuVixv7ZUcezyct+lqJCZ
el27tB7vlZq/UmeqY9AHTrRpM6edyikbCLqcoqAfT4F+WTP9SzA9yDVjr015JKz2Npvi7cntbTGx
MrcsvM2d50mf5kOHX0lCwqP1T+7936Kv/luu6l94rP8np/U/kb6yIZL+138xTv8XfXWZl9/NN3OU
7F8ArNsf+ieA5f6Fizp2OwCaqNrxbgF7/SeAdSOp0A3dWGfQIKKq+C//CWA5+l+wwMGNCmR7CXfB
Xzf9J4AV/IUjIX8XSku00qQf/DsAFsvpv/FXSJGRMuKDcuNlEX38TRC/9k6eWTMaGnPCRMaaF47k
JmOL0NXjz4EdB02tahI0KcbjGtz0Boxf4lIvmyg3GmxQyayPJ4QrpCv45gGTMf8tMOtvZ7ol2xqK
AKM+s8IgE19F4371XvpGm/ux4eSZDzh8+E7xBz/1Fx1H6ZCtA96KOVWyOVr9TrQXMj2Dk7dmT/h+
/bJvyuTJ7ofjsgF29nnuRfS+LjLJmrkLbjHhkKffwxKoD2GQ97KQAvNMRuW66zOS1bfsVlwaqUUP
RDRem+kM2Btzhufr6JV6Gra1ndDhZiAcedfY93qqB0nqAmwFI0qsDDFEhJH/gavwlbTjz6yR4lSZ
1WOeso/AqFjz2bvJ4VA6a0V4MdNJpBnurpmNT2xwHs28XA6S2TQ56PWJ/WgZNlMXE4h79nN2lmlm
+fu2a76dQlmHAl9TQq8YIZVAtKGa3A33XUswAa2HcOjltOOaYazeONjIu/6XEi4ZWKoQEQC9OJEK
nZ0n4X/2SPdZbozmd8eApkGU5zmJbTbjOUceF9Z6hzYOXVqro9RotWZlFC+0m/1MuSsts9oZGgjt
yrq+8bWLgnnb1xBqd6rj9BJ+SXrxuqoINugptxeiMrZgivqWdB+zMK+1Q57j1o1GOBa5y/5xavBl
G9+s1aQtGlaf/7vdJ8HAinuFLCBhlXmb80YG9YsuU59BPM19ncs3aleih4z16ii6F8VtfmemxcA1
z5XBJw3LluP4VGhrUlDO41gElpAb8odQIIK2OTzTe6bhOsmrsGdBOkjbxfrY8PT2675vLfRkfAeQ
VF/pDQpMjYszMMwqDaK1GUvebTKtoyk1v3X8XuN5KPn0+m7f2/rH7DJPrPD9MPChjjgJzlBcZLDe
itQ2ML5HSY1bt9u9lrWvm+/uq45EXnPRRDg5Pxh1pHuRYsa9Ov7A0IfDvsPJZTearRk3FlczFuWJ
b+VeOKb2r0yRBdW16oc72TYXpK4d8+nGa/nlFAfj/EFE9UufL+mzow0yKbISK5s8P6C+cKPVNk/m
5CdgoVhDpb177AaP2QU/pbEvOgEYgb4mBF2ajnrL6MUvxo/Jq+1QgaBTl3lpUs44NoxCnnQ5L4kU
1lEvfT8JVuuA1wp3IM/XD12M38KFJDHabo662y8hyy3FvnhYQc38T33OfvpyeJXkh4TAjTRBtU7D
xfcUYoAYHIyZGW/u8X3Wsr7rWSzvNpsPGof4czUbqONMkMolz/rT1Jpb1MK7RqXTIZReyIbpjOKT
MyFnuMvvlWAYPTLc6sfoj/W+sNnBeJN6hpr8KAoFMdNjlmlK66BZYx2x9CGK3FjrI2ejebCnjiEX
cqtd0Ay5JFHK9fe+Ju6ccYtXmK6d2JjU+W1vJZifFfuhh5LAo97iU6vsp9WbnBcPYD2qMlWDltTs
HzdO/8gw1nNjieNUmiOvmgtzUSPrNSsIlVkWj0C0Z7NVnCpagcHel6225WnI6mNq9SZ7CW+MUuCM
MNh07GhNcRdk6/eYquqgic31d06a/qKeYraIodxQeK9BQIGZDYxI8OkTYTFvr3PrfUuywGv2O1hV
ZS710WDhHTT8qBXZIa3Kk7YKbq74+jeNl4WPAD5yU12me1K/onokOafDY+NcepoTKSUDXh++H0Ms
WZIW3u9qRJqi1xUTP0teF3P51eHujgFJHVq4PxytrPBiL6Wo/seF/G/VJi9dw//+Dnv//xUl//JV
h9/dDbue/v5X/U+sXBzzv6tcrh0LJ/n1L2XL7U/8s2yxqEBcqhKMQTGhAMf/r6rFdP/iwSagAC0s
eSr+TTH4f7BxdGiQ3OjlcPG5lSb/u2px/mJHAcAI4Y23K2uXf6dqwZD+b6ICmHGABtKJbLREiG3+
LmhYApwTcRsvIt2VZ1jTRsX2tIrHsgJxCpH9Mzmm8HiAQPBDnf1IXFSz3HnKFfcVS40y6QpXn/bj
XPjdrvJzYbKISBe2Z+vJcutyr/nylwWlEApRDnvcnbH184g7yqbFedNZRu66sT+b/aqBO6ngQHFU
Pm2yZXzZ3pIcteCA3eJ00id/BmLU/pi9Wq6Guz4zGP6VmrYklFSnuOJyEApKaJrBENNh2OxTznFN
/W7Orxv9+J3tpFPkZZbSHxwQijYy0KpXGEemJifQoDTxs5OFnr9UJETmezW3bgLoXO2YojQvW6M+
yYH2Fyb3FDrhZphGEwVDunp7QwZ6whELBN6u2rwzM4fgI9pe3L3dbr1Kc3gTa6ONB9Nc06e+m7It
louTkpiheTZRWUtxNMhcTUO3dCd40SG7Lyfxaja5+cPPZvuyuBNQigoM/mO2ZiG0XVDz00KgowzN
oSXGkl/YV12h64dyxmh2HlrvvpZNzSx0Sd24wn3ifsqb/hsWRQGc3+6K3rUT4WjpfYYbuDyNCPpf
nQaP0ESDHgEx99LlJdAM53FiKMRa33GMnzo3U+Su/HJCWxumUypsiwqrMsu41gPp0S7RdDmNV1/y
SXNYeWc227PBGcM6sMt48Hv5M3fG6ljOXDHFOLafVYorh58BTYbOeKv1wATOUkBO5eWo3Yuqd+ej
ClJ59gjmG2Ha7Nf09s3PrrsTaCqpadeKvh71xtMaPCDAy1bwRswkKzrvT3OccnYI5a6eoCAquaxO
6OG8D4gYFMkix2pXVq7awS3yG8fVIsJ/HC8UP3MTyesYmnrthMNUzSFZSAHryAVv0blb91Mzn5fO
/5G5oovqNZvDVe8EJKvaaxjr7Z3RjrJhvbrValGeMYvtvDICACSpWyPXt0pbLxRMuFqvRm5Q7u0V
PNqfTIgNzX1MbxtMQNwLj1dkjSae/JVXxqQms8bxaVM1fUsjp93YXm9mVHQ8DYxB10MPaBANttxv
LktNB7OsvUw3aMgNl9IFF40j5fxFifQUVI+qbh1W8NCQuthucx3HieBvxQnNYxa71qydhKmqkO7/
2clXYtt8fQhxA4fmCxaROEv9Zgi5s4W5hfjv3hQfth0rjVVXQTpWKMXUZ9FCCmjYkwpElKGHPYG7
njW/uyfu635d0kvasYbppFB7olB2mRx3Do4bgVYTgdkWr6qri6OySwhs49VbYZzlQFxvS+Ae8ezm
bTfHyiu3ij9biUP56KvvrfcYS8vx1RwNdnSD97h6+XsWyPqKLwZPSLP1I0DZjfZclse83/IHyJ/1
mOGnQiyTvi9IUvgWstwOoBd0ImilUUVoIhk0X38DguMNJJvydUQowQSx99DRDQXxr9Xyx0nxrw8b
BmRwuXKB9sp0LLHw1SAuw6nlvp+6JlJpcbdtvOpMepyUXU252Hnsr7J+XSEbK4jgiQB6eDlx3/pW
JIzqUncyvbirSmU4NQ6igPqwWIy/rNl83KS2PWobTRQj7VuWW3eqc0clmlG4hxqaHzdMk+TVPvPW
O6Oo1ZeVGu55gGap+zqHQu7RpaN+7a4FJt7QYzzwb07v3iY6Wl09C69YsGJvl9ri4LGyfdl4LK4G
24gxOygxk67MHm8R84OFq3/seLhjDFnsR/CGgt+66P2TqMf+rYcG4aDMdcvZw5EFBKn1oFe+SWNm
wvFN4YJSWo/VOLJp2NgP97wbezTHxrGmjaVWXGoe9/VW5tcdq0oxuV9Zlqd7ZmX2bQHjJF4X5GAh
mxluXscS1SZSIY8nx5hZczeMZ0UaNAdd9mNcyyXl8pshTSrPvMNWtb9oZHjscnqQJ6A8+4JyMo0D
nUOulyq7QAKOUQa20qNi0KynIvegqmmWbScSqJw/3XXz7lH3Qyo7Dbtfh8E8eAeLhQ1laTW+q/Uo
a75zxx0Ty2gR9bjFtXfdh24eunjU+dq0ltu50sz63letzROY4pttdUsV1RVagMG1m8ifXTMys9IV
+5ZnVbBUHAc46jbNtBOip+6hzgxnz5o5fcCKjCBZqwWLIU50pjOz3O5SDA7PagPALpc6Hu2mv0dS
uq+kFllSRQjVue7I7wMZzeI1l1a8AgVdUnMo94TyQZiUWJ5oBtvfqc6eUpd7x3OeiyX7LvzVIv9E
asnkwQI7y0RFuzmyCce1DJCb5uZDYPHo4fNyh2b2AQOZ/mTVtjjOi2Y/l/XwZ6qMP9Iwukuvye4n
ElY856C3d3N55+HiexiIcE8cnjwW7/zQIODbcyst5hVYmF+yttX23mSaSeCWzYUsa/2Bzro80RTP
RzT4bWw22XBftk3/oNUg5N7UGN8kslPCt6nc6x0QU1Da14L9f9Cu3YdpDHlC38jzOJtvo7axMe96
7q+ihOOc8F4MrTxNkJ1vnC398Dgw/3quWX68rcv0Z6ZxglPE5GvpVHpX9NWwz5n5kFgzQ0C77pPE
2p6/ckZI7+nFwRWMO/1yrL+lxYCB7LjxNAil7yDZp2vr5BerUYx89X7FFCf/yrWxf9bxnnuuKtWf
XcBT3nsivfSeQqlFIHG1nLmJ+TycvUJQU5O9fuCXlOJYsxoc2YvpX1Kb2XWvL6dO98oLXoiIe2kO
jySDyyOYXP1zUiYeUwypw9RQr33nvZUZTkSMY0/QgAZvWtA+eJLQlUJ45BPkrfeqVKDuWwrje2ZV
r4ZP94JgMmLYyvKMa/1JW9Mi1jPZJZ0edOeRY+XZ97PlxsbDmLMWgKj0BwdJP857H8DRGjMU3g7n
UKxFf8ahCvmqQFvICInwhAb7j3NvFE0XibFSZ16kuo+IG62/KgcnqKgbg68N7PzdUHpx9ZG6qyMS
axmT5LZ9KWlhaATaOX82E1gKBsS8fGLp3prGsR/WOfAZuznTyXG8V4Y+aC65zc+Gz7mIC6b+GAwG
A4x+yvOXec2zD+Xm8g/KvTbuxbRFzYgSIewDrbrb5mZINn9RfxCTyCdptLToA6IF/AnWGEOw5hcZ
ycOJaKL8DzkQv0tEliyU3DkZMRXbswUSFz1T7pOwiO/0OPl3ttd3ZIbB4O/IVdGzXd1ppJ/akk3b
5vjaVeDrpUVu7XgvZX37hZeKQ1AHzcIep8VOFlx1306mBdDh0DKEqVaSrO74y3kRBNZ75C0sxTwm
rs/JqAXEQVkd8Qfsnay7bRzMn5ULEiMsOsxWbNMf3pEWwAgTrn0xeCgPBD46J3dckDN4t3l/9Vs4
nM1dbblvYpDjmeevh/YQ36WHLfiSUS6UHvyXZpIZO2jM3igW59eeqd7e9osPLGyX2DSCeX9jMTKg
nEyCHtj6EbvHk+OiO/M7Lz3k5tQfekw/2q26NLM58Anq00s7Z88DLiBul1+570JRlg/M/hHVYQ9D
uOudX/sdU1bhHTLyDdBU5u5haacHpPQzVOf2Bc99V9QT+C7pMkwBFWfS2KSRTU25UzqmjAPrMM2e
qK9NL55ssNQG97d+K44tozUyAfpDOcmJpYZdnXiOm/tWWSoZpFbsDL7+rAneOmBplhargW+Y7vmP
eVa36BUDbY/ld36FJ2JSVwTTft3aICnYN0YIDwpQHoNDLl/enBt0Q6mD0rGSF7IozSjfjJ9Ek5cQ
q+bjWjot8wpUDstiRbVbx9ai4gGwaq9TbbR6Nce6l1cnVBR/jLI/DTmweUoTgUsatGq+DelxVQbO
U0E2Rk0l65OoQNOESoPT3KuMbCn2el2O6HTbWoy+zZRwO08ViWNoJ23h+bYqVrrSwVs96zQmko4j
UV6M30aOE55RLgD/1hSPN1zM3GD9h9m6xXgjX155nyfqBt9FAq2+dMMorw0a4XtO4h+tGMabeCY9
4JpJpUVKFHNyO9m2bon4Ii70GlMsSXl86Wn1QlJeWIKCdPs6k+rRWx7myQ+STtkvdW4aPNFBMt7Y
MwsDQB8dBNnSDIpLFuiQy4LzJLA098JYvaADk27orHzwY5bNMTsEC+oTmwu1aRyg3XxjyTS854P2
WxuQLDEYZ523tP7FMO303vfXDx8QC+3FcmLkE6EQi7nytTwHXB+nBO2sAHMAjELb0B1S291trpXH
jmZAP5MrnCyU/NFI3nhSr/0rE8F51wyaSgLsbP0gz19rrao/g+zKIpnHpcc/jH9JynNbMakW7mTu
cFAW2AWmT9zxcr9i62Yo/uKpJ6TARDab8SthtxpKT4uHueNX2r46Q8kVxyyNGmVIOkaisa5mDGKC
vXL5OlprspCrdT9W1ht5SQavn6qOzNrmszZD2acCC0C3YlMiqDA8ILvKmE6LV+4xBMxjj5wtVoQb
ZTcUcptpsaZT5qdNmoxyShloCzYQbSti3OMBP8opIga+Rho/VhEZPvVe0+Yc8fmMc5/NN8+ZfzSJ
87Va0Z7K1UU0iP0F4t9pCHEOKpCntw9r3WMFsd3wm0ZALROOneAoKzi5tTE2145606NW3uIpa9dj
ufyD5QRoKLSSuHvrYbL3DfnzD5mjl4kCKk6qSbyPvaHtrMb6HPjZCOSo3EhxNFyC5n6WvxW9aqhZ
juLTNo5BqUeDkXL79u+4AC1o0z6rsu+SzQS9qxWTHARSeuv+6kTzqXmm5I/QCZvNjJ3eYLIEgW7F
0Xx1rmoO7grf/WEt/ndKSEO8TlMd1Y57FjfiQ5bLVTHr2QW5sYQuLLJmlg4d97gdrZ63UutL8st4
IaIcovqMXlHsJVmhoW76/W5l/EuWJNuDLcOGEuBy3a1yhCWaTRNcVDbnXNfXaHbEo0AJsCuFvDM2
8eGZZEMHg3pe0taOubwkXSXkfVCUoD0koVddMe0cCWbSTsTWuTIDtzHiOa+yuPa34+Y6ccXaMPEM
IZgfsNmeGIJRTuRGkndk+YTeKuhiwYJ5I+4KVPzdMifC9BbmwgFx1FDeu546lXGNGOJUtsDDzcSm
4s0PqioCQVMPJnMrTrxtjGyjO9cpLtBDHpSRPqzbce0aLRzMpjsbzRJAeWmUMxOm+PyNE2PiLLAf
V07qVp9OxjBgVlhWY0QO8n8wd17bcRsJGn6VfQH4FFIVcNu5m2Q3c7rBoSgKOWc8/X6QPbMiJVPr
3ZuZubGPLQMNFCr88bIL6lNa9Cc/aTn1sW46SKcQ5PZLz1P9gfnGX6kebSlw3Vk3M2Nui0HBZ/ol
A/OWMIOLALxmIe2gXeFj1BbTWI7LJtCJ4h/n8KPUxojapdcZ+hC+E/xAfXduFX28023v5LpFvQhq
p/hCWmZFGH0RHociCnaaFn0LFYfY1iyKfTlh33TtCYxC47cNNmZvc2TKzGwBJzFkz7QhctSIeHT0
8GkHXRPykJq1Bcaiveqkw8FQEJxJGQlk2mzVCXMDp4Q+GsuQSJxFIPV6jaqVE0DYDCfintyVi5tg
PnTEF2zj5xOpecPIvXKcdjPGXnOhpkkD+vC7taeVPJohorlZN25V4V30iVx7uf3qlTUWS+0aP1qw
K5vwGpIM6FEk1xWipDMjGfdj6l85eUY6ZZoexqba+LZ/T8HYV5GSiqcnubmqYOqWdG21yCQqBBMG
06HROvFeele0ZqTsUgm18NL0ysgwOGrMErZbGrxisQ0CZ+Ga5KdDBV0gdF/3SL+IQ8iuIyO99SuJ
0NfhVnpoGbyU0GWttUWj9dC5pVgULeKugVCJZeXDAiCtWwUqOblBSOhnmRXId4kPKgbrZAbRQTX+
neq77aTR0Ckz/zIJoFCIrRJLYsC/Zf6AWTxedxh22F50T6C1OziR0yS6a9JhFVW+b3Hav9QIG0Gn
YEcIFMJ220XXThjcRJPzxaqVwBk8qhU1GjCKcGebtvNfEjPZ9MEc7UEBRFVBeEVwpJ3VGeB3MQcZ
OtkWqfCviPCd9WfaU+ckz1K6l4DTmABVEq4QY24wTiD792G7AxIfo+ZKa7p7YAkELQV+oyFDXY2U
kq9aehD0I/KrhK75bTxmp6azYXQfiAL9VkGfghDg//OC9BKVNKHZhkouSULXNqaelNsAIQtUE+Lj
ULQLMWKFLsJ0I2vf3chR54zBDi+oEDtp1ZkIGyqUonChx+XbYDT3flUToGK8jGlcU1iPYMazDGDC
UO0q0JiVCRCGLzQtV3VC9DKleqckHJ5n70WQU/ZDOyOG+yZ67VShGLpTsaJ4tWGzzRYT8gqhfTl2
JAE3G18iPBsjZ98PqmPJb68SEm7xtZT+OjcZ+EnU3FB4Rw5nZuTrcZQtlm9ahQxRtstBBxjGjKMT
faCh60zKO60Xz7HFZsrD7nGbmMU9xzZ3xVCj9T6OjmWu3VDo/dw02avCwO3raOCwX8OFjgh2YgCZ
ZYGGaNGZ6qsSql84DQI4HbFO1acnOTbJavAZt0DW4RJ72pXGH1xiaRDoyYy9J7JDZlNTDq+AWJrL
EVkVjYijBx/j8qivTTy27NVjgU5Q85HGO+Gi1jzGTal9tbxcwaFTNJo5Q7tUJpZDSWQOpUrAKYHR
PFDQxVbA5GDuYR4sQBskV9NCVrUkcXY+H90ChtBY+v14lVSwjWUmtkBMN15WRavCdU0ibckrwGgc
kbDrlqu+0L4pAtbx0bw52I2F1C89Sr8r1b5Q9trPiuT7UKHHtUw0WRG1fEgv26E50w18u1MPRZo0
PEfA7fYU57m3sx1Sa0QWiU3atSnCrmDcBALHhguCRYoA2byRzmKqhvgazGIhcjR3mr6LxkreU3F4
hnT+C6frfhuK827otoFbXc4qyCEerbOu82f42DsMbLDr5G3Uw1e9iA6B3T22Pm+rfAkN98FJ22ey
ZeR92lQ5dXuTOuiCtYgQj31TUmpP9SRlhWMbb2OBXL8kEHZVq2ynY80ZGnlvG9YXnN73cVQHOzgm
hPGls5s0tgP5m8M+qwgS+I0kXhnV+Ixni/UiMh45Sqb8MsPGkDah4iVhetWgGSMjPV710jzUsngt
WBpXQsXtIcGOto0pptlbZY+t2XPtndT7Uw/Q9xLNoG+ZVldjq4HPJ7dOb145hfZIpiwRd7GWrw3R
QFQUbIdse/oaCIT0XqfxHtpnJ887bIAzD+sg4sbfH9MnayOT1AhOGiYHblazqjPg9bMhoYvTdM8x
1ujLUE1P+aT1CyMP3EWuWB1TlcaE/2jlm5p6SrrxECNrtE9EcZOX7cVXQ9vAzVjYdVv/Nveo526t
yyFioqZpZt3VgujSftplqX1qchj9zEbIUYvCWiadHBdh36Q7hy0HsaJ1yCaJvZrd61ddG05cPIA0
DqJVG2Jwwl7D4HLHRVTAVAe1MpESIIcUTu1eB+AV4Nx9fkrK+ss/p5b/Vsz2jjf+VBz3n0gek9cG
ffv3wrfjHBX2Xxcvr29f8yx8TyP/+Wf/CiAz/xCmRWMX/V4onADY/s0kiz9m4dlc+UpSLtYtrvcv
Jtn4w1RzZSiILB0Rhgn9+y/9m/iDaDLrex2ySWCc/U+IZMoJ3svfmFgIw3PQvlEoYEhpILT7MRhP
jLI0gmZIsGvmJNqIMdBxBxtvYXEM/PExmnnYCFs0WNMzbvjHIND2UvbyZdK0kYbK6qvtw8Dghr60
iJBNF7W0851JcSBaZJSa7hMxK8YmjfWt4+lX5K2gDCovqQx7LOzCOuXUV3/Dlhkvqqrck5SCS6/Y
iKE+5sk3ExF8WiREPEBOhoCCKj9NwUHEewjD9CYO7Bi/AkeXmTOisGrhWmN8TcDJOiCrInbYdMro
5A8NklgSjPQBq/fo4AGnJY/ym3QmYjGrArxm9aLJ7pK8ui9TQrHi+ELvA3+LT2sRAj9HEhwynOPH
8wzwXLHRH/Jcnmw7MC6UP25FFu9Tt4Mg8fZtldw1vulua4sNb2i9mg0PEOAfB33qR6c6L99cl3we
ouqXnYdTVm+K86Zsz2m2+hqE+ld2TLuC1JVFJNIH0lnXKdahW5hxYht8hwT5zLoxEQbD1mrUI1Ta
hhKuh6o0iRadbsu4eDMDDUAoyW4x3z5NqTrYpCNtzMj4miE8jHS6MIZRu8pC74xkJRreKwi1rEgi
rDmJe+R8j8zfy6JNW4Ssh28ePXR18S0X1QYouH5j58Zx1cPpNtXlBXKYhZ6kwa0pLYkNqhZr1ZJK
01Tlyh6M7KtKK4wGfaSuAyO5DarrhOM65AidCk1YDjANkKiJW98qw3xpgMgTK9oMOfNtVHGrqQ4g
iXc4BZqcioXtsDhpYXWsK6M5KWuyyMRvCEVPO30NH0agSOEjimz9XUBwxTqI4jWYplo6JUtVoVIs
cSLRtwOlO4tBZ+2loqVk3dAwL2VAl+ylmEH74Hlk57EwtQ72qleXRNOsBx/zoOZozrqhI87nB691
A4LKMEXDV5BaqzRHDohD+wuVUXtMzvUuBlzwQueoxunUsr4ssFlsiVfxFn7r7foITEoOQKfhnFmV
zt0I6K4Etq9cIZayGkw51YSXvksr/K1YDuST4dRPiqMn7gTXj3A7+lW79WBBc3UV1fVDn7AR8bD7
mHV7hj97yzBfVQKYwFLRrbSQHpL0VX6J+lByUCNB27c164nTbMTfWuuh1G70yGST6motKmo3bkic
MXgDmpZe2qwlgfeUJ/i1YHucbBNNDy0pOeBO7GjSvR5hraw1FRztYLqqE2vceY7unaJqZwm+JVqo
9mMGTeBWEElp/qZVFhw972ONS2dpmu4zujH8uM1Kt7V0EYZPdhcySfnEl/BS8M+L2FoT2IdEAN9p
ZA3jTqqx2IHi95cmwNkW0t1fpQS0bc1Ov0mIyW5dsRgCZFyDFIge1Td8+Rcu+dbHOJpeUL+oY1DY
7tLLj06MIjhN+E9LgE8LoBOLzMHrzkPfMHd4lLJ1lKb6dTuVtFVFGvIRMgTO6xhbaWXziblgA7Fv
7nOrm8t9cMNBgbaWFm8KLPbSJXeZThPYl1R3+KviFY+uCRVYY2oUb9gHD20QXAJ8WLuYM87SGF7I
k8nWYYrBxOjEySHbkJiVMy/olw3nJNdtF3Ze8cn4wPOmpm81d3jWSz2BlKWgYWE6EN8FRwhkFu0i
AqRjv9c/ONFEiALqgXaiJhPK8zB45SPawa1gO76covG6i0dea6ztZBbh1SHN9CzLja0jB6CrpLaX
JMScO8ks4yz7leaq6ZmkvENjqme6W84G4YfHKs2itbKRKREr+qSHamU3w7mfaHhLreHV9Um7snLi
j/SFY00XAKEpuVNQ8lVu7/ymvgzxajOameiLtrsV7JH7cgLKefYhWzDIlPaFkls1aY9UlxHTNEzQ
/AMnp/rFKZ0tRMTtgJ3NGYcHLXe7tSiHp7HtLqKQorURnCj0y9UUaO6Fr/r2mFgZ+DUxM1MIRE1B
aLZqyj4kQSDLEBuRb+P1HfpPDtAhLbJLx52uVF2PMJvdmqf+TSe4g3wP7OW5Ml5RpiK69u97f4wu
yBEcnsMy5gAayYdM2kAtxBTJ7paIM+vQzhw6J8LwgAhULaakbC6dPiDYJ5AbEbrkSgLN7geXtJkE
oh1U3V1nFkuhlOXJQk6TD18Su2lXkZ8+KXeYgZWnLCu6LcS73DjTumlE5wJbAQKI8BjqxaWu1aTT
yG9+AaQEfqajyrIO+IiwSZduuCKWyFoqxD9FCOgYFm6z1ERw5yuCr0opX8caMMWl3AbeciivfIsV
tdVHtgZ64/h48EprZXqFdpfQ7LtuM11DZlLYKFVVuK7mkeZS93uv61ZDanPcXtqkVtHWlZZH6cUV
qQ+RdvTT0N7n7JyvwEeCb3ThJOcNSvbLMvFIQws0v966bqMewTWDdCHbyTrXawTtHLeChwKHwt4t
i2lZTpP5xa097zxhGWFLEWvLGjf3mJpY9qseSlNl7QNsT/5SlZp1KE3XW5e6bA91MAgiQOP42uny
ZuWTgDcf7BLct0aUXEPqGydH08JD0hHJauBZspPK3gF0FfhDRYWbKMjrby4JEUi8EZNYjhe/SCsa
QJpq+2ClaX1q0so4m8zxBS60+Rq7MxwZpeWt29L4yUTBtEsWSISIhMNs1F8JfwrWvUi913boSbiq
aVTal2OjVoCcyFhsolguRB8UZ2ZcEUVml+IkpiQ4+HzVzOtV1VySE1heiFoOyyxJNjYiMGdYAsGx
OGWUqK1LstZQX7QnLNV2vK5KWYYru6qqK2yc2qEuwF2H1sCrOAU91aacVY9uBJSnxfTsulPoHzRs
3S56V1yUeeRhdPNCzPpkq8pHNLLDKYjLl8bFV4j4vv/S20jJ2TvmW8Q+5M2EmdnTai0zeS3pRjkY
yiuvw5YtXdPH9lM8Y7Ioa405q1FD8hPk4ZkKBHmc+dFT8ZnnkEKOI5s1zK1fOn0Q27ZJXxEKQXYB
zMfyTI3VjKsk+6zpmrswGUiS6Vec0p6jNDmDEmOhTkikqPro1LYpltLGt9iS0dFU2N8fbAMwKLae
ARPXYO/KAzUwqRgHgmPRAFbxuYOBQg1NfoWFvz0rkmltJfV1i6fB7Gx97aDyI2UDS3nQ9ts+Sr7K
QQeYRUxzN3rdPe3nLYwacFUz4eNvATrNLPPR1bhnua9naK6N/KS5+UWeOjtHWtSExa3L3qrEB9Kv
405eucFZb/ARTrSmc0S2MB1m4mgRsgriXGxSh/AdiodEdaHnMfvQ3luVIR9yqFFwVptafmdrSLxy
Ej6McU++DSIDtSmSYia6w+veBwnupT9s/F4c0tC7nybkdapoKFscZXpQAyhmh3zwigQ9RAyGt7Vi
sXbs4N6UVYl/mLmyCKiPWLTZ+Mih4pFF+iySxbBqG3tnON9KyJmTMmLY5Lxm6PPvvmiZI4EMWSXC
vl5Vw7iqZPPql/p0aN3bIUbx08Osmqg03aHudw1iKjO010E70IudugA3ZrSI64fBzUgxZS+YEBTF
ue7SIBZpJTjSpHl58pwe6BUczKZF883tLZc9UERG6Ly4NPd6UBLQ6wBj2+G0bkl5JxLswq7vzBrS
2Q27C9GQRmNNJGJRgDehi1vAN9xQzEqwT3MYS04Zao5g0N1DQtDXHPE66t1bgrSEoLPhOcZHvqUk
8kynKJPdWAFbyTBqGzdbV1UQb5B3BETfZgcLGUjG2qUhZi/5iNcFBuewJqSJLefW0gYyjiuJoD6T
xxoJj2tNp3pywGoybtMFjbSt8CEOI/O8Gsvor/rlf6RL/xQWeAcg/C3M8B8IHhg2x+y/hw7uX5rw
9SX7L+iRd7Hl3//Yn6iBboAN4IBzXRI1QYzk/8SW808wQGOLIPZWfT+w/ws00P9whSLmRSkpiTY3
fpCfz/8Ico5/36FFlfP+P0ENrI9NohRTWYay8eZLJOhCzZ66H9L0iVEzfD5SfeESvlK1V1Rjec0L
VomFaiBnd6PYquEGtihyd6dNWly74Yli9bUXGCvbhG5Mi43JoNRc8LbqNivvwaXt8S7o78R0DMrL
FuY+2rqcsLCL4XYfnSuZvzrq6A/nyru29Zt/jmP9fywS/4lj0OCt/f0YvEFQ/uWl+vqj/YFuyX/b
H8w/bPZaFCyRT4X2ZHY5/Ona1GfUinEmDGHTt2EpEKO/BqAj/sARQbkUs6+kTXGGuv5CrZT1B24F
fIwAYY6w+IP/ZADy3/khM1+6huQL+J7CLw2EjuYHz6aGrmSKa6HPSEx/0nMHkFRphm6y801dNBYl
LRybtvY53+cc9ZtzrUt19fDDA/srzP9deP+Mjf1PdP+ft4HZg0/OgnR2FM/ox89g3rjX7phyG/j6
IHGGgbKynJOAt+jo93gOpwlSk4T95BHrPvaytnLDcR3J2B53CDS9EyWfiqp7n0dHTAdmCRlXnCXF
WHYRf9CC1fvNPb/3jcATG2CONIHN8wDv0fyA9xFA6+qZzJEjBoQQCjMbt6GnmmMuRXEGjYBKjKiL
6xrTx1prI7lPhYNyCoHwmd+xfFSRh/MU4NypFr+5tfeFRH/eGvcmKEQQgpKl+dZ/mFVawaPTNd1c
g3Kn7MXksHBHP1qjr+g2dTORhhKa6KuMejVpur4LJ8wE1FOT4/b5nTBPvnuv8zOypW3OwKuD0ebD
9Bb3ZTmiELXWKCC0eGGlXvY2VlpyifW3J6hq1jx6E6LRcRq95efX/jimvl9b2ZImuNkz7cx47Q8P
oaKwRqfxgPeDmxK4ohsAIsIW4ijunDmdqLBjDqtl264+v7D+i8dPP/1sNWJxob/9w0dVt5Uneqcw
10TBY87XBiZnjZVkN7cfR0i+0govJJnDVd9a132LzXRsh/RKxR7xcL+5mfliP35aJmcxA20snYMA
QsbczfHjY5CTU9mTIYy1gV4fJb/SomoFbEkKfy44UK/8JsujQxUZI9leckheCn3STWKPSh+s/t/z
4v/mM2fWsrgU3wwwPX/z4TPvSQ6evLh21xgqRtICO4IXqY/0LogTglzrZeI9hYDfMIxFcgwtb7xD
5lfedrYgVgdhy8LoxuKpsgbtfIhCm+M7dCFhGt7D53f687j9Pi+SMmMLk1aTD2+wCcmLCkVPV8QY
zACmIGirlAPYcuVfGImXHK3Wsm7GsfB3n1/558Fjsh5gruc5WdJiW/D+feUlqfZVWYeAC0JsdKPA
B5O3LmhirxXiKUxr44FYuelbTNj2Ds9NQGPEEG5iRzWnz+/FmK/1buxwBw7kCWOIyh9qD9/fC70U
kSCBFQI5DIGS43KQfKo509p5gyIYdQwi8IPBDH2aRriRvduV6EQaQGgXM7c+A5alCcZVahinCZtc
5Rno6KauJkQnE1kI3cYUo36u2SbxdGhbhmZLwSweIEvRooEXZGDn8vmv0n/6IiwoGjqnLEVFMUnC
HyYl8Dpph3rcbSwb7VOHTWtHcGxCIEaPmKKk44Vj4UgCiBG9DrNe39GxRv3mLuaLvH+0c4e2rvg/
KxN/8f7RMiX7oURRtUH2MIAzNCVB+J2I9AtQl7ssTazt5z/7Fy+TxZVOTANXGA5+58MVzbYaCn1E
CjxYY/8k6MXdxE1i3eLpAhsvCZNZElswnJdTjq6usMVhtKGIbKNRV+QIfK0N7E3dJEuofSO6L3Lp
r1WHNQ3FVLIM0jrd2ehBu0VAsbbFsa/ByWdq6vXz36F/3LKY8yaBLGl2VUwkhviwuJmaaY1OjBuh
qSELV0g4m7WkBeHR0nwSKfWOhBQX/1eo+dh7IFRWdZqrG3LdrkarAjsKcKclHg45i2VvbZMiuChj
kyiv2JyRedo+Pr/j78zf+3c9Nx9BPfJNS2kbHz8jt4k1FFI9BstqjqhIkHoTfn2yx2Qk7iEgaJgP
Zg/PkxJO0ZM2nLvnRj4HRPglFm6QY1BhbGu3uYPp1EBXu2o0E/Xc4E3jAzJd4gepWDlFQ3OnyKTa
d5V3oZlRhIdbscQCAHbHgZTYy89/2c+DeP6MMOE6rLMGL+T9IDbQ3TlRpncbrxUjkL3Wrjuzy0/s
5EYc5Vb0mzH88/U4e7GPmz3Dku7VD+uHTQCNHXkEjBnDkD2ajfaVTQe0fVn1X4DGm9+V0/3ieha1
Vi7Zy7Yzv7/3v68qurSx45b8UoqH7hxI0jdtGtSZTRXiwulL+zcT7gcvMhs34nOkyZZJCmduL/7w
QBWeOMcXpAMWgPWICBVgfpmnN30YlwJpqDpqAetO2WrdmhRedAxtm1Gz5uZCv2zB0G7NBtNg0wzy
N+vSz18dd2bD5OtEzFAu+eGr6xt8GURxDhvs0vHcnaHf+15AuEsi2+PQoL9JOUq/NQ1+JtPI6vXn
I+1Xl6fNmJ0cXz/f/ofJKy9TC48CRtMJxP9OkHT2bLsQMxatleumbkxEg81Xp7aLA/C2+s2P18nP
+TBbMwZMziaoiyzJ7uX9QHAcUpttx+4J32PPsnBa176tSI9ZJqhKYAem+paEKHXZ+GofknO4r4Tq
Tib5GzhqHRN2ry08DV1rQvA4LWx3//Dp2JwgicYyLZ2NLv97f3sog2nHEmQsSLYCu8qKjNPcvXkO
61Y+9rb56vT0CgR8VZssqcXN51f/ectic4hVvJm5EFDyib6/fFiX+WS6tbmJwsrQrjVMk3e9MN3+
GOGWsQh0yMHG/EHSIlLHNZK70M+rna4HBLINUd38460/N0TvNekBlsQl9/FU6wPtCiRFFvMETlls
txCfHn7ki4EmjCckz+etlln7zx/DT0OUi/KNsOGfCzsdex5DP5w30snyBtfUrQ1WfZCZyO30bw26
qe2YSgVr3KevtFbSlgNPuB3xHv2FAoLd/U0F3jwK360zNr8VSIqQJ4ut66yC+fEOhqCXRtBJSfiL
iaGCQFhygeOQZOb9iKrxgCM+Svdj2GLHiPlXzpE25HC8jU4hShahO2Twemn+m293xj5+ui/JPp4z
0fxa7I/jQ45Goxut2ngxSO9Mw6E4dRVKqiXsGYSL49jkzo08GNDaXKbkFXU1bGgXNnI/ZKKj0b4j
Rm3n6vmEB4teC1jYThOKZs0A8wPuBQoGCB/xtjjxSD4j1R9K9fMX/PMsYBNJAfbhMLU4gjbz98+3
ytNELyDhNtgZI283oyVQwlE5k6RdgLHdy8grxXtdN6g/XGdY5XkG+a5iC54Hze3YbPvQr096xp9c
FuRcI3kdAYR/c6c/D0UIb9Pl9MlIJDzjw2StctkkYcoD1wB/UCeM9r5pxUNpJO6FQdcvYjh9/GIX
+XaURrj5/DH9tGiywWGDJoVug3pJc765H74Di9Rmj5YCRYYkna1x5neXMiBeLqbpYiFQGB8/v973
7dP7YW9wOCH1zLINNF7qw/ACYKilHhAAFkA1fik0c9hCFE4rErHFuWdqVr72LKzfrKnY3XxXrLF1
5XsjYSJSWpMe80nFK5tErjPkDsU2HcNSW1PlQTi4PzmPgSqgYcaa/dWIUeXzu9d/OmMR6gYyDULC
PoNa1Q/vCltIpFFtIDYZI/xoVq57q2dmPXNQ/n06cOZNBg1RtxeOzTnV895SJwZqVQyFAj0yo25T
ytjPfrNnnRV6H75Zk80I/wMCN2ax0fu3WAGZ5MVkThuv8pN6RTBnTd2N4RV3oURK/IA7XyDKGfUi
gLzqZL5O20qeNxPFrI3twTJqGvKGRd1G1YU7Eg6ECYv43bO+dDvooirs7PPC6IP/y427bLZ11mlj
xu/f3zgjwchkp40b3RmQdpZu2mfruEUxn6F9f8LsRsmPpycZ8KHZOvo60vX+ua0zYoBZqvFK21pH
92RYZzrZrMpXuxaGlb22mHfctd7aV4GyEG39ZiD8PHuzWhmSJ87k4kAKvL/xvmgUgWOY0sJSWLMg
Sm9e7Ng56YnpX2WzcSj1KTa1qlq78mGub0lcJptbDNkxaviw//ntzEdTtJRoI00e5fvbacyOUwd7
/o1U/bjxPXrEWmMID7m06wsPnXG6qgN1cPLePeRaA8FLa/MFf7HHnOT/GQr590vb/OPff+O0CvN1
wOLwhOyPK/qY5Ng+6oEdTpjjivNIpBHInK81K/BmGMI4M/242jSQ9Oe+rFrU3APBWFbd0Qg41kjS
q+kyt8wExrpLfrNt/8UMxAmIxEPHJYSRSejDDGTAGyskYfgJkUdbFznw9cKVHh0k2lAFxF9TYKAe
tFHD4GLgI9jQcmQiXHF9NkBJmmr5JhhUTnWGtMCSsUkVcuVgjxiXWgw7fZiMzMxXhSqbYoXaLcg3
yUSKyj7k1PK7R/2Lcejaat5NAo7MtNn7F+9gciIRvtM3WeZGizAg26H2ySdDb03if0Ua44VpsI9A
tHOr8UwuzSqSO2Qd9TZOWNg/H4fGL948U7rOJm7WnRNv+f52JG8vaDkZbAKZTnvkYtkxa3gbyNkE
yQCNqa+bkTzezMW+4A1jA6JUCwq0hmwTlJ3YNc2syZqznziZ4Clb54FZoZGqSL1DFYMjOSHZ5VbZ
HYEFaRBhMSw3uR81X8J8iJ6SVMn7z3/TL+b8WSPMr4H+g/r7eJzA2D1qcSXdjcEHdgr02LyQlY/q
J0vil07VEc0zZYGMMhwhNjz3LfT7L7yIYjXVY3DdiNj4zY7hl7fEAQsmEjYI3PrDyTMiMtSI4Vs2
RHhW5xXBUuch43UBrEytANF1W5kk7aPLqnRkXhhXA5s4Ujh0uZ74KXihcJF8/pjmN/v+mwemcyTI
o7BByD7OQF1tlgPJYd4mH235MEZpuIIoyi/Y03drFJvanVWrdPf5RX8x3oB8GWvwYjAHbCnejze6
ebGVOJwdgtK3tgCfxq7JEoUJnfImukDSM5ebeAyJSz4raiG/9Wb8gj1kirCO2fk2dprqQktcHA2G
mZ0hGJJHev6Iy590rIoUVGOZmuW1GjEye5ze3m1OQeQtC815rU2V+s1TxBX44TlCcrNxZV2BWTM5
oXz8RUllzEuiWNdhWdELO0xUjjXQBrcR3VhYvEl9mRYNjIS/YhKmloQAHSpK06Ym75cGU4O0pabE
8pmafXGPW8r3VwbWo2k91J0wjqMwEUsK0Q3V86AnODKgI7ZThv162UWG5a/iTN7acTA+ehDhUC9Z
fJ/PWhG/xVFREvKYYWhBu42wNGH3HpmzR8/jM8Egz/64Ze9m9Zdxq5OCOQaY4jGJWcOznTk1GTtx
qINqxl5yMOva79cdqkLkpmmc0vhUahPqzkFzV1ll0wpSSish7tAS/VEZiVZhsDK9Kx4dRuwoquI3
ctxMMtvioeXk2hHkf9axy/F2BoZWnPtGU9f8QK1FOp/p8RVATvUtNIzeXYz8uFXakweygh4ghgTJ
6EROR10eraCjSCsh6shc5vQlULzdI2GhQNAu9WU0aAlnBXPUzlqvKR89AkeIToe95bSk9Xm0yEmP
JWMJ0fwxSscKpUwmSZpAJtrta0pFq43p4EemOUBhI+8q8+TWoyYOeg7HRk5WEshV4DslYbRlKrxt
3zSFvjXjOrnm4TEdVvH8oKj4QytsK9rB9FyqryliFzTRn39iPwHwDEimczQabNc5stof5pqilJSe
M6WvUz3UDxG1Xxttrhs09DIkTDydAzeGpNhQbD4crNyM95wf9d8c13/C2riAMYNtM/HNsdn6sN8S
pJKTpzd52IqLZp/Enn8gBIHqaCc8+m2fkSIpb5xaC0FT/eosHRAfjsrVtpAi7tpvMDQ4eIbePn84
H09Pf94VexxHSrgJ8eH0VJTM/uXke+tqTPu3JB5IgmhVddm1fkJbbpJvPr/eT3sXZjhOaiyw6GAE
V/1w/ijiLshk1am1g9B6LoGLD5UIkicCQ2aTccm3gQR1TmTx92iGQzT9QTcfs/QQx3us29AWUTDd
S4qVr23XiG7stKBLuFCSvtmWOaKMJ7VwiY9Y0Fami9+NJkKmP05wbAx1abDXMFgqWDPfT9kuOcGF
0SbeutBbOthzS1XO3F4gkyXNcS0+7zEIDl7ChLYViTndlIw/KtfRaZO1YOv9xeA7db+N+2HKyWng
UEsNaJg/hXXUE9KkyP0PMNMu9awWL5TCse/ushCZcEl7Vr4KRdHcV5l1pnlYeLZY0O3gUNaEFS7D
OA/wEqQO/oLcaCWZiYXKHgM50bVVNnVB3TW5kfhZyKKLKPLwm3qdR4OXrLu2y6e97yRZc+l6HoLK
KHWQtXK+dleGqHR7TaBz3u3jqUu/FEUUFpsoMeKJFnsVfFFEHyZEUEQmJZhuxcaRHN62pm5LJxYy
Ql1L0rxTjefYgAW1lj7vC9Cu+soEkTS3gDDVl6DKSAMsWh+PJUufnh6yKctweswRBisnNe1j4pgF
H4IIEWVE3dS/kHaWGhtriIj1xtij99tWzgQTSpfM35uW8glkgLa11uiX6W2JSzdB92iQBbPg+ds4
oJLQ6enIoKTqoMhKHC+opKaGidK4YtuL3rsgpYQyWFFM87M2rr2cUkeSmPG/LghVtl6ZgJxL23Zb
gr/xuqzMIdNc+EbatlKRmiSbROWNRRWgtvPyibOEGdmxvbABak8EgBY0idhxHeC5EgTtBbEwnijd
di/ryCewL0DMSat0PKG+9Qj5vs20vurXU2Inl1re4ILS4o5YWrr9KloY+I15L7N6RyWSTZpMrgjC
8FpNDutao2lpwz916fENAIYXbWRN/03YmfXIqaRb9BchEUwBr0nONVfZ5eEFeYRgDIYggF9/V/ZT
H5+r9kNLLevYlUVC8A17r12/STDSj9T5srgucT6fpBjy9k05Xt8cgL2N/QdPCjM+k1nZzqce88Fw
WMl0/1mV9K7EIPHOPKzbeIu8IbH7o5NPyXxEBNY6aYcXHxO2M9VI+ueAKdmkFGQhrdfuUK8B2SqB
VxUIJLoRmTVp7Yntn308IyL11dp+TMCr1fdLzEUgXgn+TAqpw5waGn34v0MQT5jYS3AJ81wRhInA
2wxM9fIuOwIdjokmAEv32vKanfd+q9Z92MxV+zyKKeLNT54EbkuUuu2euxH7qzUyf2iDAK5mti3q
tTWNgqJt4my594hH1m/OBpIFHPbokg0ySMR00G9WBxBRGAPViI1kPbZUTXm/EUkB7gRzEb+1r5f6
tHlVXZxEBB3JMtBvflUh2a4717pFcG30DAKA6WhMKs0M4jElesP4qad6YXYek87g4MS6gnLDQHZ7
4tbTABUsgZG7oKhBIsCmlscoHhBSjSLW58bJeg51uhaaPJt8hRo2gvkU2bIvILjc80WO7Nkrs1xM
5TghyD6VvA0ta+RnDpR53beTWDDfk8C9HC1b0A+19QbeXjE5DgB0iMeZBe/NBy1CrMIBCSntUQRD
RjTVWmBUWfPAgrToR12TylQL4lGCNSHo3ATi2jZr+DaNyv4MB9NxvHUzDq8EZMF49Cy2tHOTBWzZ
HKaP464ftuFL4Ok6TPVcEycyjzcDiQP7oSHEKncGispE2IvrlcYcLMHp75U18S8rXf89qIa2BzIa
koQCSzUP7/r6Rtsw8NtgOa5tS8ls5hFdv/Jx5PiyKb9nnUv8zuZ343vEunc4Id6wG/M8wHNwEJwg
JqkSSziZ7/lUPRM6vkwp6bp6epEFv+gRsQsV40KMKtwMuSx35MHWP0oRO81hSrqwROoQbsGLO+np
SuwYFV8dbAQrBXwz0QPR7cVXpwHbufOM4pzowoJqhcX6QEB6GNXnYcwlCWG14VFnkk38KHwCd8K7
EE8vuOGmjxvJV3jkAVmWBBiVoz5MzAu8jwncj99c3bC9a2iwCOymSHp3VuiyKVqn7d7acfzl+8PI
uHkDA3HwJe6Ti+Ns4BE3VQwkj4TQVPdhGFrvtMCG6U8LFfEMBHzJPxqyayBosrXzL1GeLRfwZbW5
VCAW30CbuQIC4gSwf1HOCAIJNVd1xDlvAXomGyTQXk4UabE73vh8K++ZkFnalA5zAeWQGRLJZM0Q
E9fth124ryoyU89qcj0QH7mJXViyMTdwMWLMAeHatOTBQggOE7hvh6nd9HRavVtQY6Rd70MF1ky9
oYLnVW7Ahg/XrjDbdG6pTanYJvNBJ7W+Y/2cv6wVz+hhjUrxXBVN9HnG3bpgvCeU/GHtxuVN+jDn
DmPj+RsQ3c1GKZmfeMurMeCIBc8TkXLWTwtg3F5ZuZ+qoaD2K7vhFnfooswoBYjYgoAnyztaeZ8K
YzLAL1tC/gn3Ab7aLqynVzvLbEsjKYGOoMKrQUoti5DEcvlEPrE7WLrjInTyqyhjrkvs9YwomQ/r
W1xWsKm0LAT/Sjh1+rLMIaS/eYbKFt9OL5yLOW/BiYoAzOSKm3NnG8XwLTHMvleLpG5f2X6FRFph
yT9O/JFPrlYAPj0ZSnEF/w9ME/p6/b5qvy7vLHPv9TLEsl7TymssFFY201c11dQ6Mb4tMnqjDfWH
Y2rsHKYNJpC1rkuamYPXTja+R/FDiXW3yo5WbS6lKfYkM4Uudq6IzLbIgWVIYOmy3Gsds5vd6sEc
NShMBmQLA+ZrVi28CFs2IVQFioEXxrToFdkRHN0oxKz8oakL6z42rM2KO5Ob6DvaNXKYk84jfKwA
m1wyi8gHuBZeP30rpqAqdqHx+Wl0+dsX6ZDEc5jnZIBX0G1jSIawHTGJ+Ft9wzv26yteim061Juz
/MQe4n6Ton7JeVr4XD3Oq5TThQGTATh5inQH/NjtXP8lWzePbCWm3Ej62ECJB6d04U5HeeU8eK3D
vBzHGBnm85KQ9ViBbpiPS9BhnFVxLfdkLq0ZWX4xHFhpHOdctjXXxhVN/lExfcWvbStztthJ8gdg
WUgOPKZaTSp0l6hdOaFqAdrJq6Lrcm963ZZWE3S99cEv2RaLOFLzOe7L5gwSpkqeRRmWjWJ6CRIW
UcBsMMAg0vGojsh/oxwex6zEadlueUeeypRcea+C40Om2rR7JOpiPrduK+cjpwbOj+GGVkhlkigv
lTMjuXNmIdCkmfGDl54oJUhpFqfjFFp4Kj0H+Y2kYBmv1zrQ+yzUMembbSZI/HAGh4VgPDlnM8Tb
9I3Bp/vQRaODJ5ulJSSMmIDY57yJTHZyiW9irSlgwWCTvPGGfY2jidBQJyFxwlm2U1yriQHEOBbh
KdNB1Bwc1qKwGkumsq8w5bwLArRse+jJ3CqegngOB2R9OLEB4ng4DmXm2+uia9IPA1c7h7kGFH6Q
082+0oxJ+x4od5LnVomo4RlV/reKrsOko4OGYA8EYBseseBSWUKAzvtzAOQ2JiuRwPo9Dzsxk12S
pw2BKz5OOVLJiKv5lotGfqyTuLV7LzKkDHpB3cOEbWG48L3kI/GLziK/VGTBxs9at+Vw1FnFORTD
niKYozdR/tllVZaf4RkWT5NpvP6OE5w5DFCq5dHGTVJdfRto1G2sCLdULr0tj9UGFpdgnc3Y+zLg
Qb0naG6kFtaBqi+qyVV28Ng0PBPheQvg0+TzgHMdOvbaKi7sfZGYoLjrVWFL5NDom07daIgr9UaY
hn23cqYq329eueVRtMDCpuzsg5rYSal6zKqiWwGFejSa+zlcI3kIpLb3RNXTRPAOFuIBB9ScMX3x
428TfLLwkAEY/1lmdd5RNDb6krUC6lddMkKHBViFr73fw3srAgRjBxqWDK5ZW5BszXolJ/SjXvw8
DSbLJ1lkVAE9b8rtu6sqhz5EFfkVvSnWTLBeXEKn55VtGxNj5kLh1GNwasGqKlbABwulh3pnyvtf
eTCz+Fpqx/qPpRP558zbmu+QIulKFwJmEUpNXVmk5OLAQxqo3y6dqk13CuHB0uj3C5w223VKHxyH
tPhj4swtM8NgNd0xhum1C8Z+DEhKykbgXEBEzbXabrrYsAmGD7enAV56E5opLW2u39lX9m/AwkBk
hTBj8d6Xi4U3iDENDF9OKwa9RZWE4opAkTA2+tNp6halANSiDLRC5L9tNajqrjc9xCZyFHyg1bKJ
Dm6gtbo65DraYy9raOpBjAIk4uSChi5pre55ns1zbts4Pk6N234TUN3USSuSne84e6cXSysRHSbQ
uz8J4xMgi1xI22/JHDR3CqzNmTl3m1KfiI4FpO/Kb8DU3Ee1UHljKR/wxXWljT8kE1q/fbxp9hWj
S6tAyB4hir+jZSX2ZBxFNpwIa83rg8ER/QFelp4vbJSy+0ZHA5lwngBPXyCDHY9C9PSzQ67qGCiw
kbglkw2kosq5H/ZZ3BbfjMQiDRlsgGm2ePwdv/L4pRsZ4zjMYi/4qYyj3k3QgLZscr28MbcrXoe+
c39wV1SAcqiQMDGGmd4ulPJT8ZjrvlX7IZzrn6MoxnOwSrjipAtQH8iV3L99IO24vGTUFu7e87oJ
kTThQF0aYpEmUQZRY7erKODkfbG1Xnwv256P060j9mSQRcwMBslOJI1gsN7UKZSpT34TEVzK66CE
3cfyMdwvjO1eAzRdmC3nLeacILIbY34yelnzTBVU3Sg+jrkvpBOdE+o478FfjTRUz02inh0LQ5TQ
XgfsFYFN9rW/pQ3uyHofV6Ic805+ZMsD7S1BjYgxIwf6dvDzpfefNOD301IagmVcJ7vlEVgN8wQd
6CFDTs5LgKJluyReFTJB95wEliAZt/nHIu8pB7w617e4AnktSO9aQQx2eZAO6+hmB8pr0V2DYsAs
P6Ag4XhikXeOJZwixsJMgfzanYPHkRjADnoEyqS0K/3NHoMRjycoF/ebnWTspIZK54ryyLXXdenq
ABfnoO5vY6kcT6ES66EH3B69JisT/lpEFrWK9jj1Q6nH6S7Ebd+dNk0GLDXW4ByCQti7TEbbcABy
Lepj0da3qS8qSgzrs5qtTGFDAkpD7qcIzhqqGAxkzeh5hNcCfPyiVxJ/70KdgNyFkmoYOKsMwN6Y
OfERpgEpilYO5Hhl2fy12JgvEJYaBVAl2QT0T0WX1N2HpDdO8uiT6w1fjTqOWTv6a96Ssf0yEO5K
5lePQntu2fnu28Lk9DV5DdTCEMPWPsdEHESXoWzJ3gYdW0MkXlteKb0YCzio2+3IdOq+a6k+6Jcv
cWVCQhGiZnTfF1rZ9TARSSUOs9AaYDLxukQ76yr7VpI6TYpmQzvFygHh/d6Js/KNd0wUAZxNPHPm
rnIN7hWmZndOqHwM2dksvxekPWZplGXlmg69Xsongdm83jcbXN9GMJRPa3fd5hfSuVRxaMN2ac9l
rcKTrAhevGzw6+kRx6m+lkFbwZ5ibwJVZBOES0LuHkCWLyOvwTpHOZAU3KypFkWS2pbhwd7EyF/2
SgbDpy0q1HpbMhL9sYw9R0MXanpXg7AW0BUaOV5NENinx4kkpyRFVzPtrdc56gF0nSWDLC7i/iIH
uuGntnar96Wrym/+XIFUATxf5GevhDkNWNWNiPwelUdS2WiLz6ympnTyo5kfn8Trh62Fgcd8nwza
K42OYYHXmexAUqrv7xlUFVeVaFD3yhQ+Zta+J7hM5qIodrlblg84dUjrlYPU924z0Ldn/ayDa8h7
48vEwpRIiMIG32Ft1oQ7lVlLbLDPUOToaZWvsIHo8HcuqacM65hOLndJsgTbi64gbhxli00lHRnI
f7aNLMmT6xLLeewAofvij0PzWawFC8mWRzR4Uk65hWk2rcZeRN51D1XhNPH7MHklQo+oGK51W2lB
UdhPuNTnkVFgFOWz4RtgwnMaZ1B8+2Xs6l+zjIgSWYK4/E1f37UnrWEPPIbLygq27az/fW4Xl1jM
UMSPRcI/u+OjefFJqIHPo/KiyjAeh84LCsBgODE5UgcW1LdUk6W27oPY3Hjd86VQh/vS8V9aZj2C
6jhPfqGFM94ht03pnktdshucZ3iLhQ6J6VwYGNc0htZQ724moX1q57uh2TzGXRI05MEQFTQdE7GC
fHX4jch17SpFww1mQe7YfJPDUCvZ/EJos13i2ojvzAaRsdRZjAXNJWzaod8Cd9aN7ed1qyqPrmlV
xCMU2vtSDktU7CP0jHq/mNGpUpM100KDj7eDWssZx1usAtlJ+KF/M+q28iXx1TIccfo7w6vPyyk6
DMhD2uOwkVDAGUm64Z6ZBEgM12xefSt1wSMkTtwUD35rl2Fv6yF39o6iw9nxXdtLmPH+2ssu1ujL
p43qbaFZfxtX5hnXeOqX5qqL3n2ArK7erA9yDm7DWtLudAlU183xToM3xNVeqpgKcw1rh9mhJucC
DnlFF0lXUzzn4Iy8nR7jbdgxxpAP+INVf2U9HY3HwndbS2bcIIdHV65huKvNOtPSiL6avhmnImRt
je1w6gqU4rV2na9NBJAXwaXNT1SI7cRERGvyrklEumTIUksqBmcNj8lc1h28y3roefSnObjNLCQZ
hNm8haceubV8AoqFC2fauhWEk1zW6BMzTN0cep/Axn0F26M/8xtjLF9RMI6HDJ/VfO1rJ3Teysx3
t+vkCaPOqq6ILYDIWEKDj11SjWM1xs69GuehOobWWuh7nGjb3dxSovo6nKm0car2VBJw4U/O2t0S
1Z0Eos+T7gv3Ql05MU3dPFJmqZrE2TaeRMAuEmrwhNHn+LUfUc48AlKy9XUJO/05qEr5HTUwMOmi
nQr3BF9TfMj8IX+ZIVlYiAkuRBVC4EtC4KKKmMwx98N0GHin73pXI95awWi4qYAuu96HVHufNjfi
3WRz0Fz7MexgBOQRQHrSUCDH7wPmZl+SrY8/wea8SeQzJlDkFSfc/I4Y10NFNfy9q5riu9uZ/Gs2
w2o7x47N0OBEjfrJiM9cAmuEPA5utnJrJvB9d9CMzRt2oVzAJGoilVq+GUa+hRejncib4TYJdcc0
6MPh4pVCfuord/tZqWEaLqMOOyhDVeOWR55nHZ1yxYR8L+bJX87wJqy865Lb9JPBsC0exOLNHfEH
WRGf2nlwfzFkDbLPsi+76Cu72zW7p3sMQBiVwohj1VZt/KrRJPk0enKZf0XeChTEU3ni74UNEK6W
3In+89ZvzZBWPvEke4o5GNxlJGuiWcjifmE9XH0jPwa5UbgW7b5eAnmqlY0hXG7+AI0HFcuJi8GP
gbtNi++FA6OEQcOK25XZOoL/58upHwsZ2e64sZP+Oi84K0CldKoAmEfSzB2lpNlHvHMOQ9Aq5wgj
yLMh/OIsI9OkmJufGqwLsdqBbqefK7nRCHxsA2p0G/LZTZFL0devbQNVnzFAlTwUDK5espbUBXZk
6D2gQiTzp6Dv1XqfWUx1JEfDW+UVxRvBMmkLvjfcsKBBhNEH1y/rM2EniXdVZmK979+IVYx2A4hc
VQkM+fcSbmWVWuSZ+hiGbbTdlQpw15YyH4cEWrqDPauOZRlMFJLa6KbLdb8Kz4Fas9JPacdAE1eo
Fd23duPuedww+ZU8xIk+KxXI6L4dfCRLS8/AnsicCtZNUzeuBjs/jR/AjfDANq26Ja0VOo4P3US+
675UmVempoDbBZei4hbOYr8xJ0dxAXYimy2uWNTS8uA2vX91mhzEKmHcLYmjLOf34Vr6/qlsXHSn
LqpJ6Dcd628gNjxdn+0Ah4WOM/ezj+zfuifUIlO4K8wwVXdm1r6bNui51YnQ0uQJ21iUwTePPCe1
Uz6YA38w7kpcwz9irEwJQV0LaC7RO59sz8G1081W2T1nNIHwXHIONWbLLv48FB2vecHOeccswL84
tQ0J3MsBkaRm9PNHBe2nPM4AlOwpYCWy7NZMtAkvA7x2PGAEBDPizvV4yQC/mhSYGoPOMarQuVjo
K0h/gzWKQDRrp2RNhCR+D1WkM/stGpjNQboha2cIieTeB7DWXnA7iuboO9ssvy0iGj/0HH2fB1EZ
dcBBCCNOqMl/KLyQjI46Xrb3tehjcUUPDE86sDOYFB4g1zn4WhbjJTYaWNekq1iQ+7l1PxgzcK00
xGMep6mam33tKW1PTVPHp7FgM5e69VAnpwkdM+0U6C25y8dseR8hIP7IxtCyT2VpKVM/I2nVoi8e
0pYmL2d3LaH2+jaGegvKiU0sod/hLseZTSFHmEl04mk3wR3VKj67cQ6jX3RC/ZJO8dqFdBy1jYkO
EkhIsq5k3ybnoWMmXYImWhdhygNbpfg2FvXEU6255VPUmxyUKiIoY7g1QA8u2m33oK3IC0pUgnOL
OrsxV/hPXqDCzXUqu7oqLqSeFfcuwefFfQj16NdSBaDz57l26iuVW83YAjv+seIkNse2KeLy3MzM
b5issUYly8MCWi+ki06p4/cEb4aENTjGNTtAdghquGd9yJywXTPvd5mDBaLvrpfwjQifTB2zaEK+
4AfNdhbKsE0nbYD5dQrsNnP3ET0rqXZrzCBGRLVPTwW1gKCHhSveEHF4HYmayw9jH7lfVTuTY8bc
cZn/Jl37l9ArxLUMhvRGLvHwev7hT8gr4qkSYZJDlzFTIhaRdIo5NFfXUTP+wS7/mbsZsSWbkOOR
wYcADAlHnTrMv65RnO0Ku3lXQrnIfOyGOm3nqfioeWYp4PP8iyD870B0LXyfJqvHj/9biPKn4JyX
DSY7Pnjo+UhSoj9EHHWz1tHMtuTYYf/c1Z6nLoWUCWud2b/UY80SpZULc1OWd3+RkMg/NfgYgm9K
yzAQbIf5/3/8bJZUWxxU3XacQ298MiESNeIBhLdr68StjxFvrAV1ONvv8jSCLcr2Q0T046mR1od5
DXkG2KrXRON50K1LkFQTM9qny0YiZ8cq4NihyFZ3vOjyl9E29kMpPbuRO1fG5Y561VYU8RoBM/Hd
JmOfETUQFyUjOqBWeh6OBdnVxC+y/GHBwpImPAzZ0ujHvAbHpsLg5tHuycxZnBl5+Eok1keFOZtE
ym366SNnShnotp8QwZpnFh3DwY3LJUfWMoPMy8dJEiGItHTSdGlcar6kSL1Qomz9N5DeUbx3iTm0
UGq88tu2EKSx7ii2nfYzQ2ec4WMQOjItwq762Wwt+nSx+u6zmTNkL6xvy/m1yId5O4kA2RUndNZ9
DZcYx/HYWecryhXU5W5eBIZRdmA7hqzgDM+KwBsB5rvvv5QRTIu/Ke7/pRu6fe0kVHg3QMTN1vhP
3VDArJfpu8TeWTvTkTM23lXYkS4el//gT7XYW7nN34ek+jJHvfpFBLg8tvn2EAWSdTPRNU+WIIG/
3I3/kuLe7sYwYAeOw+g/9vB/fqyCmYnH6HA5IkLRj7zM3PekKKdTAJzlrbtFM/TcDTsmDAMZfSbz
38PIkg6EaDcln2UmK9E2/l/kcn+KcflQPBpcI08ixQEt8s8PNcGDNy4m/aNT6/xKRpi5dQp9eSk4
FHeWpvMSorj5mwvh9uT9twYYjzxWPsjOHm5YWHt/SAUjOVE4BSyzRs1QWw0jlWcVDI9o6ZGT4Hdm
g0b3/Ob0tbqS8/mJf6Z9quN2O+eRdI+DI5LnsHJhtJF4tv7lq/r/Ph14D85a6E18YX/cQAIxdMUW
VBw5YZ9sRdQK2aBN/6C92sx/EcL/y2VJtRdEyNzwGHBnoPj45zdQsGQufJNzaDtT8N2MZJLivl3H
w0QMz09vpVbrVecdVKDXh7ZzmYhD/WQ7nW2H/31U//vXlv/BYzHuD1yI+n9YbKZy0jZwi+WYQVZ/
rWjdGTepJIEKvJU///fP+vdrIfYQQgoXmSbm4z+PZoaTBnVFsR19qWnMJfLQHYmG7AQ7jFUcPFXx
2cR0/IZi4C8/+19aTBT6ye2KI4zEuS//+HrHJc7YOnHPE1NYvBIc5+5jQmH8XTzW44FYaaf4yw3l
eX/e73jpmWh7WK5wPYAz/+eXLEyxxZ4W2cGYsuYbBHBUcCi5RAYSa1+iwDLzxeQR0cZkDYO+nVrR
nRhg0eLTErmXNg6oSFrXEBuDpHsKn12nqsZUOHAj04pygLuGTYB/yKgV91ld0/KpgISBKzKy2vmb
m+TPawjfTLCTiMMbggbr/h961qlauIv6ggYeqfN3+p2NrFpcix84/tu7Pg/tlz7uUVk2K2caMH5A
ilXCNGO4GWR5/YY7489Mg/vcfTDG8b8uksTe/32T/X8f8lZ44Ffkf2i9/3nVedUvTcOa+2S6Torj
WiuzfnQ7hxwOd1oI1cL8ZqZv//uH/uuB5tJwi3pEmUPCifG1//OnIl9yhwDiz0mTcnph8qOpzILw
lRotO2wszB/8KJvPw8ryBFD5rWG00s/PLKP/Zvf7jzn5v8/ZiKREPkNEY4pPALvFPz8LcFAFkTyc
T5lwkdd1qAPvunH0Hkja3uS9jrxG3W30fNUjT0QmTjjwSnkZ6J3wEku2GLsEV7xPigLh1/cIXlli
oCEbxN2sBaObtR75E3cYOcadagwf2a/U2zHy47G/WMJ9+12XFy4xn6PO7hOFgGMXbSNjY714anho
EDnIawUns7iWovKy+3BjwLYfLfOd3RZY+AiKyZzHnsEnu4MGdOsoaOmx7hHfj59DUDLrl3wr3fKp
G1oGusu4bnd6Jsnzzg+GwH/0JoRMKizd6D7nVqvTwBT48TrH0Bgjx40+Sjze2d4mTWifkbYVS8r4
EmfEgBH29Jfb48+jIOJ1694MG1j6KYn/PGXXemqZN8JWxXjgZjAGEq12zD2xmeWuhGjl93j/0j50
Y6KcQHs5CALr2KZJpkx95y6xRfPTu8P8l1Lgz+Ofc9jzJRimGwoC+fwfBjFsnkQIrKD6t3oq9tOU
a4ypFU9rfnOq/uUA4UXKrffftybwDbwoAEZobag/5B/vvW4tHQLhppzUg0L2NwGY6J6yrq9+N76j
14OPKQIpFzF104tJRvuemFjFV8OAMH9aZwwpJ8KMQ/drHhv6bXCe0n9h/lY8Jg2yuhQw7xzcVWiS
xJfOaevlQ1+oHkwvZfJy0Hoc3EMYs+PYh9al3Cenu54fso55O0aW/1zwDgjY4+ZmOfEgXH3w3IvN
61NWWfCO/LWwEu9G5ct6HkmQ3z5Kgfwb6nZArnQA0ESckypp4Yhiadvf1qOfE5HFv6YuY4qSCwnI
LmcqR2HXTqtzgNPWfCWpV5xcEWXRDW6KCheTVkYOLiFVOUZ7iCbU/v74hIR7CFmfU1ud2Ig1xX4k
lyZiH5Ub8NEg+bOPI0v7EzEn9Hzh2nQ/Ft+d2yMapCFGl6zBJQ8ehpS+d8xv3YFv1Vti6x+8NZj4
NIlvms+saUC8T2QufFgXVWYp5ZA/fNJVmF9y2qfmEphwfvU7HfFaywg5v/gyW376nKwc8R0WeWi8
xnyI/TaxF8v20N+zpR4/315Wya5HYVqkYWlJYOyCIq53UVz7v0XtuYxi1bT+alFRvpGYM8ifVRUj
R3cKgtH7ncmyqsTZbfMcZOstJlNws9yvDCSrtB3tArY/xlt6QG5T9wiwMnMMZAN1uxkW5oosf+hi
kP4YJ/ViwNP7smoqeO1+1xOhBO7A5zXKFce/Epf5KaJh3VJXmPZLvDAH3slm9phnRTr7ygtyu4Vr
1KQDnLpFhgevRHpzzpdy9d4xz+I49rZpvgZiUBc5O1t8QNd3y3FiXcd5Zkodn0nFHGG6F/H4ayln
9o6NyOkjSQTDpowAjr0DwrXJ3vW8gIrjkkPd2jn0v92ZuYRs7wqj8ztQz2t/ZcYuMWQRWrfsOr9Q
36eyLUEX5xYGnCAruEmrQcDnpjOSW8qZzddAoji5zeu8wmRnfZk/ewrxO3OdkMAiB7j0eHCakJQq
PxqbNxepc7gT7aLu4rkKsA8AHf61lR6Dfpwp5CDaLlufGv56uSfpWMRPzMgRwuSb87x0cvhG9x8l
t8kUDHAyBr8H1RZ6R8ooeh2J4zzVQUDwykpcNxx2eIwgj2YBlp1EIFSSRUZYdzn46hqJSlQHmNTI
7Zym/UAO9nppkRH8RFPSk+ccK9bCXlUFR+3DS7m0Pt8gAJMazSU+mVjvHfrYjZiEbiUkSVf+vfLC
hLf03CIEnsJRo9TBH0vxDVvhOjt98c441gwP+aSXV1fUEqZlo8U9kk5n2IMW79v7G6Y8JLFTgmS1
3lYkd+U8luEeZQs3aTxs3pdWADnHwoeBcMdAjcvdIlvEUyZyd9kPlLHLIaqWheUVpLqBnXdWEeJd
F+t5XRhtIWQriVpLciYdWHjwKezqMJu4GuGmEBolOadQcpPzyCwY71vo9PYA9VL5TKKd9gXVfv85
YEgmd90Whq9qXiIC2AG732039/zOpUTw97JCO7Lrl8p+ssgBumsck1PXYgX43FCTtum6Ou22b3WZ
L5e5jOvPzLRI9GL6EpCRwFKmSbFtlTCdkuLAU8FIwGoPtoxo1RfiJLv5nDS9+oKJEQtNluS2P3n1
pt+JfS9Iv/TkwsnHNrHlrqi5t/nn449WKZWzEMrKT90AZgjeWUjA+4by57iVS9MfyKDqcdh5iZsd
26IkGYrXcrm+TEEzJIesjoLnVuesONqg6F7HLAq9/UBUFPKQDa10etvlELUKlEYxv/eCH7qibj/M
zSb1RQTT9pm4a8oQf+ROVdC8ok/EDFbITZAsEUfc9bgSvYmwuWK2LPC7Va+kn1Q+QTtEJIpULEl4
cPgD0ra0RJBbuGH/g8BtaqSlU4A+EM3LF1stHD9tMWVfm4ZdfWpAFHH8kGT7hNyNyFizltvHDbJX
s1uCwXujbmvLlKAC171ACrvp2YHqK4KKyDZbCraIjK88x9stbkBSTuG5pHqza1rey4VtKef4shSv
YT5WPwe7iZfa7W6h8C0ETg4sxzQ7cqpF+EmwV9FQiqEEXeEvOPgqSSTcj2zXPomqxaU/o+frDqw6
o727surJa7HoT4MuvHk/xC2qdI4pts0BTEL4HiuY7Wcy6PIjAR2ul26bq9R5nSiVdgi5hXt0tN/Q
nLIF8E71jM3P+kscHYuArO9j2Ym4T4vR637heCNwwtSa61z0aCKQ29RRjCRRHrAwXdcB/gLuSoMz
bPPUcpthd/2PmCUsAZgANGwarUsoz3PkZ8EHPcb+gt7azOJ5IUU9+phF3Hop3l9eaqCcmG0l8w3y
HCLA2Jdllr96BHm3OMDn5TRQPZAvOmHV2iWI2rgiE6NPqc1G5Bl7v8dkRAC059Kar/5aOVlNvKAz
y6PilODvWJHAwMud+jBAyB+O7uK5I2/TfsguM/B5dVc0gfgoLAG0F8b2+L8Y108/KnRaLd6LPnNf
YrcJDtIk4PAQIxUDEjBBPp/Q/acpVETGFC1itqOQBW6PNQaEhb61ujk8koblWZ3nrxWn8i2vo1Rc
RD+ITnbEw4F8t1XHVS3mnVCB7EcotmQ5Z3ylh+L/2DuT5biRLIv+SlvtkYYZDrOuWgCICDI4z6Q2
MEqiMAOOwTF9fR9k1iBS1VKn9aYXXVaLypKSYAQA9+fv3XtuUcnXgoPiuoeT37x5iUDk1/FmEguQ
oL/CstBUKmrxFtcsTgW9sIlgUB21B3sXPgxnIAgKY6cKpqmdzzyOPEyDjXWcyGbtwPIMHH45DQP0
ujRLcD0P4HpjZrfa3Hr7QTXu3VDkVbInR4J1rHQt4q963S8fvHWZiNTN/fV8bAr4nMCA6tPS5EjA
i6e4a0OdoGptHJeUbFiSoS4wPOzj1cYzOWcCq5+YTaTPxHPmoHnlsKw3mPkk0MGe0B4SNWe7irqi
Wpizu36eM91u7K8ESrUkWWbStA/EJXsdz3lPU3/VPbSdg+A58BN5Z5APmCBHU/3DKBcSrxLPscOK
qNZ+l/KekeS5SMbhVT7M6M5ondXB6rdzu+dJ4Q0ibHA+q4p1IZmH6voVwBXOA7IdRudKY6g8hSJb
jMsVQR1Lz2oQIVDXRpaekwatOtIc1viTMybOW8tyQjT0lDvNWb2M5jVmOAY8mJ8HgiG02iIbM5ft
nB9FBuozKioW63O4GJI4Lqafcsd+kNk7czLs+JKXfhXo5sZ55w8sWhcaM/gLQy61c6YkxfyN3SQa
hp8UmCf5SdykaDtKIyNJxUjMlY6ybG/mnXNOlbwukV/oNjqcvBHPWjKnRMfPSCACcrBbcZImRYoD
eMlWAjMQ0srdoqHurQOPcY1/mcacIyLDNFYRzlPRrleF45K+IaxYEU+s3GE9oUCPyRZJG4XvH/SD
QXYJ6oYdekmpReNcUigmhMXlzxIJibMvx6YlIsYkaD3qTTJbQEpr1bGiofm66sqkDaza7Evscq9D
3DVqOG8MZLJnbWWV7hXII3f81jvkke8KZPzjKaGQ9o2WZ7ZzoKLqWfVRuM2KfKGCtjaljf9ipHZ9
MqcZecT8FBuPUw/05jrrU8EIYjRrUsdoWlS7XNNwt9lOPiTnGZEj+W3pTqm+d1m9xtNJlEl6T3hE
tdkhJVj6rCBn7Spb0ZNcVNBiyz3ukGR6NsZEchzvF5HWaKBB/3jEXpGiU3FIuy3BY2MPaEfLUAx9
3H7Zu24V50gMZ0JcJ07h2C6RYpLA5LaoVBDya9M1fNaOllaZNzfJ0CNj9+DdTaE1Mbs6Tyb6pU92
ajc3qB/xuq8p0gDKy6x61pck8/tftO5+7CFR6aNjMYTnWj4UjfcdlDrJHOQBiTogVSP1aug+SQx8
JE3MmO5lNv8Kzrs1zt4fiwVzAjgiAmAHxK0PnXGfw3c5LYs65EtBmomVERVbaPntlA5qz7QiVgSw
TM9wZtQF9e6vfOP/7vI0AICL0TqiU/nh4yrh0mHumEro2YR8SZEwV9CNtbuHyU77R9/ok2/l0KCc
arL+XLO0bz9vj3y8/jaxoT+CmBuECv3ZrXvyHWWM9ulCRIcBUCdnMhTg4KILQz12ivxp2EHxaHer
aMZNjYemntqyjX7+C3xsS2xdEOYzFDsGXWnT/vAFSKoJHcj7Ai4MNTmSa1J5Mqk/+Xz0c+Gq8cVh
L/5F5/0HdMJ2VVpB4MJcxpWU+e8/doI1z+ziFNS8VjwyscmO41QPoYlWNYv0HJNDkgtBzjxwjRLZ
9y1oieoX/Z8fvnooeM7v8AQQxqblb3/+3VcvxIRZmDtzSClDm6PjAnU70yc1TiEAxHY9ayFH1bdp
a3dfK+LIrkCqDP3+51//743j759/iiqgJqALmMMSh6l/+CbgstSNYSATzxeysjhHxZTfeien9Wvn
tNN4i2zFJPSMdoqzeeSGbyaVeLYvgTUNF0PeG+VFaU+mdl3UPjlS0yBLTMCZ6yVnie0V6wklwDIG
oz9AgBnlWu7iWHozi3eKHslOXRZcrVvUrmiRxYTaYJT62ToLBLVzmzbTXtq6G5/kwKyqB+wXdvOM
TlyYlyJXGC+cNCZVkR6wBHzhgqc6KT012WHh0gXZq8a3SyzkOA6DWbNrfcIw7DRPDN4JelbKrL5i
HSUoceqQD4YScNg97XeD4w7UlPKsqObY+UWX/IfBpGcwWAYg41iwcRzP+vCV64hoF6+YcJaBdY5m
lDH7uBFr5LRm9pgjBDl3ymY+qob4qIbq+gqavHMo5DY7V0RZN7psTn7+GBg/PAcMwhjACciXHl02
yG/vn8aBSPhEg0O393sB52nCaUZgHvF62uNAzLiJ4XXEGYmOsg0Ty1/rnfKojC47+mW8IzWs0MeZ
hIruFFkbcSuod4w2sEeaHl/xVvePAtt8crLENIx2U621Lx4xD6g959l5lsoRLrWr1z5pfVfmxzlH
AVwCym33SaWv8YltYi0IVGtCgiVDCHEGnAwUL1W8UBsmtP12ZRZLdIOqGL0z7BpTfaT74dg3k5XP
ck9+59rficFNCHXtkSowvmlSe4/RfdKCQcvFeQH/0I6YpDpPZrt2JULfdu5olqu4fpGGRzzGMtiK
ky4Aj27f5LRPSDkEDYBxm9ZTaAwD4VWlYQ759UKh6h05/jDwBjy95rtlzjt15ZpdTQexbrtbO5c6
GyrynOXUBQTkPioDblai5RbiKfQZ7gPpg+bjNDbWa685Sp71M+2XHZG3dooE1ozTfb0yXkEh3aPL
Tc1mXfcl8rLscho68pYz0pPu7dFenLCQyXrb82LVYQNExI1yaoN0X8UaXbUtBzHjPKd8PMQ5PgXE
DAzDmBP646Uz5n4TgWmgYw4fsttxF9Y4wmO4FPveEepVlolNTgfIleNsJIhiVZr3ezUvuRtSxfER
UpW6KJgmeJ0IBOw+IJSTxL0erHx2NeYgbo6NXvGYOwiKxtBLZDN9gXeKej/gAYDNDG11AM3DIEyz
zpPO386vRk9YHGO88oB+VSzXsiCtOsg0r3/mSEYhjPQFJVxfmOl8lfR+694aqimPiJkMlOPCJWNq
GTJ1QPTUGPvYIF3+UGuz4ZzhBORDZ0DiskuABvEzVncY6H4h7A4kAzSqqjPiNzsd8EMRyoZgbILa
eOzL2euPi9YhZdLcenqsil6RbK+PBJv//KX9WCoBOKTudbbwm99DlD4MOSGeSz0l6xG6FnC8ZPa7
m7Uj5YVyZj2tedD+5Bx3ux51wgb14n4Y3ocNi2JUqdHkelalWXfwi78s+FzSEMXJ59Tpps8//3g/
DHG5Hqhs4RMcgW4BBuv7JcnTfFkCicEN5zkYZ7yOQL7E33f4IF/yCrIMUKuxPFP+uOWYTbYRDL45
H5i1ixfTTV4LT685ILt2NK0eiFnY0TnRpvGUxcQvE5FJPdScF3Ksz1Ns0fhNM/vp55/h49h9+wh8
AtMUjF4MoX9YVTmfxakqoO4lM9gX3AbG3sMXFbneSs81MQGi6bQBzxW2hMPPL21uc8/vd3b0OAQz
kHrE5N+HxfZhGkuaH7pIFbv7OsNyg3yxAJDbTzUOslh3lH9ZmyN+IuTGSF17N0HroU35+jwPraMi
c4ACHlI0QnbqOWNj1LOUecIhE28D+K31i1u6PGvuSmMCpyeHmBB/j5/uhaMQMyetoV3IzCP+3aX/
NAY//3Q/PPsMAfhuUY2wBBnWx7JFq8c4qZtR4k5e8sil3/MtyeG5GgZGU5ToWv6LOtXaxnHvv05I
g0DsUaFRMVIzv38aE1iD4IeS9jAtOl3vOCFuRqgKSh3OSzYCu5uId6QdUR3IPnbNIKewsiIcQJba
6UNWLKHd6BhMoHP4zHXcrnqsCSIeUCBkmAY4j+FD9lILk9HKsPpRq9T8kJhtlpwiJaJZnzVpWHIq
1k9w81WcWe18OC3QcHyRnA530zY9ZvXtH3//qv8/Fe8vfG3fPXXR6/D6H281tKTl8rV6++tfbpvq
tc6QI/zxf55+/esf/8YfgXim/xtgaAbLFrBkMhs83u3prR+2v/QbSgSDbBDBg0JMCG/mPxLxBH+E
PMDjzOfzCG8CgR4mZPrXv9jWb5xKhM5x1OXYywn4zwSS8Ui+e16RE/E7eCYLKMxZHfHIh+dVIN0f
Vmq+UMbJ2p55K8mkkZS2YZ24muau16PRYRUNvH5NqluZjU15iSUhN00itaZ4ImiYcaLxNS1oG54O
JZmSJ4OxjYPaxqiqHTmsMf66JE9jBju6BhCUFcN/nZF9oFAuE6O9YqiUGueLPq8ADPJq3gI0k45m
R1FCbiIRVNmUGhakuubcKewETTWWrpMxJy29D8amMbxTc0r7W1yoy1kjVH1jwYpbTzNV2EwgBg1D
VSWdZL+gXrtCjNwK6gHc+ECWUfRUn2lkMkGEUlRP8Tmhq90Eus+iHfegL1YZX7YwEuQhRePp7pZs
wYiIT4Kmo/B6vNikCdYvdlqxiJoIfOaTmsOsH1DBQElbXOA24aqsoYjWGYpPkDNnVEFNnBnDJiLZ
k33lTom2T7CsyQhZ25RclOTJXlTWXN3JIlvHfdf207leTo0ZFMiysahAGvw0DOtwuzBKxuKX9bMR
YmC39kuHP3FXYQmz95xPMhAxpTCWAEHhqCBm6Ai9L2yzmZ4l2aTk3mcdWcZl0tEAd9D8ANRRyn6D
gL08FqmIkpiwuKjLesSXsGlvSlAE56tbeXbQUSjHCOGM5CvrVZEftBinfImpDZBP378yqYUB3CSY
AnkL2D/t9QnhduC1beg5lG9HGx1jC5+n7c4mtDAmzr01fhjqOD+FYVJemIavbryKxhxMzXuBpvup
pGX8ObG27mLGdAeJWPkFppGByJ55FsOtIvevPLbTGd7HtMEVoUif6fmcfyp74IKhB/FtDjE+QFXu
pll8s2qpWlBOq3evUky/Qc28iluMdB9yrTcze2rK5q6iM6/vOp/9BLXRxAy4sBhcJzy5F+BMyJ4m
z5hRajq2qx2Q6aPw1dC1KAPHLKBoJpSGu7VlwBLo9gBoCKLlcNKBT8EdYVbDLfm6mgqMTDRPCgTo
xL0u1gdOB9BUsDsDDRhsZnsbQqG+RBBs6gHCE7XuGcJucZRZ9lWYmTPgLcrHpynN0hZ/g7Xcq94l
5Snt6GtyZmtBf8BWx8/awxv/6mOieej48GlkxjO5xchbFJiXaZHf2j4pRVTFXQ6XxrcGbOEontva
yb1dPtsxooze5cjF+ap8wdSDasrnLJoEptYYZxUHf/x+iZZ9jQHILOdDWkwmVZjl3hh5kTxsTNgu
HN08PmhM2F9x5Pt4L/pePGawo9qgW7L0VheMW3a61uZXaLQhcIxwaD5XKZquQFP8WcDIGgi09Mbp
PEFae5/Rprzt8FYNRFv15ilNh3gKndHun6BpkUjhtWo5GRvbxoNTx/4F8fS4W2C9kWcNRxERit3C
kAkxmRFZr8nY3+cDI8bAXCapjmYL4gykodZ/lZM2vTVWt27py4WfXDuyBaq6GvoS00Rnffu8xo7Z
hb1j1p8Sfoc1gCZqrefaCqAsnDkEMAazquIL5mubAQyubCw2HE8ehnmsPFTGtUfw/dhAbmpHo3gw
XIwQ0VCp6okWEHENBHyJLx1TmmsxlXQlSocmyY5MBavZVyrl5Klh+OHizJoZl5by3htGfMb6JBDc
a7GZfmOQC1OMiVDz7CY0eI+DGPHyttYcn9dJM4u9ZHS0BdfHBBf3GDHgTLgFkd59b7WQ/jm0kUDl
zuLBghZA171cqh7VwFhdMngd/X0K8vkkniHUBokx59et9ChirKyMb+JSwxBnW3V73Q5t8uxyouPA
ADE/OeGiI2kVuh3Hp31qYbp1uG1DNFr+knHGtJo0stu4fK30CW1CN7HuRS0vtx1KjCnl3pumGD6t
Lh2stEnb37irkSPljhu8V3MKzDe0c932GLaV2pHG0QYkBDT4xYsT8QBGcnhbK7FelJgIqrCHIv6p
z0dcBkbjNlRopcHv7k7amkQdij3gXoZQUcfsqeM0bIyc6gq53NFxcPLD5GjEIOaLVyNs0SvoJCgc
Mge8XR3jbWpElUcFtudH7hpoQweO31cx5qxGpbOOSdhZLLZMpO3moWnr7gyaJdblal6xSA4T0KaD
7Av9NllrMe9ARgLFlLmtTpfJgx6FIXG8XVFtIceL8562SjcmT6WukisixGkEyMXED4SLtBNgAZv1
yu4nHx2ulUxsugbdPiaN0zHzckRSsMINIH1AwFW4rNVwQ71gypA913vGb269GOjIrNAZgOOiDRRw
dMXq20+KptotLMaZVaLPeFw97OEnk1ETIyZp4LWRDvSYubGGUTWcfM1GGFpb+it6ns6g7T3VyBTq
yr2uF49NaFUwGc+XpIRlYUFvudYKfp2wo7mrImBN/SO4HJNDL9y5Pbsa6EsS0Y0Htq6mODqjMtn3
0JnssjSztJ2PhU9SfvcK4hE7sgRP3uEEpj2v+IsYgp5XAbV6J4HioWrz0UhjQeGpqVo5LRG8FvFt
TEq8pgy3GW0RmI1w3gHz9oWfAWuUU5j5kthpdi2Vnlm7EskF7xdjvmM1oygLhUy9GPyJk93565DG
PPLckZ1NEdFF5lr3ZxBK8RLRq5AYQRYWzUAZevF5deb8sgWTkgR209rgCGzuYiTzergxalQ0x6ow
xgNEC2bxy+y2iE/FAvzIw8LIZC03uzlMk7h4NizUcJFmOO05gzMFAtlbhyysBpgjwYKK8Mlp1Ao9
Meuth6YAMHKwPJMDTj1oq9oj9OpKVm/cwKSRZngBZsmVwiLNaRwre+EY2dTSq0IOOEkfbeSMexcT
nhW0OPyh8+Spf51jbx+3SXxmn2MeZWbteK6pdk6niSWYXGpmAk1H8zMD5dqgxojFa18kyadhVkZ7
LByvR60EYBViEGzhW7AVHf0vwYQ2yIclU3vEaTZOn3ZUN7TLuuS4tpXmnVY2c77zbhXbq7QYMpJs
CTkzTWbsAShNkGsNNFcCKiCP3NJJsW6JGys+TV7lDcEWJndwlKryvawEeI4MGZ97XXpAIjcVS1/v
KygTlLlYNAfngopV2HvLnQv3fM3Germy7ALQogZg1vvsMTpks1kNTag7EHgmoz00Ebp3niT9iN6p
mnPUj3pcw3BaVss/2qvWIJrpAAPvM6VPxmk7iZjhEOEbKAAQoaV7CBhC3FtL7bfnILkX+9ZaAL+E
g6Gv5i8SG963GDhjMDTYbgwIanSP2Oben4nj3GQay/QwQgZhXNhdkUU+3Mgv3526rv84Y7+LNX5/
9P79MvgfPZjEOss1Iu/3l/Fxg/Xa0BYRFpaFrLSsnO8Mb2DtpOTMra3jKs9ByjHqXyxKRL2b2iiG
83L/50/C/23qOyEcXxpJsHKSDn/7aYr8/8Vs7g3r/c8M2h9Owndkw1+8dugI3h2Gt3/pn+nwYDuQ
4CO1xXNBVPA/DsNbbryONmwLHMQCgg77X4dh6zef1h6HXpLgGMJteWv/OgwLnx/FlM7/+xH6b//5
Luak//DP3z9AvxsP/tW7oRGGk5OBi7H5Oj3L8z8MGYfcqU13sjnsegRz1y5yYGy0DI/qXkSwnfyD
meLkMPLxShudg9Fmp/RW5F43i3tQaDsitu4cHKeBg47rnEzBR6tib7cqxlYaLpZd6gNN60arOyV7
F6qIDWGnb0fySApajp4Wv5XmZAcmHTkKLeRbs+59Y4wWZKNfnQi/fvLY5ZA1YLZ2lXE3uvoJmTmg
YzX40mPF33H6F5koVJafVINAxhjcCg9/fI8q9o+3+k81fP432fPv3oTDW7N1U/r/fPfU/+39P3Iz
//7bbY/eu39ARUpD5ka9dcvtW6/K4R/3ffub/9M//HsH536RtHW+NKoetp+WZE397nnehv///Uvw
UHSvWf32w7/xxxtg0/ShQajTH2SmTm4d3eq/t4PM34xtqEYDmxfBJufhn2+AY/7Gn+DK4t3gD6kw
/vUGkE9Pf5PW9jagJZDT/zPtoG0h/u4F2GjujNd9XikLLyQ94fcraJViMTRVN6G5Nv0jRnb7SLze
r8J4/+1VsNTxEckjQHP8/ipeJkWVSVSSGilbGtAWDsEzKNzP333t/2Y/eN9U37aBreXriS3vnvhD
8eHDcLzFJ+6mI110ygTgKU0YV4l2giQtOxKH1z9oVPlnNK/yX5pKWa0+fJFckJUOLxu9Z/BD7z9i
hW201MtmpPxkQfwMi0uszCFagbKPHk217qg+5HxAlV3OeBD85HEwOuOlNqs2jtKqh+4E+7qcw0Tz
kFNXnU4WBSJ9QlGDn39NP94NFl4m+lyEVfSHFrlN8gAiYn2MjNQabs3tbHTq6ktp/cJcui2e758t
B5UC42zuuMdlPtyOvDfFtI0BIni3A3pLy5ydK3Oo2ulCwGTvoNIrYl2eUzqGg/tnP6RwLOYbjNT5
Lw7DbU7wnYhCDUNutFYuIq/X3AhxkndmtUg1f/5V/nDXBZsHiaCbUIcX2f9wldZakJYaLRo0L+8x
MQuYCY4lH4FLPP/8SttPevdlboMiF6yJiZ/P/MGn6Sy+rJg9GBFs9JkOixtDfxtBL4h51s7KwsEx
/vMr/vCYsFTxLFubAoet9mMkbEZHUCGcwJaz2Cj33E1+4jbaL0QPPzwkv18FNAHjMBrcv+fkfXef
HJwOHawm8Gi6jG9z4L770sv0KJ8zi/FG+2iBLr3++Sf71TU/PJhkbNiLvXJNU7SgxSrg7UbRfpGV
6z4NosB/mnje8c9ekyWJz+pjt9a3sdv75xH4UccYHIylKbT4OObrcG1Y63wstMamWwihYNiCGaZ4
9/Pr/vjcuLrtkj9C6UXl9HFNTOpJI0ETZiRK1PJ2hAr4ipLUDVh+aTGNIF9+Ufr/8EqwAvIfg2LP
Yr75Md+pgY3dl63jRAR5yivDl62MSIvNsQSIXDv9+afb8rzevxgcNRCJcSHfxs3rONaHLxbEOaIZ
OndMKmMA0hhg8/ooc21Yn/KhI3wg4UMSuwXVrT6YQwnxzQQtXeJ9df0Tx+ha43UuZ91BqUq7rztC
7hcJinRv0fYEN7VeSHCQRCY0S1ixiFDIuzQ6J3Z39bjFQ7CsMV9bvH62TpQiZQ6BNC4g7A0q68KK
nBl51fV0p87Ilzbq47SmlvUkyLmmVZuUYb9apxiWfGNnEVTAvgUBwTzhMDwPn+2snUsOM8vUnE+N
27onqAV8Mn3cWPtidBVDC8wj8rnBluGcugSE4EBxEDcENDnGGoAfCalhojeOES0j6bA0Uv3xkJUd
5W5coRgOrFKq4iLXfbJLCCJIzEOiOfn11PpY6FbPFCPdlSm19rB35DMwTE3b52vuyD3zYFuc2x7e
1oBBDz4jA53/lWDoxCgp0ftHQpWEx4A4gfceeDWGiy+sjvZs76SZ4DQNYwYzfLVyolveA2D37IdB
n0lnlM1CqI2JzgiUMCwxc6dzWsDAQgn3uMxVnRz8sqCNAyQUiGpiYtg4Wzk3nJizUuivCw+78wol
6saXEB4O+mL4n2LhDUpi/RhbF0Xd1HmA9ctZGHcT24VxY7ewFhEckrByWGmmSKh/4BCTneYXwwRn
019NkgTHUTuf0hmKiaZRZd97DeBXXDsJgxS2CRKymmFwgQ4Z8P8DTCducW0afQ2Mth1sAON6yf+O
OwRwkUIgQt+OlPenPNfQ6sT4xs76nvtOBO+qyf48Bnp1TyZpw7QhB/+N0ntsH0XcMQwA75b54Ywp
orh00HYve85UMfFbbIABXf6S3KtBuncdokaGIyj6mzPWdYqNSvrIVuquN7eOTO28dhB6mrDFc4GY
RsLTf26HwX6LoSkuYQXJc8MwlFUWmpUOsXbO5/YRjpp2b5rYkfaWhYod7PPmQUExa+DoTXIaFzRI
J47fPDbfePKxvbgNCMzA6uP4kfyJliOPC9kKjd4M9mkF5tpGWZxkR+QPUxrO4yBvamXgm4CSH7ek
qXk45/AMKevgEXvy1JR1xw8pNNxJCXnYsFHxpn5m9GX4l1nebKR30128cBYFsca5AiwSrGvqTSF9
YuOrryng9lC5l3kb2llWyHWGL05lrjrjvpLNiAYkL4NCjdiQP2ZlZAXgjV5OstTw7X0Pq1ruF0vg
FGQcu6orSWGFdiqFxL7TF96b+0rDHnnLJphnexpNqQrZ39rLJfbpvgKxql4UBO5nbWTiIeio2AeV
zYyRmNoX2SkstGlGUaaZ4sG0LP3Iq6u/DBO0710nNfOu7pPV/1SYAOL3LdFfWhrCuOr8T3CWqvTa
wuBMXsZo1Cs/p9KLHqq7jJ02BXViV0A/9al7MnBi9deWp7r+DNCguhutxElP9aYzQdPQ0Uy3VNCC
TXkvltJMTi2z3JxldHHzc4lcuth3JpPS6zbJvP528hrTprM5dKBmqrUFw+4Q6tR9zYvCmO+1Nsvr
E97NutzB4LfFGzjBLN6jogfHaaoY64BatJl++TSt5OrUsq9vyQdjHttVdrmf3XqY0Z+SCLViUfmU
CXSc4WIwojjVnb64AS5ItqYRy+KWIlp/TFd7YJ4iJL4/D5JZpCPCOwrX0F+aypjfXNrU32qqAOvg
dG16JWeRyWsCjdrPuVbLT05jTTdmIX1og1hGHnQ1OI96N0D48bxkk/SzLgKC8MRtXvraV+k363M/
YWONFo6I+U5iX/SOmI7bA3andow8nQIy6HQHy29iJTC1FuKUTixZyksNG3VU4+JcQ0FMFgPhpW/m
iOggyKMSfT1f4Wzi05Uilufoa7p7r0hYsUYCnwrSH1Z7h5R2cnGmOtXjpE8sq4DDifAeIEj2kWgc
pyMtYFRvk5/1Rmj6nfaYtIV5DddPswJ4gSAy+s4ywYHRKdmbbWMNRzyD44lIYBQzs2942+NBlCdg
UePuFPqA+zoVAnAHyjr1jAgYmlRlY8mhJb3Ml8qW6w36TXIBVYrjKEgcN9VANMHQ3BGcx0DagNDc
cLvz5o0RHRxeIJX0Q/w+76MWSXQflY5dTuEIElM/MMqwkn2DTPPGMsq2u5/0AZqyoazxdbu1X7CZ
WRRYw0TPmxhFkh0Ml8j2w+IU6mLymKaGwBjsQ8UgfSAarE+udZA7HjKdJX1eHD5/JLCn1zt2YR1t
2Ny1JplVHZ60BPjh9aqtbRcN/bCIk5FkGUajvt2yg3sSBdKwZtrnDm0ZLlyt8Y1oTKfU3RWLVX8a
TC/2L4niK7Bc2ewh9/oyMp+sCEO6qCdlGJjABJBcepnxiYcJ9A0uM6naNULGhJGVI7+4W+DlvlC5
5gOsS7xvEK86LYrJRgC879Y2d9Tqxp3DZCY+zCWQVzbf5QrKljMfWs9HAeYT9+4ENKzLJxMzWb9n
PuqMkQPDsQhEUZNjkA+UzEG+Gk66N5xJVswXp5hBjt9k13OHmRd0SmO89gm8vADGhU4TrSjciawo
TbyW6ICfG30QTNdRNMgwtmfrYZ0MbeHOGsgMVrxhrxpM6TJy0CMXwYyAeAmGbGay4Xb9/Anud5zs
Oz/rbpPcW9OIs4tUoSj8ZjrUk+j1UEoE5JHjmGRkosfEn9ibjKp4Q9qj29OV23XGlidkU/J8zlgU
bwWbM5hSO0alMQrmC/uu3kacA9XXsMMQxbJpkIcAt0KgCN739qoPp6M2MMdQorBfSjHiOSzAKs9I
Jcxc7foYvOQ2pGAQzi9IiK5XmP3JXAzdPf6cXCdKoVQYnGgYzAgaVqlfTklbg4WWBXe1GIb0lkQy
RNWEBcpN1twteNjIQ9pZHc32PUlo4+ccrzclK0RCgB9ujn/bHXwnJ8fc1ch0SlefCLdKjZRVXZFc
5ha+AnQ6YG+gt9qIUFdbGqcZ9HRqSFngX2NqPL+UqU2IXlpV6XgygYe6jQmNGI74ZOiq+3hPHiW9
yjUQsw28WqM9etVKkmsO+uQm7oln4X/bWflGnMmMPnuaAOW+duaUix1uNuFF9ph53+IqR4bSW3Ga
hiPL9LfRqf07t1T+UZ8k7uS5l93jaMHiHszEkqwmwB4gWVbGgeHiNozxvRjja+O6EozI0j1Oba3Y
4z0lP89N2tzVsFYfmIhgJRs7KU+8ZuBDdzJz3LBwBJIPD0B0Hi22L6IVKQtbcuHWN/UMmZYpOFBI
1CVG+wSkVYLjnPX62CCPIueTwdvW1JHeo5aiEg2g04oOGj3Qht1GFpNobrttxEh7Qw/d3oS5and0
pnjT0BNHHql/KoA6752ZFQekIMW+eQHf1cEnio7aC1aUxks4ehyFA3zaaQxrWif0UTjgCI5o5XGj
GbHr3oHss4sDYWT1hYPn+bmjwst3qIgoE/Xep6Azsxwcr7W206lHyuJTvMQaFVFTVZfcztYkVUgM
TmgSYHLjDv0Cwr7uahzlZXU3EKp6Z5pL/cAOVJHpMw3xGzbKFlVItihiE2dGoa0oOo1nbRGXIh6I
XoWqkjz6a4vXP2lLkKqU2POXMa3qS9uatzMHN5aeOTY2ol5hmlAAJ7OjqBVTwaoFV+lUimzgAOA0
xEhJV7NaTliz+aRBuQA5gXMaeRgZM/hHQIqfOrnLqxNTsN6srJAoCwh3zPeE58R3i63YRABRJsGy
2GZLqoiS3xjsKRwTJCN8xsI6joGbWt3VlMccCWbPr3Du9SuCn2Hw8X6aAGi9hlDboFQrFUg291ZH
4CuT5TCb3eklSRy5Bn7dOheYJSxiVvqpucOIorE4E8nBOQMXRYfCiMi4I2M3YrFnliK8pHn6mT6/
nE9Kwt+u6pEs2TOWyOqlX6yqOZCgIu4QVbki0OZGfRo61+F/JpOF3Xd2qshumvhR8CAUp0i8qidf
HycrGOLcwK8z2Nq5bBfW0Cqf/Nuy4vQa2W4GWYPC1uE8SD1N1YSvkBd2Bj/LkDXLiPvWHLz9HWq9
Z7cHnerAVciDVHYNiWQlw67dwmHxLe84aYEm4OC6mxPdn3e5sXEaV6MB30I+H+TQQg5NNGocZYPR
yyoGGbNdcgry5koPUSIScgOClBTHXsybT8Px0gOE8jEOatOw7g27YXF2SK17oW5BL2Y4ubxqYlBO
QTcOA0NxD8JoYFIJnAHM19mtiFoiiGbCEX+jSBmqUNWq6QUBSX2PfZ8ZDHtXfak6w20vaQsSd0Ut
Qe3RSbOiogLbSVQyR1TsPkkPfwjZnZppCzXtp8zEz8on86G4ptWgCG3I8VSEjhLVvZFI+15XukYO
3CCsu7RI/ou7M1luG2nT9a0wetPdEQ03MRObjjAHDZZkqSx5qg0DEmECJAiAGDh1nIizORdx1r36
F707y7OrO+kr6SdBoYog+UuykNF2WIuKKluVSCQyv/yG93vfaadL+YgQat7BaSQ6zxyri+BM4Ppw
OdAJ44Qbd4ZmBuPPOpj0wmSnd4OhA4SgoEj/zVqZPl8O0YCTIWDt3+dmsPASrUCAnUIxVxPfQ0Ha
I4P9mPSjwVeNEYOeUmtGPtuatNfxdbTWIQaZLzZrB3qXAnmsIUErvMMI4c1OxJt6UKYsoB6Z+OEp
TCYxgq4RTi3CWCjahMQXU6FkOPEC9JIFJzIucHemahs0qsbG1OrZGb59V6OR41LP6cUqipB2jKxt
K71ZOyHg9DuW5mrqTLlcpKv862LcDpDTAgsjiFEm+Yd5Dr4afsq2D8ewpk7a/alphizkGn6VEzCV
w3vcgwLNV7tNiW6oWMxjEo8RRmunnIcu6NrOe9ue2reKGSkfCzucu8NhuOFmh1r6DoFdopnJMIas
UwEXd7vCifJ7zgwFlqsZTKT6qbOA7oKs9JSsxZqgZKRlhv8FWF8CEbMWkM+nlyg/G0+RlOvmGU3a
In5Clgd6qk1+TpCKewkV/pT3mOJ1nCbLfHY35UPPEJc1zTPoNYz5u4Xh0JfRBglwITTn+j48UxcU
JWiH1tb0e55hUTcIDdEWqvTGWqJ/WFpTWpwRjlsYXTqz5x+gLqdrOjR0OPvm5myCI72BuL9vFwZq
1uv5GAcUXrr0N/qvIA4kaFvHOOrYYeqS6B91Z9Qzx6cFfCrXhqJoX50815Y9LVFwHrHLwCU6RUF6
KSGHclnM1rGCFiyKvn2QNSrYBMTryCGktpHChDAMOm5EnUvrF5vZut1dQYf0GbJiJC7Rj0RQZam2
fXCIujm5BoVgzgcksWj4mzs5cobz2cw5B6XjWH0QbYuiDzHw4lNuI1XTNfKF6hb4pwpR0HqDZCw0
IPE7YJQqRG1OEGfUTpUpLUWig0gJ1qjW0C+dJxfohKf8huA+6VCd+LKErJu+BYq1+rmZ2swh0hXf
hVadx0RQPzsXaebEylkar3zBPm+xsYxFwROARXYEKY9vmWf6cMPSogsRzaCWhj/mhIgwuwra6Pee
L+GfoKsI8D+66tSJQQQn/lrpZfP5cnOSBnnsDIyx2UHMyNHH/TGfD7k3Y446uZWxVwZtSIeTLwgr
qqgrRD6WeaWs8k53Rau81aP5Bg00G9GXU7SeLItmbagtMFpDrdPXZsvVR07wxjzRM3ImNMibk7OU
EIpGD+CcTjc1k/ayl9JR70HxpdOmvVivMRX55sHILfOdploQb4D/tL6Y6CN9TsEGPQBQdNA8NXwE
gtqrpemRPQ5xR4xxkPbJxCBFYC+1YrS0V3Be46jPvwKZVq87eYIQMUz4nY/cWrHdNabs09PFYhH/
Ro2jbV91UiP5COviMO9m7bkDWCaafiGvMURHQqHJepDNMxr9MyFx053b4t5XVh0YsPW5mipdE1E6
1DKJLh429PdBzu1TxsyQaaa1bBWvTTpV2uPkZNEZG/f6pD28RY089XszmyaXq00HaZIT+nnXv4NJ
hPxcpdu7hObpy7NpOg2DG3oBi6QPFzssLTqwIg2xzTkgOEuQzOdLPYnM/mYYAR8lZRndaBuNE1FM
reRbFGfFgl4MHS+CKzUMesCI6YeCRHIx+6hMJ/HH9ZxaTjfY5Ku7JM0NH/VDG68hNwlCzxZ2bs85
RKZJF+hqklwihIM5N5YLB6uwoMJA3i+Be94y5xoeENnPy8KAqpu0iZ9Al6Ggt02sH0AxbJE57xrF
GOBWrg6nLvzfGkzrHEKoZgMzXvRWidX53J45dJFCCQmlNzCCBQ+OwSxC6EU/yXoDlPsM8V2a+lPT
H392FJI7vQKtCvS2/ZiUW4YSz4haQ6r2Q6wBgMc0gfcgisPJ1wC+NxzMbAK3srpS0buPtc0UPcNw
s/jSmUXW+AQ2mgj/u03qqTue0YTXDVcRLDHmcJ58hgYshhu4rd5Ook4+HFiFv+Rjkr7qFVo2/4jF
XLzXFjYo6JxAkwYbDPQ3Pcym9xokYjgC8OaNT9czwp6BAXzrCzLidGUWNCrCibMMiisTuD86iRBj
WgMIfkidKLEZMB5FS9h/SiiqSQqYbNcsVpBdXU8TOgQVffxFFxhWp4SzkhIYIpYaAXL1Bd7VKaGv
jhNpZ+MSEGsIbCxYRWCyE0UdQuNuDDsf7YkA0qYlqBayfKLPdh4CD4xL4C2pe8GHZRfrDpIN9vDS
byPRDE5UQHYnAr07JM06p3kaTG/boXXsBLILoL4rgfo1qLny0Sam8vswN4EFb0qIcELqbzywS+iw
HjvRDcSynYdlCS32ASV/bpeA40Rgj2kAAYaMYDT1oqyEJyMHZ39crKZzbv0SwBzq6vSBYjNJpMks
GCsIiQBevYynUxPWAIGCjgDM4SMFbX1+v0gMesfyOYxQXSwlAOoYeF14DlX10tPNIh+pJdiamyYt
UEsVIOxMWaI+Gfuhem3oyFmgT7nM4A2kE2XVn88doNyaQHWn2AkFuwjW2xbgyUt6XLPPbVVTliC7
Ve1cp48+x3ikxgMMfWAi5/MheVvF6kSfJ214o/rD9rpzTZuE+WFNpucBSD9Chirdpfd+FhMpIXQR
dE5pmc9Jcah28i3zKYv2KQWM36+4MPSumenaGUXtMAE2DssR9DVzILtJgpeak7r1HGejYJ8KZXap
QHM47M0ywOgE8JvpPbjbyYrzFEdk92H0yrsxXFpAip0AT3s50TGzdOTb9AfkOewdxG2wo6cdOOTO
Yt2y3wkM7Whi0gGKHaV2gNWERXsALBEiZRQZzKgXkTKf4/IO1eBiTf5MQ/DaDr5C18RmIWKDIRwn
nlNM40x+Dcnd+vcVnAmEejq0OV1cUei7yOJn81OajNsg6tvr9M6HQcfTIvCM8M9kq/do2NPe10bq
E/LEQChRzKeK+kH3kdHsDo1NBpfd2gfirI/ZFlDfDYF+AnDCUV0TaE/OqbKZ10s9X2SEqvqCbMeS
zOLASjtkCHRSNtoA3yGBDEfj3mQq/nLcg23fuVvOZnSpoKRj4BbiM1oXiZUGZr9wUOI8z7OO+R6S
hfaNKvY2LhYXbn+eJyop2RBeOupJM9BaUMObl8tVmFMygsVNudaVmeYPwJgMURecroG4h2msQc4C
Jx7Vs1QZdk59nzLliQMrIuYpgqdtkKA9BP88rIrUsjpxOjkdTshpXKKdRrIw17ger6bkRZV+TPZt
059Zi+grBK+K0kucKdqSQ4LN3/BHlJhuAAPvy6b34iM96KZgcDOHIqC2aOhROSnoEmw2KFwt6Q9c
ggcHedRDJhciu/UwIQEyDEntnAD6QOay6NBO1ZtAMzKE+caC71ocFMj0FcBHvSjaFBQ9lqS8evxf
zjfHQcTgNEfwlzJonNrnQ2RDovMFsemVGgeaBn4Z5YNuGzBkBjPSQg9PI0ogaX/hDBcXxTSxChjx
NQUsXYJwTwBYH3x7Wx/GPYdWZc/YpLOsH1ASFLw2xNUnRJ4WuHR/RcMEAnQAlvM0Xd9xbmfKQDVy
LuVig1WgP7I9vA5C3XjfjvX4fkExYNNbkbOxgfojVNaFzh8YPuyKs2FPDScWioGcuWE3hEoCer5h
oqyxcevhB5OGtvTUAZMsrPgEeLI91gld2wunfYY3vLJPcGWIotuhslHe4QbbtO0vgrZ/1yahnT8E
bdwx6A3XPvt7Nuwo5Hd46vQ6TqAKPcXZJ0kfk/WcXUD1Q/UT8pMODUhaGNPQsiYsO0mWWXrRQTzg
M3dmrlEQmHPfRoHVzk6o5oeTMz0Oi2vVAnL8njBhOP/QnvqEQ3HZ3kVb2eILkACyyJttB5hWtoPp
ZWtYyC1tnATUHDqDTVzoJ7j7NJJZ7XCGPFek5B9ALQW/Z3EQkJYtG9BQx1lizQO81QI98duZ6FUD
8rIeXxljI0mEO+srJxlVAYgDyjY3ZR4hqwQnMLG7bm6KaX9VtsVlZYvcrGyXU8vWOb1so4NUb/ZV
se2s3Y8LTaGIvllYX9NkUYRUDgIU3hdajJgmgl8IO/Hk8KuzUNpIq2TUZ5Npe/LNWcfTL6sAXB38
qWHx4JhFko6IYgBjnfjtwDS+xlir2by7hAxuM+/FOTovg5A28+zzJkTvvm+FKzXp0c+Urt+RG4uL
QQrTDGoVdhRmxDIgCrr2KsFC0GDHBoF0obP4Np/5PsYtS0m86ggJD+8oRfg5MdUydZeGjf1QfHs+
7mpIPRinS5+6TJdYE73LuTNEZy8EVHA2prFJJZPsBJ1BOwW8NIB71LiNaPEg47VRivOVY9N8ZrYn
4aeNDydkHzxcnF10KPjrA2cDOrWH2rC+uV0Hqk6/u9/h2A9Br276AMTR/lZUK/HfxSm1yH6OE+ST
u4WmtZ8q8/b0ZBrCVnueLE3npoOzN4NSK0N/mcwYFLpn5GUW83FPG+NiuY6DlOKnZIxE33ls+QlC
XQT1LNTc1hLC92EHlqr5BGrCts3ZEGlqZBy7TkqzKHfNjExYmkVQLyZ2QXeAr1tcK2YUK5sTFSJW
X6SYrOW75bJAI3wxmzonUMMoQ+pERk7T39QiaFjlfib6np041qgRbopz/hFRT+7AtJBGXVoGRKpw
rer4LfBUCTMNteg7lgsJKGg9cyIatHdImUcUC7pJYmWjnGvqVtksRT+Ioq8XPTioE6MXrg3z3KD3
1R6ANy/IL0bD1QwdMXKNJHLbGpjfTM3XXXpiIxIeqDllF2aUdpYXiknfUW/p5AnyHEUwcd6pFLmv
Nusc5tqJHaon0RxmzZ6FsAFwY0ShtJ4xL8Ya9hERX+LICen3ItWCUxCQFoMLJZWPyXgaTM589GXQ
wlTnQOF7Y/bl6nw+Da2H2I6dB3WeL5GOALOAuNbCVmLritgBltsc7MIc5sO2DXEOOX60+aarMPnW
iSBXmcL0NUNMjhLA+YJ8KbSzK2oCg9yw/WtSTLA/kUeBAVxVyNeNofALi+jTmvA1Jkm+yexzhMOy
1YehBoPbOQ3+uXHKbd62ToIU+MBgpXZI+ucFiOmeEcBgcamOdVx52pARqtOpKPrXqzQwnIFv2PPk
i8alGN3oijNXemhGos9O6oIsoB5Y8y0u7LvwzT8Wxr8Ddj6AMP8JbBcA55sYRcO7+HW/tIuUPhzo
ZZjog76AcqASjv3UAKELarsYgbY27Ddmhzifxo1/aIUwJD/+uWq8QaWG5mC97A0ASVZCwnZW5nDK
hwDw1/3OUzP3Srx52eu/jwb/3lc3228sg9YDyhzQRvADpm1nBYw3QGZpbtFAtJU/P90KCHaCGh7+
e1fAgCMBJQSQYEDcxQ+ovZ0VUM03Onj0No0Z27/+6VbAarwHzDeAkmmIEb1L4kerrUCHDhggxQDz
f7bdb3NcG317S3+DpA1gZhOg/OGba2JhRJPA46f/+c6/A1K60QqY6hteEOij9Xj+9yxgmw4PkNcA
GrfmAXwyz/uJLKCQUmm0Aob1xiKqgVay/ur0hJkd0RNjP775T/fqmtb45DtvLNvAwNM4XP7UrT/3
Hyahw90IWLz8+dm+vsWEG319upsg8FIdKCaPWQDFfuPYaPc4nI/tz09n/lXRp9BoDWD1MTXThJDy
8ZbnHXdvQHrDyu/f2V61P9Hhp02s4bvz/TX6gpC8O3oCTGwDMfdf5u+nMwL03TVcAh0j0IHJpmyr
2fnuYu/zF9g/eF/Ln+11+xN9f00o4zXb+1xwMMvi3j2+Y90CKhwNqhAklHf+ngf+TGugNd0A3IAd
sqnlOpRGru4BQwdGcGDRufPTbgNBLNZoG5i0eZOX11mE7c/eNtDYBmQ0QBY+XgPbB75oG7zgl/6M
p3t+EI7KSDrwsp2G4md/oYqjDwd4DCRFtAi8GLY3Wi2hRODasES/Ze1/FM3H20dtQ0zx3/9W60Uu
d/7OX1YnoXzu4//++MKHU6k9q3rL6g/PAi910wd/Xf7F+nHaW5Y7GrTTcZ3lTjTi/zWPg47pP3fD
U8N+KLKsPqomor+mw9798f9hkVh71UhloC4YlJ8e+Niy/WlpDheznmj4/r9/nI2YnAoZ019Mfruf
kjb5vyb9zE544ne3nfU7I/3PbJu34f0+OSL+wl/TeN2ueRuN4jR1q4HEAkrYi2+LLE/rm7GkrihT
PUdJAV60xbseyexitjtZETU0XYNuDMLfbbnRqHXmpRsPKaYgqi2JUG9t/BQvdNMiqwYqzxEOWONh
6RWBKKQ23eePJ9t77MVPmZO+F83cdFpNUExX5GaaTvc8ZRmiUTVQOayEDTfI8niPOdSGDKHpbHsb
78Gvr61I0TUdFjmj/UUQ2Z/Gw7pp7LXOMzF2bZ91JHy4k9SNHmq3gEhWNJ3yaXCfumHuptVQYkM4
Er7cKfwlUeata+Pi5zSesJfCUVsfVsY6pJ5XX12Ru2462V4aUxaomQZVsFI3HfesiLA5tUVQ2xJs
2fnDgXEgj918vue5G9ZnK9IMTVfhnZfubTDCDgnDltRPyH5WQ4kjocq4gS7dfLG3GwwJq3sZ5H6x
75pA/VnN//X3/S28Lu50f8oS1vgywK7nXpTlXlBfZ0OCeb8sVt7sPi7ScbUE5ScU9bime+4qDkes
STVQOa5ggmg+buQ+1LjGVFPCEbkStr2aXTlZS8LXe+/lvpce3HJl/qzpQrwHpOHWbYWMqxmSpT2v
B2abamFef0BuYNwuxm5YjVQuscihNV2Gv8vE3tCDFyfa23PUIN1pPuGnCPOazjmBhayaoVjhMlHX
dIVvFy4BnVAE2Y5UDiw0DhoPvPRG9cujLK00HzbIN9tTV81xO2UJu+3vEr01/HIfoyD3Rq2LIBqP
4nrYKJJsTZfkE87VA7d1D768arRyTUwJa3IVR1xQ3jitWWUaOKonvd5q3Hrpff1S1WwJxojAw2vF
3+CtrJ0W1UTnrPmkMcy5z9gP3mg/0qPgJcOfu4izeFFbbaACBuROzSf/x/8R5v9YaAZaA5EfkCoq
JFYwecKb+dzjflxqTdNNQskqx/nrpNZ6buSOan6K/uxXeD6DckpMdxDny7icr7xVsOesWRJO2C3X
XN66IXOdemUy7CqYFx41tGpDlratLeFJj3b5NndzL6uNLpRbmprlHgOQVGi9nXkp9rkasJy9jU5h
9QdHDCiTeVEiskfG7f7e2zN0oK2A1z1loLfj/8ADDKPbL3h+334b+wSgWV7/IBJu4be4PPduMKkP
LCFGfJvO9v1gCeFh143GoTvyMr/a5OWul7AQV2tX5INrw8qYMLLP9bXVJViAblpEXrA7V6Fq3Niu
uAT1o7rjJCN/cpsGrUs3mtYslQz/lAu6XsaQkdxAS2DcuhD/uH37oVpUscvUtoQvd045KvL26piq
KsM7jfY+nSpkYpvuiXduUt++qvbU/fLC6+VinY7Xm31zpupPXS0vHHrrRl/EqVfbbqouYYlvha4a
e+NgbAkb48LduHTo7hkL2uCbf8NLN+Ze3u6EciPrUjJfD258cERMCatMYDiOw7oZgreweoMjXs0L
twbJuhEEJ/W1sCTcdQzsrvfPtCXhy733kr3cl6AHb3qmb9yUKDM8Fq2VignNx0fJZX8jy6h53YC3
CRLoGerfEMKD5otySw7FTTja1VClYyFk3Jsux53vBvvJUfg2JAzsToLDlUYZVsbQwbJu9zUZluiu
SKfCLdzfHZoMi/Rxc+8dWQ4ZVYlPgZdHbj3BJsPUXYMiiRctGtvSImn9a2uQx9BgFY8ns/qMpc0G
2i1hyzw+8KKI3MwPUh5Z/Wtw7KFCOLSaxevt7m2Sunm4PmZvdBWtiuZPuApGI3JzAzfLq8HEoqHs
8+To3AQvioYfV+3WD6Yxdo1V+/Nft2CE3YfSeoNCq4T0SnmruHygNAj/63//32zqrt3Wabomk8MM
ztx7xGSrr1a708gBWLohIY1xF8ziVLn0qCLuviEitUL2o/qjBhvDIyiYVts9+9d+4MZr4qWg9VsR
jdx6qhLAMwoGzR/aj6ejmAW8c6eEkcHMrYYUO4bOAcMUehNNjf6FC0d7UEMXqQK4THtC88FvXCUM
lAeAOwpERtV4pZnYPkPCt6feND4ysgQbdOkmOVoBRwZ/9uL6cYmlrSlpmhnenb84NqB3d/9oIMpB
FZS49qzqb6o/fArY1nV9IStUW18Jn623TvbQfTLOySlhT+sWLGVSm69oamx6BM8BdFWjlGdDSIg1
HjRLXa++d0VXQ+NhU3dejVLOVQbsEz6G0d4SyChUXRRLN6jds0h2VJN//WVw6QH/refiVRnX6DVw
tmp25dIKTcGm3+s3OulruUIacpqPeusWo6D1NnX3q5cg/xtP+RYhwdpdp8nI5DxWOsScW4NZgKO3
F5tpElb7Mx5Ii9Rv7TqlB675onz1CEeqYcTu0GRggN/HLTbdP2at/bCPAmj1sNcflFMBtWndFvcj
4igKQLWjaGilXFbT/X1XRPfH/HXReqXaMpA9b++L1lWR1Xbk4+gS1ujfPwxuBx8+Dfr/qyU2D1DZ
1sH+p48WDivdQoaLrsGOYRjP+n3HLusnrnCJTR+0e4GMqK7/nmg8enQg9hs58CEiPv9B60/99+IH
invP/E6tlehHNYV82y9x0vu5f4YeX/mF0dzbCNv9IJAt1Tjba8E5+PzfOe5eBhDYV8MRB0UaJ7XQ
a9v7s3cXfN80twnyY7XjEvzQaOyyLcbdy90C6TnEfHzfnLeJ9yNz1nERDnyP7xv7WpyE+s1oIWlg
0EuLtiaikJiIw8v9+55xg7sA1/TeU0SoaQA5MTRoC4QY8VMuBBH+i3IV7Bl3byMeayTc+8zFX/ql
L31QF+hr8IDvvn/loz2jYk8R1OT9NAOZ3Kcu6pc+7srL4oTsy6y+iBhx04H3GNIPlbSLCS9KdaqP
3LAvfpg79lPvvhpJ2AfEE9H5ZTugq4rcr/p00vmlD/oTZ9H6O5jfDmQ3NLoaDtKNNmz4zpPQu+1j
f9wtJY669qJbamfDHdxCu/N/vOR2/2jA2ZMQJXthsKnZVhmeKlIDudv6sHe3yCheDcLWrRsuXLoZ
a9vy4DLcWdkXmozTgiM8o4a1O/Dhbfj9A1NKHwlztDsuPl71n0cO6Atn/J4FTt1xUZux+iTy6YUj
34CUq6cEEeZ9bsLHduf/jFsICdYWkvUSz3DnA/6YM/c2Le7rn+y5lX0ehIg3F7ARSjxf103vizrO
8dlv95InjIsgrJ8OGXVBMVuOc/10PJsCfX6+d75HsOyzjWtDy4j2e+6awPZYYCijytbb2x2mBEvR
jxHl3TPHMmpa1bhR64OXFPdh8FBtZeEsyAAVgK7dB+3KiLsx9iMwr0U9rjh0oneMxQtN5xlZwWB3
FVQZNaJ37OO976fKuKmv3JRAWQCAa1M2JUCQRGdDBsjYrWVm1Cfd4Beu8Q1dv3ksHIxacUyTkVfa
wqMvgjzPSmv6HkGuugWRUYHePuWyeKj78ZqMBoe7lC86ckfl9O/ie2Ku3Y+LpnT1n693PQSEYbs+
PfZlnB0zhihjNH/QdqE+BTSlg1oX3RU0BVL/FVbhAAFjSLg3usjIBJnf+hTA3nLUyJMwa/5eH2+f
fIKECxtOfTfYA/LYEsbt4csCequWoEwXy6hI37p1rwgtsuoZr9+n4Jny1qAgHMmDon6MZTA8bHcn
Lkzu//G30JutqxmLVTFl9LSXL3Dl8oR6hl6wWz2VKHmhJd2+wPYWaP3Tlvzhn3dfQifeftYB+XGe
v0iDNnX66ynhnyLdG47paanFCBLOwlsBKK0NKsE+d+M8AyNXG1aVMS74uHpJSoZtB2AGPry2vyUM
2/Pd0e6YMjgRKn9adFqKGw/B5vo1bujVI19vHfveLH7AQSOB+fzzJOzAnkuvVlyvbj9fbno+1uvF
ILTqIaSMO/rPDrOy+nI8xpHhzvbcxGt98tJRzQl/Mg/+QvPenwQQVNTjEUuCDzAYr5O82n9lqCfh
LhrMycDF2L2wdVrg29VsiiXBpgxw7faaFmQ0RA9yVEKTurmW4RCJDMYpzUj1kTvP3sbPn5dTUJM1
49qR8PlO6c2rfbLDctf3R9OHG4FcX7XxXm/4en/8v9xrjf7xfBHvuciqjMvrwovWtaU4UgP9/rW4
DO73vQL1sAr8inGpKeV+zaGnH775IjPfvVWQEZ9dAfwduxmZ72qGwv6oMq6RK3cd53WQr/pkoemF
VlhAmJc1rwN2/mr2r9/EDLs3qIRTfMVF+lBPq0CkLWOyALj3YzDkKWSNvF+8VmVcc1cx0tH3B9kx
QeBONgI6kNd/vPcBLn41TLmDZVwZ5aj1+0KVEeduzbCCXGnmFrVZy0iZfvjjb0WEIGN9YAmL/IHI
ZK8QIqN79dZbP/heGHr1hIIMyr1HiMcB3AdFj2p1Xr/nbgXRTB1yrsnJUYg0b+vSo6e3mqXY0qjL
V//ZYNL0d+xDaWRAmG8pkdV2HKiC5rO9i+tRmqZL8LZv//iPuHUXz/74W5kAvUn/+M/oIaiXLjRd
wlqDdwz2UDNQ1UhYFTfa7BtoWMubD/xxfHDAZbTqd8lu01PfOnGzmluE6kLzOcMOHuz59JoUaAR5
GFHLqWZYnkAZF+zvBzGIJqN2+Hswu3fvl3WLIQOVvrWhh+db6G40vba7dAve4czVeh+AxjUf+e39
us5lYdPCChcAQh42xFcY6ufjqR+XhwXq9ksyzhwFyZo/c0Z8izP9BXPiFHGge9pzbiXcriCBv8Xh
9LGCWR1kYT3RWNJgenIsC4I4Iaj4fJrkx53ALQb4F/zu6VgY7Xpq6cl+5hdG5V3YNfZ4kmX0hXVT
d1O/HmS4gKLVoXZTykjQ9OIw3k8vyujnHzyArqkDNGUQ151Q9H/wRW54L9Eo42I/ccOp6FM6BmSw
JXiqpwXMWvWcoBS+DrIqQDVrW0N9Evz9wtMh2FEAFK537aEqxNSaelA3XlpUo5R5j+eN6vMJ7Y9p
sT9ZNDKrx7w++PxExLyBHLH24YChPzfyj7sGjjVt/IKXwpbzkXY2dxbXPo6MfEYX8Yd9AK2EROWt
MLfxUUiRDMqvXixwWP904QHpj8b/fMyQyci/l41TopMQ0IgwxMeeI4OqvhfHlU9WS7PJ4Ks/CSa1
MFkGndQJdNyi73f02AtUUiQHD+khz92T1KEvNM+PdyF88+sDHj0ZDQCP45ehtPjY4mb8s2NQ0BiO
ah9FxsUAJLdGLXTYbVb81Z71wmU686Bef9yh5TtcPfSBxYXVn9Vegq7C5+z68zfRBXwn9+RhqpHK
K05Gbq7npzQ6g2Z/fJ36AyTM/L23bPXc8Ajvtgwy8vfBHsRYRuX9kxsBGai7EzJQg+9dgEK1BZZx
ZsUC/+5RC6zrYsELXj3q9Y7KTZA/gPY8erkgmijhAW5Ce4l4hSMleTlsPuF+aUnCpuaSymDZOc7y
J6O5awugPPNCAMn/0nqbAVPOKGWVxgYgtqB4a8FU1Ssiv+anoGXZ/KPcxVN809pORfZUxriwAFbD
lHlkGbyhdwVaGHuTlbAzP/N5gy0W/aTIoXSrTVxGof3AydRkVMR7gsRR9DFUh3Z33iawW9um5xX9
WnoFDVOGOs0jS8m2V7l1FURx2rou4KTDXzzqxtmCB6wNPUSHLJiQFP6ZA58jfeRNA5/dME7Y5qeJ
qnZ/e7DbnSuRAONYV/kv+JZH2tl/wbc80kv/673lsdb9n+wtnzm4j6f+ISSY+Lf/BgAA//8=</cx:binary>
              </cx:geoCache>
            </cx:geography>
          </cx:layoutPr>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chart" Target="../charts/chart4.xml"/><Relationship Id="rId2" Type="http://schemas.openxmlformats.org/officeDocument/2006/relationships/hyperlink" Target="#'PIVOT TABLE'!A1"/><Relationship Id="rId1" Type="http://schemas.openxmlformats.org/officeDocument/2006/relationships/hyperlink" Target="#'RAW DATA'!A1"/><Relationship Id="rId6" Type="http://schemas.microsoft.com/office/2014/relationships/chartEx" Target="../charts/chartEx1.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19</xdr:col>
      <xdr:colOff>215153</xdr:colOff>
      <xdr:row>0</xdr:row>
      <xdr:rowOff>0</xdr:rowOff>
    </xdr:from>
    <xdr:to>
      <xdr:col>23</xdr:col>
      <xdr:colOff>128530</xdr:colOff>
      <xdr:row>38</xdr:row>
      <xdr:rowOff>119349</xdr:rowOff>
    </xdr:to>
    <xdr:sp macro="" textlink="">
      <xdr:nvSpPr>
        <xdr:cNvPr id="50" name="Rectangle: Rounded Corners 49">
          <a:extLst>
            <a:ext uri="{FF2B5EF4-FFF2-40B4-BE49-F238E27FC236}">
              <a16:creationId xmlns:a16="http://schemas.microsoft.com/office/drawing/2014/main" id="{C36C9A8C-7878-F2F1-AF1C-0484EFB44FF1}"/>
            </a:ext>
          </a:extLst>
        </xdr:cNvPr>
        <xdr:cNvSpPr/>
      </xdr:nvSpPr>
      <xdr:spPr>
        <a:xfrm>
          <a:off x="11727780" y="0"/>
          <a:ext cx="2337087" cy="7096698"/>
        </a:xfrm>
        <a:prstGeom prst="roundRect">
          <a:avLst>
            <a:gd name="adj" fmla="val 5612"/>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451337</xdr:colOff>
      <xdr:row>0</xdr:row>
      <xdr:rowOff>50410</xdr:rowOff>
    </xdr:from>
    <xdr:to>
      <xdr:col>19</xdr:col>
      <xdr:colOff>53008</xdr:colOff>
      <xdr:row>4</xdr:row>
      <xdr:rowOff>121257</xdr:rowOff>
    </xdr:to>
    <xdr:sp macro="" textlink="">
      <xdr:nvSpPr>
        <xdr:cNvPr id="3" name="Rectangle: Rounded Corners 2">
          <a:extLst>
            <a:ext uri="{FF2B5EF4-FFF2-40B4-BE49-F238E27FC236}">
              <a16:creationId xmlns:a16="http://schemas.microsoft.com/office/drawing/2014/main" id="{CB6CC65A-391A-AFB6-24A1-FFC2B9709CC6}"/>
            </a:ext>
          </a:extLst>
        </xdr:cNvPr>
        <xdr:cNvSpPr/>
      </xdr:nvSpPr>
      <xdr:spPr>
        <a:xfrm>
          <a:off x="451337" y="50410"/>
          <a:ext cx="11184071" cy="802367"/>
        </a:xfrm>
        <a:prstGeom prst="roundRect">
          <a:avLst>
            <a:gd name="adj" fmla="val 8120"/>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xdr:col>
      <xdr:colOff>65315</xdr:colOff>
      <xdr:row>1</xdr:row>
      <xdr:rowOff>105591</xdr:rowOff>
    </xdr:from>
    <xdr:to>
      <xdr:col>13</xdr:col>
      <xdr:colOff>239487</xdr:colOff>
      <xdr:row>3</xdr:row>
      <xdr:rowOff>152400</xdr:rowOff>
    </xdr:to>
    <xdr:sp macro="" textlink="">
      <xdr:nvSpPr>
        <xdr:cNvPr id="5" name="TextBox 4">
          <a:extLst>
            <a:ext uri="{FF2B5EF4-FFF2-40B4-BE49-F238E27FC236}">
              <a16:creationId xmlns:a16="http://schemas.microsoft.com/office/drawing/2014/main" id="{A5337146-CD2E-347C-25DB-75199F3B962D}"/>
            </a:ext>
          </a:extLst>
        </xdr:cNvPr>
        <xdr:cNvSpPr txBox="1"/>
      </xdr:nvSpPr>
      <xdr:spPr>
        <a:xfrm>
          <a:off x="674915" y="290648"/>
          <a:ext cx="7489372" cy="4169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baseline="0"/>
            <a:t> </a:t>
          </a:r>
          <a:r>
            <a:rPr lang="en-US" sz="2000" b="1" baseline="0">
              <a:solidFill>
                <a:schemeClr val="tx2">
                  <a:lumMod val="50000"/>
                </a:schemeClr>
              </a:solidFill>
            </a:rPr>
            <a:t>EXECUTIVE SUMMARY AND PROFITABILITY DASHBOARD</a:t>
          </a:r>
          <a:endParaRPr lang="en-US" sz="2000" b="1">
            <a:solidFill>
              <a:schemeClr val="tx2">
                <a:lumMod val="50000"/>
              </a:schemeClr>
            </a:solidFill>
          </a:endParaRPr>
        </a:p>
      </xdr:txBody>
    </xdr:sp>
    <xdr:clientData/>
  </xdr:twoCellAnchor>
  <xdr:twoCellAnchor>
    <xdr:from>
      <xdr:col>0</xdr:col>
      <xdr:colOff>465915</xdr:colOff>
      <xdr:row>5</xdr:row>
      <xdr:rowOff>67000</xdr:rowOff>
    </xdr:from>
    <xdr:to>
      <xdr:col>3</xdr:col>
      <xdr:colOff>367552</xdr:colOff>
      <xdr:row>8</xdr:row>
      <xdr:rowOff>134471</xdr:rowOff>
    </xdr:to>
    <xdr:grpSp>
      <xdr:nvGrpSpPr>
        <xdr:cNvPr id="42" name="Group 41">
          <a:extLst>
            <a:ext uri="{FF2B5EF4-FFF2-40B4-BE49-F238E27FC236}">
              <a16:creationId xmlns:a16="http://schemas.microsoft.com/office/drawing/2014/main" id="{333EB0A9-A7FB-E3BE-80CB-871F45EE886F}"/>
            </a:ext>
          </a:extLst>
        </xdr:cNvPr>
        <xdr:cNvGrpSpPr/>
      </xdr:nvGrpSpPr>
      <xdr:grpSpPr>
        <a:xfrm>
          <a:off x="465915" y="976851"/>
          <a:ext cx="1744085" cy="613381"/>
          <a:chOff x="497722" y="980405"/>
          <a:chExt cx="1658814" cy="597622"/>
        </a:xfrm>
      </xdr:grpSpPr>
      <xdr:sp macro="" textlink="">
        <xdr:nvSpPr>
          <xdr:cNvPr id="6" name="Rectangle: Rounded Corners 5">
            <a:extLst>
              <a:ext uri="{FF2B5EF4-FFF2-40B4-BE49-F238E27FC236}">
                <a16:creationId xmlns:a16="http://schemas.microsoft.com/office/drawing/2014/main" id="{7F0DE1A3-F957-C2E6-66F8-47531606C76E}"/>
              </a:ext>
            </a:extLst>
          </xdr:cNvPr>
          <xdr:cNvSpPr/>
        </xdr:nvSpPr>
        <xdr:spPr>
          <a:xfrm>
            <a:off x="497722" y="980405"/>
            <a:ext cx="1658814" cy="597622"/>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TextBox 6">
            <a:extLst>
              <a:ext uri="{FF2B5EF4-FFF2-40B4-BE49-F238E27FC236}">
                <a16:creationId xmlns:a16="http://schemas.microsoft.com/office/drawing/2014/main" id="{B02BC156-AE07-1966-762C-FF1DFAD7450F}"/>
              </a:ext>
            </a:extLst>
          </xdr:cNvPr>
          <xdr:cNvSpPr txBox="1"/>
        </xdr:nvSpPr>
        <xdr:spPr>
          <a:xfrm>
            <a:off x="655983" y="1042590"/>
            <a:ext cx="1358348" cy="2627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tx2">
                    <a:lumMod val="60000"/>
                    <a:lumOff val="40000"/>
                  </a:schemeClr>
                </a:solidFill>
              </a:rPr>
              <a:t>TOTAL REVENUE</a:t>
            </a:r>
          </a:p>
        </xdr:txBody>
      </xdr:sp>
      <xdr:sp macro="" textlink="'PIVOT TABLE'!B4">
        <xdr:nvSpPr>
          <xdr:cNvPr id="9" name="TextBox 8">
            <a:extLst>
              <a:ext uri="{FF2B5EF4-FFF2-40B4-BE49-F238E27FC236}">
                <a16:creationId xmlns:a16="http://schemas.microsoft.com/office/drawing/2014/main" id="{23A6D008-3CB8-5644-6891-2FF4EAF3B83D}"/>
              </a:ext>
            </a:extLst>
          </xdr:cNvPr>
          <xdr:cNvSpPr txBox="1"/>
        </xdr:nvSpPr>
        <xdr:spPr>
          <a:xfrm>
            <a:off x="593799" y="1313495"/>
            <a:ext cx="1465384" cy="2206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F8FE11-DA9C-4009-9DCF-26EFC8A50B42}" type="TxLink">
              <a:rPr lang="en-US" sz="1600" b="1" i="0" u="none" strike="noStrike">
                <a:solidFill>
                  <a:srgbClr val="000000"/>
                </a:solidFill>
                <a:latin typeface="Calibri"/>
                <a:cs typeface="Calibri"/>
              </a:rPr>
              <a:pPr algn="ctr"/>
              <a:t>$332,937</a:t>
            </a:fld>
            <a:endParaRPr lang="en-US" sz="1600" b="1"/>
          </a:p>
        </xdr:txBody>
      </xdr:sp>
    </xdr:grpSp>
    <xdr:clientData/>
  </xdr:twoCellAnchor>
  <xdr:twoCellAnchor>
    <xdr:from>
      <xdr:col>3</xdr:col>
      <xdr:colOff>547743</xdr:colOff>
      <xdr:row>5</xdr:row>
      <xdr:rowOff>67235</xdr:rowOff>
    </xdr:from>
    <xdr:to>
      <xdr:col>6</xdr:col>
      <xdr:colOff>466164</xdr:colOff>
      <xdr:row>8</xdr:row>
      <xdr:rowOff>128195</xdr:rowOff>
    </xdr:to>
    <xdr:grpSp>
      <xdr:nvGrpSpPr>
        <xdr:cNvPr id="19" name="Group 18">
          <a:extLst>
            <a:ext uri="{FF2B5EF4-FFF2-40B4-BE49-F238E27FC236}">
              <a16:creationId xmlns:a16="http://schemas.microsoft.com/office/drawing/2014/main" id="{ED7C0D92-5B36-FCDC-AB15-1BB6B94175DD}"/>
            </a:ext>
          </a:extLst>
        </xdr:cNvPr>
        <xdr:cNvGrpSpPr/>
      </xdr:nvGrpSpPr>
      <xdr:grpSpPr>
        <a:xfrm>
          <a:off x="2390191" y="977086"/>
          <a:ext cx="1760869" cy="606870"/>
          <a:chOff x="2375314" y="963706"/>
          <a:chExt cx="1699260" cy="598842"/>
        </a:xfrm>
      </xdr:grpSpPr>
      <xdr:sp macro="" textlink="">
        <xdr:nvSpPr>
          <xdr:cNvPr id="26" name="Rectangle: Rounded Corners 25">
            <a:extLst>
              <a:ext uri="{FF2B5EF4-FFF2-40B4-BE49-F238E27FC236}">
                <a16:creationId xmlns:a16="http://schemas.microsoft.com/office/drawing/2014/main" id="{C3BA9F8C-0F98-36AF-AB98-20E285FAD7AF}"/>
              </a:ext>
            </a:extLst>
          </xdr:cNvPr>
          <xdr:cNvSpPr/>
        </xdr:nvSpPr>
        <xdr:spPr>
          <a:xfrm>
            <a:off x="2375314" y="963706"/>
            <a:ext cx="1699260" cy="598842"/>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7" name="TextBox 26">
            <a:extLst>
              <a:ext uri="{FF2B5EF4-FFF2-40B4-BE49-F238E27FC236}">
                <a16:creationId xmlns:a16="http://schemas.microsoft.com/office/drawing/2014/main" id="{E7C58485-06F1-48D0-EEB3-160DF56BCCA9}"/>
              </a:ext>
            </a:extLst>
          </xdr:cNvPr>
          <xdr:cNvSpPr txBox="1"/>
        </xdr:nvSpPr>
        <xdr:spPr>
          <a:xfrm>
            <a:off x="2431774" y="998157"/>
            <a:ext cx="1577010" cy="24326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tx2">
                    <a:lumMod val="60000"/>
                    <a:lumOff val="40000"/>
                  </a:schemeClr>
                </a:solidFill>
              </a:rPr>
              <a:t>TOTAL</a:t>
            </a:r>
            <a:r>
              <a:rPr lang="en-US" sz="1200" b="1" baseline="0">
                <a:solidFill>
                  <a:schemeClr val="tx2">
                    <a:lumMod val="60000"/>
                    <a:lumOff val="40000"/>
                  </a:schemeClr>
                </a:solidFill>
              </a:rPr>
              <a:t> GROSS PROFIT</a:t>
            </a:r>
            <a:endParaRPr lang="en-US" sz="1200" b="1">
              <a:solidFill>
                <a:schemeClr val="tx2">
                  <a:lumMod val="60000"/>
                  <a:lumOff val="40000"/>
                </a:schemeClr>
              </a:solidFill>
            </a:endParaRPr>
          </a:p>
        </xdr:txBody>
      </xdr:sp>
      <xdr:sp macro="" textlink="'PIVOT TABLE'!D4">
        <xdr:nvSpPr>
          <xdr:cNvPr id="28" name="TextBox 27">
            <a:extLst>
              <a:ext uri="{FF2B5EF4-FFF2-40B4-BE49-F238E27FC236}">
                <a16:creationId xmlns:a16="http://schemas.microsoft.com/office/drawing/2014/main" id="{A2037E7B-89CD-7ADA-27F1-E045D091DF6D}"/>
              </a:ext>
            </a:extLst>
          </xdr:cNvPr>
          <xdr:cNvSpPr txBox="1"/>
        </xdr:nvSpPr>
        <xdr:spPr>
          <a:xfrm>
            <a:off x="2487866" y="1287068"/>
            <a:ext cx="1465384" cy="2144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EB594FE-1E53-4533-8D3C-1F80D391C0A6}" type="TxLink">
              <a:rPr lang="en-US" sz="1600" b="1" i="0" u="none" strike="noStrike">
                <a:solidFill>
                  <a:srgbClr val="000000"/>
                </a:solidFill>
                <a:latin typeface="Calibri"/>
                <a:cs typeface="Calibri"/>
              </a:rPr>
              <a:pPr algn="ctr"/>
              <a:t>$153,080</a:t>
            </a:fld>
            <a:endParaRPr lang="en-US" sz="1600" b="1"/>
          </a:p>
        </xdr:txBody>
      </xdr:sp>
    </xdr:grpSp>
    <xdr:clientData/>
  </xdr:twoCellAnchor>
  <xdr:twoCellAnchor>
    <xdr:from>
      <xdr:col>7</xdr:col>
      <xdr:colOff>15689</xdr:colOff>
      <xdr:row>5</xdr:row>
      <xdr:rowOff>46127</xdr:rowOff>
    </xdr:from>
    <xdr:to>
      <xdr:col>10</xdr:col>
      <xdr:colOff>20659</xdr:colOff>
      <xdr:row>8</xdr:row>
      <xdr:rowOff>129540</xdr:rowOff>
    </xdr:to>
    <xdr:grpSp>
      <xdr:nvGrpSpPr>
        <xdr:cNvPr id="16" name="Group 15">
          <a:extLst>
            <a:ext uri="{FF2B5EF4-FFF2-40B4-BE49-F238E27FC236}">
              <a16:creationId xmlns:a16="http://schemas.microsoft.com/office/drawing/2014/main" id="{7A33ACC7-24E4-CCBD-13B2-8D365E07D58C}"/>
            </a:ext>
          </a:extLst>
        </xdr:cNvPr>
        <xdr:cNvGrpSpPr/>
      </xdr:nvGrpSpPr>
      <xdr:grpSpPr>
        <a:xfrm>
          <a:off x="4314734" y="955978"/>
          <a:ext cx="1847418" cy="629323"/>
          <a:chOff x="4229100" y="942598"/>
          <a:chExt cx="1833770" cy="621295"/>
        </a:xfrm>
      </xdr:grpSpPr>
      <xdr:sp macro="" textlink="">
        <xdr:nvSpPr>
          <xdr:cNvPr id="29" name="Rectangle: Rounded Corners 28">
            <a:extLst>
              <a:ext uri="{FF2B5EF4-FFF2-40B4-BE49-F238E27FC236}">
                <a16:creationId xmlns:a16="http://schemas.microsoft.com/office/drawing/2014/main" id="{F713D607-2564-E91C-39A4-9727880B9596}"/>
              </a:ext>
            </a:extLst>
          </xdr:cNvPr>
          <xdr:cNvSpPr/>
        </xdr:nvSpPr>
        <xdr:spPr>
          <a:xfrm>
            <a:off x="4229100" y="942598"/>
            <a:ext cx="1833770" cy="621295"/>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0" name="TextBox 29">
            <a:extLst>
              <a:ext uri="{FF2B5EF4-FFF2-40B4-BE49-F238E27FC236}">
                <a16:creationId xmlns:a16="http://schemas.microsoft.com/office/drawing/2014/main" id="{5D6189AF-BB10-92E5-07ED-D8F13C4129F2}"/>
              </a:ext>
            </a:extLst>
          </xdr:cNvPr>
          <xdr:cNvSpPr txBox="1"/>
        </xdr:nvSpPr>
        <xdr:spPr>
          <a:xfrm>
            <a:off x="4306956" y="1015741"/>
            <a:ext cx="1729409" cy="2256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l"/>
            <a:r>
              <a:rPr lang="en-US" sz="1200" b="1">
                <a:solidFill>
                  <a:schemeClr val="tx2">
                    <a:lumMod val="60000"/>
                    <a:lumOff val="40000"/>
                  </a:schemeClr>
                </a:solidFill>
              </a:rPr>
              <a:t>GROSS PROFIT MARGIN</a:t>
            </a:r>
          </a:p>
          <a:p>
            <a:pPr algn="ctr"/>
            <a:endParaRPr lang="en-US" sz="1200" b="1">
              <a:solidFill>
                <a:schemeClr val="tx2">
                  <a:lumMod val="60000"/>
                  <a:lumOff val="40000"/>
                </a:schemeClr>
              </a:solidFill>
            </a:endParaRPr>
          </a:p>
        </xdr:txBody>
      </xdr:sp>
      <xdr:sp macro="" textlink="'PIVOT TABLE'!F4">
        <xdr:nvSpPr>
          <xdr:cNvPr id="31" name="TextBox 30">
            <a:extLst>
              <a:ext uri="{FF2B5EF4-FFF2-40B4-BE49-F238E27FC236}">
                <a16:creationId xmlns:a16="http://schemas.microsoft.com/office/drawing/2014/main" id="{D55C924F-D17E-6ECB-BCF4-7ECC78952F7D}"/>
              </a:ext>
            </a:extLst>
          </xdr:cNvPr>
          <xdr:cNvSpPr txBox="1"/>
        </xdr:nvSpPr>
        <xdr:spPr>
          <a:xfrm>
            <a:off x="4441238" y="1309928"/>
            <a:ext cx="1465384" cy="21181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D82C169-9A9E-441C-A73F-60CF85FDBAEB}" type="TxLink">
              <a:rPr lang="en-US" sz="1600" b="1" i="0" u="none" strike="noStrike">
                <a:solidFill>
                  <a:srgbClr val="000000"/>
                </a:solidFill>
                <a:latin typeface="Calibri"/>
                <a:cs typeface="Calibri"/>
              </a:rPr>
              <a:pPr algn="ctr"/>
              <a:t>46%</a:t>
            </a:fld>
            <a:endParaRPr lang="en-US" sz="1600" b="1"/>
          </a:p>
        </xdr:txBody>
      </xdr:sp>
    </xdr:grpSp>
    <xdr:clientData/>
  </xdr:twoCellAnchor>
  <xdr:twoCellAnchor>
    <xdr:from>
      <xdr:col>10</xdr:col>
      <xdr:colOff>211568</xdr:colOff>
      <xdr:row>5</xdr:row>
      <xdr:rowOff>54685</xdr:rowOff>
    </xdr:from>
    <xdr:to>
      <xdr:col>13</xdr:col>
      <xdr:colOff>74408</xdr:colOff>
      <xdr:row>8</xdr:row>
      <xdr:rowOff>123265</xdr:rowOff>
    </xdr:to>
    <xdr:grpSp>
      <xdr:nvGrpSpPr>
        <xdr:cNvPr id="13" name="Group 12">
          <a:extLst>
            <a:ext uri="{FF2B5EF4-FFF2-40B4-BE49-F238E27FC236}">
              <a16:creationId xmlns:a16="http://schemas.microsoft.com/office/drawing/2014/main" id="{744B0324-FFB3-1189-0C47-51B367A31E83}"/>
            </a:ext>
          </a:extLst>
        </xdr:cNvPr>
        <xdr:cNvGrpSpPr/>
      </xdr:nvGrpSpPr>
      <xdr:grpSpPr>
        <a:xfrm>
          <a:off x="6353061" y="964536"/>
          <a:ext cx="1705287" cy="614490"/>
          <a:chOff x="6217921" y="942191"/>
          <a:chExt cx="1691640" cy="606462"/>
        </a:xfrm>
      </xdr:grpSpPr>
      <xdr:sp macro="" textlink="">
        <xdr:nvSpPr>
          <xdr:cNvPr id="32" name="Rectangle: Rounded Corners 31">
            <a:extLst>
              <a:ext uri="{FF2B5EF4-FFF2-40B4-BE49-F238E27FC236}">
                <a16:creationId xmlns:a16="http://schemas.microsoft.com/office/drawing/2014/main" id="{196BB231-B5EF-DF34-D513-7D8D13C7E13B}"/>
              </a:ext>
            </a:extLst>
          </xdr:cNvPr>
          <xdr:cNvSpPr/>
        </xdr:nvSpPr>
        <xdr:spPr>
          <a:xfrm>
            <a:off x="6217921" y="942191"/>
            <a:ext cx="1691640" cy="606462"/>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3" name="TextBox 32">
            <a:extLst>
              <a:ext uri="{FF2B5EF4-FFF2-40B4-BE49-F238E27FC236}">
                <a16:creationId xmlns:a16="http://schemas.microsoft.com/office/drawing/2014/main" id="{1ED9D702-148E-AB81-AD7B-A6753062EDEF}"/>
              </a:ext>
            </a:extLst>
          </xdr:cNvPr>
          <xdr:cNvSpPr txBox="1"/>
        </xdr:nvSpPr>
        <xdr:spPr>
          <a:xfrm>
            <a:off x="6269603" y="1003126"/>
            <a:ext cx="1610139" cy="2529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tx2">
                    <a:lumMod val="60000"/>
                    <a:lumOff val="40000"/>
                  </a:schemeClr>
                </a:solidFill>
              </a:rPr>
              <a:t>TOTAL UNITS SOLD</a:t>
            </a:r>
          </a:p>
        </xdr:txBody>
      </xdr:sp>
      <xdr:sp macro="" textlink="'PIVOT TABLE'!H4">
        <xdr:nvSpPr>
          <xdr:cNvPr id="34" name="TextBox 33">
            <a:extLst>
              <a:ext uri="{FF2B5EF4-FFF2-40B4-BE49-F238E27FC236}">
                <a16:creationId xmlns:a16="http://schemas.microsoft.com/office/drawing/2014/main" id="{F313F48E-5DAB-B562-E8BF-4594CDD87F4D}"/>
              </a:ext>
            </a:extLst>
          </xdr:cNvPr>
          <xdr:cNvSpPr txBox="1"/>
        </xdr:nvSpPr>
        <xdr:spPr>
          <a:xfrm>
            <a:off x="6345574" y="1287068"/>
            <a:ext cx="1465384" cy="21181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2157033-33E4-4CCA-9CF8-020A54CF6826}" type="TxLink">
              <a:rPr lang="en-US" sz="1600" b="1" i="0" u="none" strike="noStrike">
                <a:solidFill>
                  <a:srgbClr val="000000"/>
                </a:solidFill>
                <a:latin typeface="Calibri"/>
                <a:ea typeface="+mn-ea"/>
                <a:cs typeface="Calibri"/>
              </a:rPr>
              <a:pPr marL="0" indent="0" algn="ctr"/>
              <a:t>4075</a:t>
            </a:fld>
            <a:endParaRPr lang="en-US" sz="1600" b="1" i="0" u="none" strike="noStrike">
              <a:solidFill>
                <a:srgbClr val="000000"/>
              </a:solidFill>
              <a:latin typeface="Calibri"/>
              <a:ea typeface="+mn-ea"/>
              <a:cs typeface="Calibri"/>
            </a:endParaRPr>
          </a:p>
        </xdr:txBody>
      </xdr:sp>
    </xdr:grpSp>
    <xdr:clientData/>
  </xdr:twoCellAnchor>
  <xdr:twoCellAnchor>
    <xdr:from>
      <xdr:col>13</xdr:col>
      <xdr:colOff>259977</xdr:colOff>
      <xdr:row>5</xdr:row>
      <xdr:rowOff>62304</xdr:rowOff>
    </xdr:from>
    <xdr:to>
      <xdr:col>16</xdr:col>
      <xdr:colOff>107577</xdr:colOff>
      <xdr:row>8</xdr:row>
      <xdr:rowOff>108024</xdr:rowOff>
    </xdr:to>
    <xdr:grpSp>
      <xdr:nvGrpSpPr>
        <xdr:cNvPr id="12" name="Group 11">
          <a:extLst>
            <a:ext uri="{FF2B5EF4-FFF2-40B4-BE49-F238E27FC236}">
              <a16:creationId xmlns:a16="http://schemas.microsoft.com/office/drawing/2014/main" id="{801E9A1B-890F-83FC-4A29-3C6F104F9EB0}"/>
            </a:ext>
          </a:extLst>
        </xdr:cNvPr>
        <xdr:cNvGrpSpPr/>
      </xdr:nvGrpSpPr>
      <xdr:grpSpPr>
        <a:xfrm>
          <a:off x="8243917" y="972155"/>
          <a:ext cx="1690048" cy="591630"/>
          <a:chOff x="8139953" y="949811"/>
          <a:chExt cx="1674607" cy="583602"/>
        </a:xfrm>
      </xdr:grpSpPr>
      <xdr:sp macro="" textlink="">
        <xdr:nvSpPr>
          <xdr:cNvPr id="38" name="Rectangle: Rounded Corners 37">
            <a:extLst>
              <a:ext uri="{FF2B5EF4-FFF2-40B4-BE49-F238E27FC236}">
                <a16:creationId xmlns:a16="http://schemas.microsoft.com/office/drawing/2014/main" id="{E1C3AABA-A62C-1542-B727-9DC301527BB4}"/>
              </a:ext>
            </a:extLst>
          </xdr:cNvPr>
          <xdr:cNvSpPr/>
        </xdr:nvSpPr>
        <xdr:spPr>
          <a:xfrm>
            <a:off x="8139953" y="949811"/>
            <a:ext cx="1674607" cy="583602"/>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9" name="TextBox 38">
            <a:extLst>
              <a:ext uri="{FF2B5EF4-FFF2-40B4-BE49-F238E27FC236}">
                <a16:creationId xmlns:a16="http://schemas.microsoft.com/office/drawing/2014/main" id="{1D4AF873-A0E9-74CF-D8EB-699F52B062EB}"/>
              </a:ext>
            </a:extLst>
          </xdr:cNvPr>
          <xdr:cNvSpPr txBox="1"/>
        </xdr:nvSpPr>
        <xdr:spPr>
          <a:xfrm>
            <a:off x="8252461" y="988879"/>
            <a:ext cx="1358348" cy="2565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tx2">
                    <a:lumMod val="60000"/>
                    <a:lumOff val="40000"/>
                  </a:schemeClr>
                </a:solidFill>
              </a:rPr>
              <a:t>TOTAL ORDERS</a:t>
            </a:r>
          </a:p>
        </xdr:txBody>
      </xdr:sp>
      <xdr:sp macro="" textlink="'PIVOT TABLE'!H4">
        <xdr:nvSpPr>
          <xdr:cNvPr id="40" name="TextBox 39">
            <a:extLst>
              <a:ext uri="{FF2B5EF4-FFF2-40B4-BE49-F238E27FC236}">
                <a16:creationId xmlns:a16="http://schemas.microsoft.com/office/drawing/2014/main" id="{C18FE211-F7AA-9160-7D31-4F072A678D24}"/>
              </a:ext>
            </a:extLst>
          </xdr:cNvPr>
          <xdr:cNvSpPr txBox="1"/>
        </xdr:nvSpPr>
        <xdr:spPr>
          <a:xfrm>
            <a:off x="8213137" y="1272821"/>
            <a:ext cx="1465384" cy="2144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57440BD-5076-481C-A2DC-A3D489EB28E8}" type="TxLink">
              <a:rPr lang="en-US" sz="1600" b="1" i="0" u="none" strike="noStrike">
                <a:solidFill>
                  <a:srgbClr val="000000"/>
                </a:solidFill>
                <a:latin typeface="Calibri"/>
                <a:ea typeface="+mn-ea"/>
                <a:cs typeface="Calibri"/>
              </a:rPr>
              <a:pPr marL="0" indent="0" algn="ctr"/>
              <a:t>4075</a:t>
            </a:fld>
            <a:endParaRPr lang="en-US" sz="1600" b="1" i="0" u="none" strike="noStrike">
              <a:solidFill>
                <a:srgbClr val="000000"/>
              </a:solidFill>
              <a:latin typeface="Calibri"/>
              <a:ea typeface="+mn-ea"/>
              <a:cs typeface="Calibri"/>
            </a:endParaRPr>
          </a:p>
        </xdr:txBody>
      </xdr:sp>
    </xdr:grpSp>
    <xdr:clientData/>
  </xdr:twoCellAnchor>
  <xdr:twoCellAnchor>
    <xdr:from>
      <xdr:col>16</xdr:col>
      <xdr:colOff>277906</xdr:colOff>
      <xdr:row>5</xdr:row>
      <xdr:rowOff>50103</xdr:rowOff>
    </xdr:from>
    <xdr:to>
      <xdr:col>19</xdr:col>
      <xdr:colOff>60959</xdr:colOff>
      <xdr:row>8</xdr:row>
      <xdr:rowOff>83820</xdr:rowOff>
    </xdr:to>
    <xdr:grpSp>
      <xdr:nvGrpSpPr>
        <xdr:cNvPr id="57" name="Group 56">
          <a:extLst>
            <a:ext uri="{FF2B5EF4-FFF2-40B4-BE49-F238E27FC236}">
              <a16:creationId xmlns:a16="http://schemas.microsoft.com/office/drawing/2014/main" id="{00D062D8-7E45-62D5-DFC2-550EDF04D29F}"/>
            </a:ext>
          </a:extLst>
        </xdr:cNvPr>
        <xdr:cNvGrpSpPr/>
      </xdr:nvGrpSpPr>
      <xdr:grpSpPr>
        <a:xfrm>
          <a:off x="10104294" y="959954"/>
          <a:ext cx="1625501" cy="579627"/>
          <a:chOff x="497722" y="988225"/>
          <a:chExt cx="1658814" cy="597622"/>
        </a:xfrm>
      </xdr:grpSpPr>
      <xdr:sp macro="" textlink="">
        <xdr:nvSpPr>
          <xdr:cNvPr id="58" name="Rectangle: Rounded Corners 57">
            <a:extLst>
              <a:ext uri="{FF2B5EF4-FFF2-40B4-BE49-F238E27FC236}">
                <a16:creationId xmlns:a16="http://schemas.microsoft.com/office/drawing/2014/main" id="{736FC186-5573-3368-FA5E-EB492B2E9B6B}"/>
              </a:ext>
            </a:extLst>
          </xdr:cNvPr>
          <xdr:cNvSpPr/>
        </xdr:nvSpPr>
        <xdr:spPr>
          <a:xfrm>
            <a:off x="497722" y="988225"/>
            <a:ext cx="1658814" cy="597622"/>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9" name="TextBox 58">
            <a:extLst>
              <a:ext uri="{FF2B5EF4-FFF2-40B4-BE49-F238E27FC236}">
                <a16:creationId xmlns:a16="http://schemas.microsoft.com/office/drawing/2014/main" id="{6D0912D1-65FF-E206-9A58-76EE69D5F3DE}"/>
              </a:ext>
            </a:extLst>
          </xdr:cNvPr>
          <xdr:cNvSpPr txBox="1"/>
        </xdr:nvSpPr>
        <xdr:spPr>
          <a:xfrm>
            <a:off x="655983" y="1042590"/>
            <a:ext cx="1358348" cy="2627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tx2">
                    <a:lumMod val="60000"/>
                    <a:lumOff val="40000"/>
                  </a:schemeClr>
                </a:solidFill>
              </a:rPr>
              <a:t>COGS</a:t>
            </a:r>
          </a:p>
          <a:p>
            <a:pPr algn="ctr"/>
            <a:endParaRPr lang="en-US" sz="1200" b="1">
              <a:solidFill>
                <a:schemeClr val="tx2">
                  <a:lumMod val="60000"/>
                  <a:lumOff val="40000"/>
                </a:schemeClr>
              </a:solidFill>
            </a:endParaRPr>
          </a:p>
        </xdr:txBody>
      </xdr:sp>
      <xdr:sp macro="" textlink="'PIVOT TABLE'!L4">
        <xdr:nvSpPr>
          <xdr:cNvPr id="60" name="TextBox 59">
            <a:extLst>
              <a:ext uri="{FF2B5EF4-FFF2-40B4-BE49-F238E27FC236}">
                <a16:creationId xmlns:a16="http://schemas.microsoft.com/office/drawing/2014/main" id="{6CDB25CF-CC11-0A89-E0E1-0B6F86B11CB0}"/>
              </a:ext>
            </a:extLst>
          </xdr:cNvPr>
          <xdr:cNvSpPr txBox="1"/>
        </xdr:nvSpPr>
        <xdr:spPr>
          <a:xfrm>
            <a:off x="586321" y="1290036"/>
            <a:ext cx="1465384" cy="2206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332F7E5-6F23-4FDD-B745-2AAA2E0A30C3}" type="TxLink">
              <a:rPr lang="en-US" sz="1600" b="1" i="0" u="none" strike="noStrike">
                <a:solidFill>
                  <a:srgbClr val="000000"/>
                </a:solidFill>
                <a:latin typeface="Calibri"/>
                <a:ea typeface="+mn-ea"/>
                <a:cs typeface="Calibri"/>
              </a:rPr>
              <a:pPr marL="0" indent="0" algn="ctr"/>
              <a:t>$179,858</a:t>
            </a:fld>
            <a:endParaRPr lang="en-US" sz="1600" b="1" i="0" u="none" strike="noStrike">
              <a:solidFill>
                <a:srgbClr val="000000"/>
              </a:solidFill>
              <a:latin typeface="Calibri"/>
              <a:ea typeface="+mn-ea"/>
              <a:cs typeface="Calibri"/>
            </a:endParaRPr>
          </a:p>
        </xdr:txBody>
      </xdr:sp>
    </xdr:grpSp>
    <xdr:clientData/>
  </xdr:twoCellAnchor>
  <xdr:twoCellAnchor>
    <xdr:from>
      <xdr:col>16</xdr:col>
      <xdr:colOff>449580</xdr:colOff>
      <xdr:row>1</xdr:row>
      <xdr:rowOff>53340</xdr:rowOff>
    </xdr:from>
    <xdr:to>
      <xdr:col>18</xdr:col>
      <xdr:colOff>495300</xdr:colOff>
      <xdr:row>3</xdr:row>
      <xdr:rowOff>76200</xdr:rowOff>
    </xdr:to>
    <xdr:sp macro="" textlink="">
      <xdr:nvSpPr>
        <xdr:cNvPr id="61" name="Rectangle: Rounded Corners 60">
          <a:hlinkClick xmlns:r="http://schemas.openxmlformats.org/officeDocument/2006/relationships" r:id="rId1"/>
          <a:extLst>
            <a:ext uri="{FF2B5EF4-FFF2-40B4-BE49-F238E27FC236}">
              <a16:creationId xmlns:a16="http://schemas.microsoft.com/office/drawing/2014/main" id="{AF09B0B0-026E-755F-3E61-8F056472BEDF}"/>
            </a:ext>
          </a:extLst>
        </xdr:cNvPr>
        <xdr:cNvSpPr/>
      </xdr:nvSpPr>
      <xdr:spPr>
        <a:xfrm>
          <a:off x="10203180" y="236220"/>
          <a:ext cx="1264920" cy="388620"/>
        </a:xfrm>
        <a:prstGeom prst="roundRect">
          <a:avLst/>
        </a:prstGeom>
        <a:solidFill>
          <a:schemeClr val="accent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t>SALES</a:t>
          </a:r>
          <a:r>
            <a:rPr lang="en-US" sz="1200" b="1" baseline="0"/>
            <a:t> DATA</a:t>
          </a:r>
          <a:endParaRPr lang="en-US" sz="1200" b="1"/>
        </a:p>
      </xdr:txBody>
    </xdr:sp>
    <xdr:clientData/>
  </xdr:twoCellAnchor>
  <xdr:twoCellAnchor>
    <xdr:from>
      <xdr:col>14</xdr:col>
      <xdr:colOff>106680</xdr:colOff>
      <xdr:row>1</xdr:row>
      <xdr:rowOff>53340</xdr:rowOff>
    </xdr:from>
    <xdr:to>
      <xdr:col>16</xdr:col>
      <xdr:colOff>312420</xdr:colOff>
      <xdr:row>3</xdr:row>
      <xdr:rowOff>76200</xdr:rowOff>
    </xdr:to>
    <xdr:sp macro="" textlink="">
      <xdr:nvSpPr>
        <xdr:cNvPr id="62" name="Rectangle: Rounded Corners 61">
          <a:hlinkClick xmlns:r="http://schemas.openxmlformats.org/officeDocument/2006/relationships" r:id="rId2"/>
          <a:extLst>
            <a:ext uri="{FF2B5EF4-FFF2-40B4-BE49-F238E27FC236}">
              <a16:creationId xmlns:a16="http://schemas.microsoft.com/office/drawing/2014/main" id="{CF0808F7-05EC-EDD6-82B0-D99778C088C9}"/>
            </a:ext>
          </a:extLst>
        </xdr:cNvPr>
        <xdr:cNvSpPr/>
      </xdr:nvSpPr>
      <xdr:spPr>
        <a:xfrm>
          <a:off x="8641080" y="236220"/>
          <a:ext cx="1424940" cy="388620"/>
        </a:xfrm>
        <a:prstGeom prst="roundRect">
          <a:avLst/>
        </a:prstGeom>
        <a:solidFill>
          <a:schemeClr val="accent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t>ALL</a:t>
          </a:r>
          <a:r>
            <a:rPr lang="en-US" sz="1200" b="1" baseline="0"/>
            <a:t> PIVOT TABLES</a:t>
          </a:r>
          <a:endParaRPr lang="en-US" sz="1200" b="1"/>
        </a:p>
      </xdr:txBody>
    </xdr:sp>
    <xdr:clientData/>
  </xdr:twoCellAnchor>
  <xdr:twoCellAnchor>
    <xdr:from>
      <xdr:col>0</xdr:col>
      <xdr:colOff>450242</xdr:colOff>
      <xdr:row>10</xdr:row>
      <xdr:rowOff>12310</xdr:rowOff>
    </xdr:from>
    <xdr:to>
      <xdr:col>9</xdr:col>
      <xdr:colOff>525780</xdr:colOff>
      <xdr:row>23</xdr:row>
      <xdr:rowOff>15240</xdr:rowOff>
    </xdr:to>
    <xdr:grpSp>
      <xdr:nvGrpSpPr>
        <xdr:cNvPr id="66" name="Group 65">
          <a:extLst>
            <a:ext uri="{FF2B5EF4-FFF2-40B4-BE49-F238E27FC236}">
              <a16:creationId xmlns:a16="http://schemas.microsoft.com/office/drawing/2014/main" id="{985080EF-0335-FEBE-7027-40BD3688AD9C}"/>
            </a:ext>
          </a:extLst>
        </xdr:cNvPr>
        <xdr:cNvGrpSpPr/>
      </xdr:nvGrpSpPr>
      <xdr:grpSpPr>
        <a:xfrm>
          <a:off x="450242" y="1832011"/>
          <a:ext cx="5602881" cy="2368542"/>
          <a:chOff x="518160" y="1784839"/>
          <a:chExt cx="4396739" cy="2130083"/>
        </a:xfrm>
      </xdr:grpSpPr>
      <xdr:sp macro="" textlink="">
        <xdr:nvSpPr>
          <xdr:cNvPr id="65" name="Rectangle: Rounded Corners 64">
            <a:extLst>
              <a:ext uri="{FF2B5EF4-FFF2-40B4-BE49-F238E27FC236}">
                <a16:creationId xmlns:a16="http://schemas.microsoft.com/office/drawing/2014/main" id="{11264F76-50EE-CD13-AABA-1FC9720331FB}"/>
              </a:ext>
            </a:extLst>
          </xdr:cNvPr>
          <xdr:cNvSpPr/>
        </xdr:nvSpPr>
        <xdr:spPr>
          <a:xfrm>
            <a:off x="518160" y="1784839"/>
            <a:ext cx="4396739" cy="2130083"/>
          </a:xfrm>
          <a:prstGeom prst="roundRect">
            <a:avLst>
              <a:gd name="adj" fmla="val 8866"/>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graphicFrame macro="">
        <xdr:nvGraphicFramePr>
          <xdr:cNvPr id="64" name="Chart 63">
            <a:extLst>
              <a:ext uri="{FF2B5EF4-FFF2-40B4-BE49-F238E27FC236}">
                <a16:creationId xmlns:a16="http://schemas.microsoft.com/office/drawing/2014/main" id="{45501F90-6003-4263-AC15-103A003334B0}"/>
              </a:ext>
            </a:extLst>
          </xdr:cNvPr>
          <xdr:cNvGraphicFramePr>
            <a:graphicFrameLocks/>
          </xdr:cNvGraphicFramePr>
        </xdr:nvGraphicFramePr>
        <xdr:xfrm>
          <a:off x="594360" y="2026118"/>
          <a:ext cx="4213860" cy="1850162"/>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10</xdr:col>
      <xdr:colOff>152400</xdr:colOff>
      <xdr:row>10</xdr:row>
      <xdr:rowOff>30479</xdr:rowOff>
    </xdr:from>
    <xdr:to>
      <xdr:col>19</xdr:col>
      <xdr:colOff>76861</xdr:colOff>
      <xdr:row>23</xdr:row>
      <xdr:rowOff>15240</xdr:rowOff>
    </xdr:to>
    <xdr:grpSp>
      <xdr:nvGrpSpPr>
        <xdr:cNvPr id="8" name="Group 7">
          <a:extLst>
            <a:ext uri="{FF2B5EF4-FFF2-40B4-BE49-F238E27FC236}">
              <a16:creationId xmlns:a16="http://schemas.microsoft.com/office/drawing/2014/main" id="{BB34F136-41E1-4AA2-E141-50D4FAD31A7F}"/>
            </a:ext>
          </a:extLst>
        </xdr:cNvPr>
        <xdr:cNvGrpSpPr/>
      </xdr:nvGrpSpPr>
      <xdr:grpSpPr>
        <a:xfrm>
          <a:off x="6293893" y="1850180"/>
          <a:ext cx="5451804" cy="2350373"/>
          <a:chOff x="6248400" y="1823420"/>
          <a:chExt cx="5410861" cy="2315585"/>
        </a:xfrm>
      </xdr:grpSpPr>
      <xdr:sp macro="" textlink="">
        <xdr:nvSpPr>
          <xdr:cNvPr id="68" name="Rectangle: Rounded Corners 67">
            <a:extLst>
              <a:ext uri="{FF2B5EF4-FFF2-40B4-BE49-F238E27FC236}">
                <a16:creationId xmlns:a16="http://schemas.microsoft.com/office/drawing/2014/main" id="{5E42C20B-4BC0-578C-8FC4-E560948EE79A}"/>
              </a:ext>
            </a:extLst>
          </xdr:cNvPr>
          <xdr:cNvSpPr/>
        </xdr:nvSpPr>
        <xdr:spPr>
          <a:xfrm>
            <a:off x="6248400" y="1823420"/>
            <a:ext cx="5410861" cy="2315585"/>
          </a:xfrm>
          <a:prstGeom prst="roundRect">
            <a:avLst>
              <a:gd name="adj" fmla="val 8866"/>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graphicFrame macro="">
        <xdr:nvGraphicFramePr>
          <xdr:cNvPr id="2" name="Chart 1">
            <a:extLst>
              <a:ext uri="{FF2B5EF4-FFF2-40B4-BE49-F238E27FC236}">
                <a16:creationId xmlns:a16="http://schemas.microsoft.com/office/drawing/2014/main" id="{5D976049-0F8D-439C-AA8C-F89BBBEC91E6}"/>
              </a:ext>
            </a:extLst>
          </xdr:cNvPr>
          <xdr:cNvGraphicFramePr>
            <a:graphicFrameLocks/>
          </xdr:cNvGraphicFramePr>
        </xdr:nvGraphicFramePr>
        <xdr:xfrm>
          <a:off x="6364941" y="2084858"/>
          <a:ext cx="5181600" cy="2038907"/>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0</xdr:col>
      <xdr:colOff>477136</xdr:colOff>
      <xdr:row>24</xdr:row>
      <xdr:rowOff>137816</xdr:rowOff>
    </xdr:from>
    <xdr:to>
      <xdr:col>6</xdr:col>
      <xdr:colOff>385482</xdr:colOff>
      <xdr:row>38</xdr:row>
      <xdr:rowOff>110067</xdr:rowOff>
    </xdr:to>
    <xdr:grpSp>
      <xdr:nvGrpSpPr>
        <xdr:cNvPr id="17" name="Group 16">
          <a:extLst>
            <a:ext uri="{FF2B5EF4-FFF2-40B4-BE49-F238E27FC236}">
              <a16:creationId xmlns:a16="http://schemas.microsoft.com/office/drawing/2014/main" id="{ACA940FA-9A84-840E-7B40-09CF588C3CDE}"/>
            </a:ext>
          </a:extLst>
        </xdr:cNvPr>
        <xdr:cNvGrpSpPr/>
      </xdr:nvGrpSpPr>
      <xdr:grpSpPr>
        <a:xfrm>
          <a:off x="477136" y="4505100"/>
          <a:ext cx="3593242" cy="2519833"/>
          <a:chOff x="477136" y="4440875"/>
          <a:chExt cx="5546698" cy="2379474"/>
        </a:xfrm>
      </xdr:grpSpPr>
      <xdr:sp macro="" textlink="">
        <xdr:nvSpPr>
          <xdr:cNvPr id="15" name="Rectangle: Rounded Corners 14">
            <a:extLst>
              <a:ext uri="{FF2B5EF4-FFF2-40B4-BE49-F238E27FC236}">
                <a16:creationId xmlns:a16="http://schemas.microsoft.com/office/drawing/2014/main" id="{2962EC6A-83E4-66BF-87B1-ABC6BD889E48}"/>
              </a:ext>
            </a:extLst>
          </xdr:cNvPr>
          <xdr:cNvSpPr/>
        </xdr:nvSpPr>
        <xdr:spPr>
          <a:xfrm>
            <a:off x="477136" y="4440875"/>
            <a:ext cx="5546698" cy="2379474"/>
          </a:xfrm>
          <a:prstGeom prst="roundRect">
            <a:avLst>
              <a:gd name="adj" fmla="val 8866"/>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graphicFrame macro="">
        <xdr:nvGraphicFramePr>
          <xdr:cNvPr id="10" name="Chart 9">
            <a:extLst>
              <a:ext uri="{FF2B5EF4-FFF2-40B4-BE49-F238E27FC236}">
                <a16:creationId xmlns:a16="http://schemas.microsoft.com/office/drawing/2014/main" id="{C393BF5A-1FAB-4E42-B404-5503D625867C}"/>
              </a:ext>
            </a:extLst>
          </xdr:cNvPr>
          <xdr:cNvGraphicFramePr>
            <a:graphicFrameLocks/>
          </xdr:cNvGraphicFramePr>
        </xdr:nvGraphicFramePr>
        <xdr:xfrm>
          <a:off x="635768" y="4705155"/>
          <a:ext cx="5155896" cy="2054737"/>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13</xdr:col>
      <xdr:colOff>224118</xdr:colOff>
      <xdr:row>25</xdr:row>
      <xdr:rowOff>666</xdr:rowOff>
    </xdr:from>
    <xdr:to>
      <xdr:col>19</xdr:col>
      <xdr:colOff>59268</xdr:colOff>
      <xdr:row>38</xdr:row>
      <xdr:rowOff>101599</xdr:rowOff>
    </xdr:to>
    <xdr:grpSp>
      <xdr:nvGrpSpPr>
        <xdr:cNvPr id="41" name="Group 40">
          <a:extLst>
            <a:ext uri="{FF2B5EF4-FFF2-40B4-BE49-F238E27FC236}">
              <a16:creationId xmlns:a16="http://schemas.microsoft.com/office/drawing/2014/main" id="{EC290D55-0C2E-C130-0397-58ECBE442B82}"/>
            </a:ext>
          </a:extLst>
        </xdr:cNvPr>
        <xdr:cNvGrpSpPr/>
      </xdr:nvGrpSpPr>
      <xdr:grpSpPr>
        <a:xfrm>
          <a:off x="8208058" y="4549920"/>
          <a:ext cx="3520046" cy="2466545"/>
          <a:chOff x="8348133" y="4638927"/>
          <a:chExt cx="3293535" cy="2512829"/>
        </a:xfrm>
      </xdr:grpSpPr>
      <xdr:sp macro="" textlink="">
        <xdr:nvSpPr>
          <xdr:cNvPr id="36" name="Rectangle: Rounded Corners 35">
            <a:extLst>
              <a:ext uri="{FF2B5EF4-FFF2-40B4-BE49-F238E27FC236}">
                <a16:creationId xmlns:a16="http://schemas.microsoft.com/office/drawing/2014/main" id="{85072B75-C233-B725-642B-CD788336CAF6}"/>
              </a:ext>
            </a:extLst>
          </xdr:cNvPr>
          <xdr:cNvSpPr/>
        </xdr:nvSpPr>
        <xdr:spPr>
          <a:xfrm>
            <a:off x="8348133" y="4638927"/>
            <a:ext cx="3293535" cy="2512829"/>
          </a:xfrm>
          <a:prstGeom prst="roundRect">
            <a:avLst>
              <a:gd name="adj" fmla="val 8866"/>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mc:AlternateContent xmlns:mc="http://schemas.openxmlformats.org/markup-compatibility/2006">
        <mc:Choice xmlns:cx4="http://schemas.microsoft.com/office/drawing/2016/5/10/chartex" Requires="cx4">
          <xdr:graphicFrame macro="">
            <xdr:nvGraphicFramePr>
              <xdr:cNvPr id="24" name="Chart 23">
                <a:extLst>
                  <a:ext uri="{FF2B5EF4-FFF2-40B4-BE49-F238E27FC236}">
                    <a16:creationId xmlns:a16="http://schemas.microsoft.com/office/drawing/2014/main" id="{F180291C-CFE4-4F7E-BF1E-02B7342B50C0}"/>
                  </a:ext>
                </a:extLst>
              </xdr:cNvPr>
              <xdr:cNvGraphicFramePr/>
            </xdr:nvGraphicFramePr>
            <xdr:xfrm>
              <a:off x="8348133" y="5016823"/>
              <a:ext cx="3260771" cy="2011258"/>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8348133" y="5016823"/>
                <a:ext cx="3260771" cy="201125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0</xdr:col>
      <xdr:colOff>556260</xdr:colOff>
      <xdr:row>10</xdr:row>
      <xdr:rowOff>68580</xdr:rowOff>
    </xdr:from>
    <xdr:to>
      <xdr:col>4</xdr:col>
      <xdr:colOff>304800</xdr:colOff>
      <xdr:row>11</xdr:row>
      <xdr:rowOff>167640</xdr:rowOff>
    </xdr:to>
    <xdr:sp macro="" textlink="">
      <xdr:nvSpPr>
        <xdr:cNvPr id="43" name="Rectangle: Rounded Corners 42">
          <a:extLst>
            <a:ext uri="{FF2B5EF4-FFF2-40B4-BE49-F238E27FC236}">
              <a16:creationId xmlns:a16="http://schemas.microsoft.com/office/drawing/2014/main" id="{F600915B-0285-1BEA-5B94-0EC2655C53BE}"/>
            </a:ext>
          </a:extLst>
        </xdr:cNvPr>
        <xdr:cNvSpPr/>
      </xdr:nvSpPr>
      <xdr:spPr>
        <a:xfrm>
          <a:off x="556260" y="1897380"/>
          <a:ext cx="2186940" cy="28194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MONTHLY REVENUE</a:t>
          </a:r>
          <a:r>
            <a:rPr lang="en-US" sz="1100" baseline="0"/>
            <a:t> AND PROFIT</a:t>
          </a:r>
          <a:endParaRPr lang="en-US" sz="1100"/>
        </a:p>
      </xdr:txBody>
    </xdr:sp>
    <xdr:clientData/>
  </xdr:twoCellAnchor>
  <xdr:twoCellAnchor>
    <xdr:from>
      <xdr:col>7</xdr:col>
      <xdr:colOff>34364</xdr:colOff>
      <xdr:row>24</xdr:row>
      <xdr:rowOff>142371</xdr:rowOff>
    </xdr:from>
    <xdr:to>
      <xdr:col>12</xdr:col>
      <xdr:colOff>584697</xdr:colOff>
      <xdr:row>38</xdr:row>
      <xdr:rowOff>100106</xdr:rowOff>
    </xdr:to>
    <xdr:grpSp>
      <xdr:nvGrpSpPr>
        <xdr:cNvPr id="21" name="Group 20">
          <a:extLst>
            <a:ext uri="{FF2B5EF4-FFF2-40B4-BE49-F238E27FC236}">
              <a16:creationId xmlns:a16="http://schemas.microsoft.com/office/drawing/2014/main" id="{9D96A6EC-05EC-C470-5072-87591737B543}"/>
            </a:ext>
          </a:extLst>
        </xdr:cNvPr>
        <xdr:cNvGrpSpPr/>
      </xdr:nvGrpSpPr>
      <xdr:grpSpPr>
        <a:xfrm>
          <a:off x="4333409" y="4509655"/>
          <a:ext cx="3621079" cy="2505317"/>
          <a:chOff x="4274670" y="4463359"/>
          <a:chExt cx="3598333" cy="2467852"/>
        </a:xfrm>
      </xdr:grpSpPr>
      <xdr:grpSp>
        <xdr:nvGrpSpPr>
          <xdr:cNvPr id="23" name="Group 22">
            <a:extLst>
              <a:ext uri="{FF2B5EF4-FFF2-40B4-BE49-F238E27FC236}">
                <a16:creationId xmlns:a16="http://schemas.microsoft.com/office/drawing/2014/main" id="{AD7BC1BF-68AC-491F-8638-90AA2F213C6A}"/>
              </a:ext>
            </a:extLst>
          </xdr:cNvPr>
          <xdr:cNvGrpSpPr/>
        </xdr:nvGrpSpPr>
        <xdr:grpSpPr>
          <a:xfrm>
            <a:off x="4274670" y="4463359"/>
            <a:ext cx="3598333" cy="2467852"/>
            <a:chOff x="6899708" y="4492102"/>
            <a:chExt cx="3670321" cy="2460157"/>
          </a:xfrm>
        </xdr:grpSpPr>
        <xdr:sp macro="" textlink="">
          <xdr:nvSpPr>
            <xdr:cNvPr id="20" name="Rectangle: Rounded Corners 19">
              <a:extLst>
                <a:ext uri="{FF2B5EF4-FFF2-40B4-BE49-F238E27FC236}">
                  <a16:creationId xmlns:a16="http://schemas.microsoft.com/office/drawing/2014/main" id="{900FE019-7CC4-044A-4931-71E1CC64799D}"/>
                </a:ext>
              </a:extLst>
            </xdr:cNvPr>
            <xdr:cNvSpPr/>
          </xdr:nvSpPr>
          <xdr:spPr>
            <a:xfrm>
              <a:off x="6899708" y="4492102"/>
              <a:ext cx="3670321" cy="2460157"/>
            </a:xfrm>
            <a:prstGeom prst="roundRect">
              <a:avLst>
                <a:gd name="adj" fmla="val 8866"/>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graphicFrame macro="">
          <xdr:nvGraphicFramePr>
            <xdr:cNvPr id="18" name="Chart 17">
              <a:extLst>
                <a:ext uri="{FF2B5EF4-FFF2-40B4-BE49-F238E27FC236}">
                  <a16:creationId xmlns:a16="http://schemas.microsoft.com/office/drawing/2014/main" id="{FFEEC9CF-1599-4CD8-8605-816581731BCB}"/>
                </a:ext>
              </a:extLst>
            </xdr:cNvPr>
            <xdr:cNvGraphicFramePr>
              <a:graphicFrameLocks/>
            </xdr:cNvGraphicFramePr>
          </xdr:nvGraphicFramePr>
          <xdr:xfrm>
            <a:off x="7039430" y="4728748"/>
            <a:ext cx="3386666" cy="2191099"/>
          </xdr:xfrm>
          <a:graphic>
            <a:graphicData uri="http://schemas.openxmlformats.org/drawingml/2006/chart">
              <c:chart xmlns:c="http://schemas.openxmlformats.org/drawingml/2006/chart" xmlns:r="http://schemas.openxmlformats.org/officeDocument/2006/relationships" r:id="rId7"/>
            </a:graphicData>
          </a:graphic>
        </xdr:graphicFrame>
      </xdr:grpSp>
      <xdr:sp macro="" textlink="">
        <xdr:nvSpPr>
          <xdr:cNvPr id="44" name="Rectangle: Rounded Corners 43">
            <a:extLst>
              <a:ext uri="{FF2B5EF4-FFF2-40B4-BE49-F238E27FC236}">
                <a16:creationId xmlns:a16="http://schemas.microsoft.com/office/drawing/2014/main" id="{791D0098-7B20-DDBE-ED0C-10333B36C6B6}"/>
              </a:ext>
            </a:extLst>
          </xdr:cNvPr>
          <xdr:cNvSpPr/>
        </xdr:nvSpPr>
        <xdr:spPr>
          <a:xfrm>
            <a:off x="4381500" y="4535693"/>
            <a:ext cx="2186940" cy="27835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REGION</a:t>
            </a:r>
            <a:r>
              <a:rPr lang="en-US" sz="1100" baseline="0"/>
              <a:t> WISE COMPARISION</a:t>
            </a:r>
            <a:endParaRPr lang="en-US" sz="1100"/>
          </a:p>
        </xdr:txBody>
      </xdr:sp>
    </xdr:grpSp>
    <xdr:clientData/>
  </xdr:twoCellAnchor>
  <xdr:twoCellAnchor>
    <xdr:from>
      <xdr:col>0</xdr:col>
      <xdr:colOff>556260</xdr:colOff>
      <xdr:row>25</xdr:row>
      <xdr:rowOff>30480</xdr:rowOff>
    </xdr:from>
    <xdr:to>
      <xdr:col>4</xdr:col>
      <xdr:colOff>304800</xdr:colOff>
      <xdr:row>26</xdr:row>
      <xdr:rowOff>129540</xdr:rowOff>
    </xdr:to>
    <xdr:sp macro="" textlink="">
      <xdr:nvSpPr>
        <xdr:cNvPr id="45" name="Rectangle: Rounded Corners 44">
          <a:extLst>
            <a:ext uri="{FF2B5EF4-FFF2-40B4-BE49-F238E27FC236}">
              <a16:creationId xmlns:a16="http://schemas.microsoft.com/office/drawing/2014/main" id="{3DA4849D-2DC3-71AA-4224-B2CEC1EA8E29}"/>
            </a:ext>
          </a:extLst>
        </xdr:cNvPr>
        <xdr:cNvSpPr/>
      </xdr:nvSpPr>
      <xdr:spPr>
        <a:xfrm>
          <a:off x="556260" y="4602480"/>
          <a:ext cx="2186940" cy="28194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REVENUE</a:t>
          </a:r>
          <a:r>
            <a:rPr lang="en-US" sz="1100" baseline="0"/>
            <a:t> SHARE BY CHANNEL</a:t>
          </a:r>
          <a:endParaRPr lang="en-US" sz="1100"/>
        </a:p>
      </xdr:txBody>
    </xdr:sp>
    <xdr:clientData/>
  </xdr:twoCellAnchor>
  <xdr:twoCellAnchor>
    <xdr:from>
      <xdr:col>10</xdr:col>
      <xdr:colOff>274320</xdr:colOff>
      <xdr:row>10</xdr:row>
      <xdr:rowOff>76200</xdr:rowOff>
    </xdr:from>
    <xdr:to>
      <xdr:col>14</xdr:col>
      <xdr:colOff>22860</xdr:colOff>
      <xdr:row>11</xdr:row>
      <xdr:rowOff>175260</xdr:rowOff>
    </xdr:to>
    <xdr:sp macro="" textlink="">
      <xdr:nvSpPr>
        <xdr:cNvPr id="46" name="Rectangle: Rounded Corners 45">
          <a:extLst>
            <a:ext uri="{FF2B5EF4-FFF2-40B4-BE49-F238E27FC236}">
              <a16:creationId xmlns:a16="http://schemas.microsoft.com/office/drawing/2014/main" id="{4FC57FE6-78A3-5759-AC62-9B824720378E}"/>
            </a:ext>
          </a:extLst>
        </xdr:cNvPr>
        <xdr:cNvSpPr/>
      </xdr:nvSpPr>
      <xdr:spPr>
        <a:xfrm>
          <a:off x="6370320" y="1905000"/>
          <a:ext cx="2186940" cy="28194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TOP</a:t>
          </a:r>
          <a:r>
            <a:rPr lang="en-US" sz="1100" baseline="0"/>
            <a:t> 5 COUNTRIES BY REVENUE</a:t>
          </a:r>
          <a:endParaRPr lang="en-US" sz="1100"/>
        </a:p>
      </xdr:txBody>
    </xdr:sp>
    <xdr:clientData/>
  </xdr:twoCellAnchor>
  <xdr:twoCellAnchor>
    <xdr:from>
      <xdr:col>13</xdr:col>
      <xdr:colOff>365760</xdr:colOff>
      <xdr:row>25</xdr:row>
      <xdr:rowOff>60960</xdr:rowOff>
    </xdr:from>
    <xdr:to>
      <xdr:col>17</xdr:col>
      <xdr:colOff>114300</xdr:colOff>
      <xdr:row>26</xdr:row>
      <xdr:rowOff>160020</xdr:rowOff>
    </xdr:to>
    <xdr:sp macro="" textlink="">
      <xdr:nvSpPr>
        <xdr:cNvPr id="47" name="Rectangle: Rounded Corners 46">
          <a:extLst>
            <a:ext uri="{FF2B5EF4-FFF2-40B4-BE49-F238E27FC236}">
              <a16:creationId xmlns:a16="http://schemas.microsoft.com/office/drawing/2014/main" id="{64E07926-4438-7EEA-BE01-FBD77D9E5243}"/>
            </a:ext>
          </a:extLst>
        </xdr:cNvPr>
        <xdr:cNvSpPr/>
      </xdr:nvSpPr>
      <xdr:spPr>
        <a:xfrm>
          <a:off x="8290560" y="4632960"/>
          <a:ext cx="2186940" cy="28194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COUNTRY</a:t>
          </a:r>
          <a:r>
            <a:rPr lang="en-US" sz="1100" baseline="0"/>
            <a:t> WISE MAP CHART</a:t>
          </a:r>
          <a:endParaRPr lang="en-US" sz="1100"/>
        </a:p>
      </xdr:txBody>
    </xdr:sp>
    <xdr:clientData/>
  </xdr:twoCellAnchor>
  <xdr:twoCellAnchor editAs="oneCell">
    <xdr:from>
      <xdr:col>19</xdr:col>
      <xdr:colOff>303519</xdr:colOff>
      <xdr:row>2</xdr:row>
      <xdr:rowOff>2547</xdr:rowOff>
    </xdr:from>
    <xdr:to>
      <xdr:col>23</xdr:col>
      <xdr:colOff>34578</xdr:colOff>
      <xdr:row>11</xdr:row>
      <xdr:rowOff>83282</xdr:rowOff>
    </xdr:to>
    <mc:AlternateContent xmlns:mc="http://schemas.openxmlformats.org/markup-compatibility/2006" xmlns:a14="http://schemas.microsoft.com/office/drawing/2010/main">
      <mc:Choice Requires="a14">
        <xdr:graphicFrame macro="">
          <xdr:nvGraphicFramePr>
            <xdr:cNvPr id="49" name="Product Category">
              <a:extLst>
                <a:ext uri="{FF2B5EF4-FFF2-40B4-BE49-F238E27FC236}">
                  <a16:creationId xmlns:a16="http://schemas.microsoft.com/office/drawing/2014/main" id="{7108E45D-6C06-7D34-B582-F439EC8962E5}"/>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1885919" y="372661"/>
              <a:ext cx="2169459" cy="1746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315720</xdr:colOff>
      <xdr:row>13</xdr:row>
      <xdr:rowOff>156109</xdr:rowOff>
    </xdr:from>
    <xdr:to>
      <xdr:col>23</xdr:col>
      <xdr:colOff>36625</xdr:colOff>
      <xdr:row>28</xdr:row>
      <xdr:rowOff>141516</xdr:rowOff>
    </xdr:to>
    <mc:AlternateContent xmlns:mc="http://schemas.openxmlformats.org/markup-compatibility/2006" xmlns:a14="http://schemas.microsoft.com/office/drawing/2010/main">
      <mc:Choice Requires="a14">
        <xdr:graphicFrame macro="">
          <xdr:nvGraphicFramePr>
            <xdr:cNvPr id="4" name="Country">
              <a:extLst>
                <a:ext uri="{FF2B5EF4-FFF2-40B4-BE49-F238E27FC236}">
                  <a16:creationId xmlns:a16="http://schemas.microsoft.com/office/drawing/2014/main" id="{2C5ED4CB-0C5F-ADB5-42D5-7FC158A191EA}"/>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1898120" y="2561852"/>
              <a:ext cx="2159305" cy="27612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284602</xdr:colOff>
      <xdr:row>30</xdr:row>
      <xdr:rowOff>133299</xdr:rowOff>
    </xdr:from>
    <xdr:to>
      <xdr:col>22</xdr:col>
      <xdr:colOff>596747</xdr:colOff>
      <xdr:row>35</xdr:row>
      <xdr:rowOff>171860</xdr:rowOff>
    </xdr:to>
    <mc:AlternateContent xmlns:mc="http://schemas.openxmlformats.org/markup-compatibility/2006" xmlns:a14="http://schemas.microsoft.com/office/drawing/2010/main">
      <mc:Choice Requires="a14">
        <xdr:graphicFrame macro="">
          <xdr:nvGraphicFramePr>
            <xdr:cNvPr id="11" name="QUARTER">
              <a:extLst>
                <a:ext uri="{FF2B5EF4-FFF2-40B4-BE49-F238E27FC236}">
                  <a16:creationId xmlns:a16="http://schemas.microsoft.com/office/drawing/2014/main" id="{26F124D7-684B-0F74-BB2F-F3081CD8C606}"/>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1867002" y="5685013"/>
              <a:ext cx="2140945" cy="9638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unar" refreshedDate="46311.915334375" createdVersion="8" refreshedVersion="8" minRefreshableVersion="3" recordCount="500" xr:uid="{9AFDB11B-B549-48F2-88D9-4F1F59C0E083}">
  <cacheSource type="worksheet">
    <worksheetSource name="Table3"/>
  </cacheSource>
  <cacheFields count="20">
    <cacheField name="ID" numFmtId="0">
      <sharedItems containsSemiMixedTypes="0" containsString="0" containsNumber="1" containsInteger="1" minValue="1001" maxValue="1500"/>
    </cacheField>
    <cacheField name="Order Date" numFmtId="14">
      <sharedItems containsSemiMixedTypes="0" containsNonDate="0" containsDate="1" containsString="0" minDate="2026-01-01T00:00:00" maxDate="2026-06-30T00:00:00"/>
    </cacheField>
    <cacheField name="YEAR" numFmtId="0">
      <sharedItems containsSemiMixedTypes="0" containsString="0" containsNumber="1" containsInteger="1" minValue="2026" maxValue="2026"/>
    </cacheField>
    <cacheField name="QUARTER" numFmtId="0">
      <sharedItems containsSemiMixedTypes="0" containsString="0" containsNumber="1" containsInteger="1" minValue="1" maxValue="2" count="2">
        <n v="1"/>
        <n v="2"/>
      </sharedItems>
    </cacheField>
    <cacheField name="MONTH #" numFmtId="0">
      <sharedItems containsSemiMixedTypes="0" containsString="0" containsNumber="1" containsInteger="1" minValue="1" maxValue="6"/>
    </cacheField>
    <cacheField name="MONTH" numFmtId="0">
      <sharedItems count="6">
        <s v="Jan"/>
        <s v="Feb"/>
        <s v="Mar"/>
        <s v="Apr"/>
        <s v="May"/>
        <s v="Jun"/>
      </sharedItems>
    </cacheField>
    <cacheField name="Region" numFmtId="0">
      <sharedItems count="4">
        <s v="Central Europe"/>
        <s v="Southern Europe"/>
        <s v="Western Europe"/>
        <s v="Northern Europe"/>
      </sharedItems>
    </cacheField>
    <cacheField name="Country" numFmtId="0">
      <sharedItems count="15">
        <s v="Germany"/>
        <s v="Austria"/>
        <s v="Portugal"/>
        <s v="Italy"/>
        <s v="United Kingdom"/>
        <s v="Switzerland"/>
        <s v="Sweden"/>
        <s v="Finland"/>
        <s v="Netherlands"/>
        <s v="Czechia"/>
        <s v="France"/>
        <s v="Denmark"/>
        <s v="Spain"/>
        <s v="Ireland"/>
        <s v="Belgium"/>
      </sharedItems>
    </cacheField>
    <cacheField name="Sales Channel" numFmtId="0">
      <sharedItems count="4">
        <s v="Marketplace"/>
        <s v="Online Store"/>
        <s v="Corporate"/>
        <s v="Retail Partners"/>
      </sharedItems>
    </cacheField>
    <cacheField name="Customer Type" numFmtId="0">
      <sharedItems/>
    </cacheField>
    <cacheField name="Product Category" numFmtId="0">
      <sharedItems count="5">
        <s v="Cycling"/>
        <s v="Hiking"/>
        <s v="Camping"/>
        <s v="Fitness"/>
        <s v="Travel"/>
      </sharedItems>
    </cacheField>
    <cacheField name="Product" numFmtId="0">
      <sharedItems count="20">
        <s v="Trail Bike Light"/>
        <s v="Summit Backpack 45L"/>
        <s v="Portable Camp Stove"/>
        <s v="Commuter Helmet"/>
        <s v="Yoga Mat"/>
        <s v="Trekking Poles"/>
        <s v="Trail Tent 2P"/>
        <s v="Travel Organizer"/>
        <s v="Hiking Daypack 20L"/>
        <s v="Alpine Tent 4P"/>
        <s v="Road Cycling Gloves"/>
        <s v="Insulated Bottle"/>
        <s v="Resistance Band Set"/>
        <s v="Cabin Duffel Bag"/>
        <s v="Trail Boots"/>
        <s v="Compact Repair Kit"/>
        <s v="Packing Cube Set"/>
        <s v="Cycling Pack 12L"/>
        <s v="Recovery Roller"/>
        <s v="Weighted Vest"/>
      </sharedItems>
    </cacheField>
    <cacheField name="Units Sold" numFmtId="0">
      <sharedItems containsSemiMixedTypes="0" containsString="0" containsNumber="1" containsInteger="1" minValue="1" maxValue="15"/>
    </cacheField>
    <cacheField name="Unit Price" numFmtId="164">
      <sharedItems containsSemiMixedTypes="0" containsString="0" containsNumber="1" minValue="28.5" maxValue="347.51"/>
    </cacheField>
    <cacheField name="Discount %" numFmtId="9">
      <sharedItems containsSemiMixedTypes="0" containsString="0" containsNumber="1" minValue="0" maxValue="0.2"/>
    </cacheField>
    <cacheField name="Unit Cost" numFmtId="164">
      <sharedItems containsSemiMixedTypes="0" containsString="0" containsNumber="1" minValue="11.5" maxValue="190.16"/>
    </cacheField>
    <cacheField name="Revenue" numFmtId="164">
      <sharedItems containsSemiMixedTypes="0" containsString="0" containsNumber="1" minValue="23.96" maxValue="4865.1399999999994" count="422">
        <n v="424.08000000000004"/>
        <n v="437.16149999999993"/>
        <n v="219.40200000000004"/>
        <n v="976.51400000000012"/>
        <n v="585.072"/>
        <n v="407.42649999999998"/>
        <n v="372.3"/>
        <n v="2526.5499999999997"/>
        <n v="418.83749999999998"/>
        <n v="85.357499999999987"/>
        <n v="536.82600000000002"/>
        <n v="753.44"/>
        <n v="3544.6019999999999"/>
        <n v="1360.45"/>
        <n v="270.75"/>
        <n v="496"/>
        <n v="205.63199999999998"/>
        <n v="420.6225"/>
        <n v="345.09999999999997"/>
        <n v="1349.85"/>
        <n v="566.93700000000001"/>
        <n v="98.97"/>
        <n v="2011.3799999999999"/>
        <n v="143.98400000000001"/>
        <n v="574.42000000000007"/>
        <n v="293.76"/>
        <n v="39.158999999999999"/>
        <n v="179.7"/>
        <n v="48.449999999999996"/>
        <n v="563.88"/>
        <n v="1186.6680000000001"/>
        <n v="1106.326"/>
        <n v="941.80000000000007"/>
        <n v="3336.096"/>
        <n v="461.66399999999999"/>
        <n v="465.20100000000002"/>
        <n v="547.5"/>
        <n v="695.02"/>
        <n v="269.96999999999997"/>
        <n v="697.51"/>
        <n v="354.22200000000004"/>
        <n v="262.8"/>
        <n v="219.24000000000004"/>
        <n v="119.80000000000001"/>
        <n v="421.59999999999997"/>
        <n v="319.53199999999998"/>
        <n v="300.36"/>
        <n v="50.914999999999999"/>
        <n v="239.6"/>
        <n v="182.4"/>
        <n v="525.6"/>
        <n v="828.85200000000009"/>
        <n v="121.80000000000001"/>
        <n v="516.89"/>
        <n v="413.512"/>
        <n v="731.34"/>
        <n v="393.58000000000004"/>
        <n v="359.96"/>
        <n v="1624.61"/>
        <n v="93.075000000000003"/>
        <n v="658.20600000000002"/>
        <n v="511.93800000000005"/>
        <n v="257.03999999999996"/>
        <n v="102.60000000000001"/>
        <n v="28.5"/>
        <n v="1101.3200000000002"/>
        <n v="110.16"/>
        <n v="422.91"/>
        <n v="828.30599999999993"/>
        <n v="325.04000000000002"/>
        <n v="375.92"/>
        <n v="1318.52"/>
        <n v="84.124499999999998"/>
        <n v="764.91499999999996"/>
        <n v="416.09999999999997"/>
        <n v="595.20000000000005"/>
        <n v="93.98"/>
        <n v="2971.2105000000001"/>
        <n v="219"/>
        <n v="874.79"/>
        <n v="400.73600000000005"/>
        <n v="234.95000000000002"/>
        <n v="809.91"/>
        <n v="2147.46"/>
        <n v="935.48400000000004"/>
        <n v="549.78300000000002"/>
        <n v="1457.2049999999997"/>
        <n v="87.600000000000009"/>
        <n v="542.02499999999998"/>
        <n v="66.096000000000004"/>
        <n v="1168.4694999999999"/>
        <n v="351.97499999999997"/>
        <n v="301.37600000000003"/>
        <n v="196.29050000000001"/>
        <n v="1169.8699999999999"/>
        <n v="130.01600000000002"/>
        <n v="2332.1999999999998"/>
        <n v="1035.98"/>
        <n v="1292.4275"/>
        <n v="762.85800000000017"/>
        <n v="1201.44"/>
        <n v="197.94"/>
        <n v="1412.7"/>
        <n v="344.74550000000005"/>
        <n v="54.75"/>
        <n v="406.3"/>
        <n v="897.92300000000012"/>
        <n v="989.89"/>
        <n v="178.56200000000001"/>
        <n v="1554.8"/>
        <n v="129.92000000000002"/>
        <n v="460.16999999999996"/>
        <n v="1073.652"/>
        <n v="851.02"/>
        <n v="445.17599999999999"/>
        <n v="548.1"/>
        <n v="1311.4844999999998"/>
        <n v="775.81799999999998"/>
        <n v="1724.04"/>
        <n v="706.8"/>
        <n v="139.61249999999998"/>
        <n v="1943.5"/>
        <n v="1563.7950000000001"/>
        <n v="314.86400000000003"/>
        <n v="263.92"/>
        <n v="396.8"/>
        <n v="392.58100000000002"/>
        <n v="170.71499999999997"/>
        <n v="29.95"/>
        <n v="136.80000000000001"/>
        <n v="683.92399999999998"/>
        <n v="458.94899999999996"/>
        <n v="1390.04"/>
        <n v="766.94999999999993"/>
        <n v="306.77999999999997"/>
        <n v="170.98099999999999"/>
        <n v="264.38400000000001"/>
        <n v="196.94400000000002"/>
        <n v="599.85599999999999"/>
        <n v="187.96"/>
        <n v="379.04999999999995"/>
        <n v="550.79999999999995"/>
        <n v="483.14"/>
        <n v="373.90100000000001"/>
        <n v="454.72"/>
        <n v="1399.32"/>
        <n v="720.86400000000003"/>
        <n v="1574.2349999999999"/>
        <n v="404.95499999999998"/>
        <n v="431.01"/>
        <n v="857.52700000000004"/>
        <n v="99.2"/>
        <n v="2310.9414999999995"/>
        <n v="449.95"/>
        <n v="874.57500000000005"/>
        <n v="237.52800000000002"/>
        <n v="2098.98"/>
        <n v="381.88800000000003"/>
        <n v="610.59749999999985"/>
        <n v="292.536"/>
        <n v="143.66999999999999"/>
        <n v="1710.28"/>
        <n v="342"/>
        <n v="64.960000000000008"/>
        <n v="380.45600000000002"/>
        <n v="1840.6799999999998"/>
        <n v="1088.3600000000001"/>
        <n v="495.71999999999997"/>
        <n v="312.12"/>
        <n v="89.073000000000008"/>
        <n v="712.32899999999995"/>
        <n v="689.85"/>
        <n v="386.42400000000004"/>
        <n v="230.85"/>
        <n v="133.92149999999998"/>
        <n v="539.93999999999994"/>
        <n v="593.60749999999996"/>
        <n v="32.99"/>
        <n v="694.4"/>
        <n v="114.49600000000001"/>
        <n v="1157.9549999999999"/>
        <n v="2067.6844999999998"/>
        <n v="382.45749999999998"/>
        <n v="312.48"/>
        <n v="800.53000000000009"/>
        <n v="920.33999999999992"/>
        <n v="324.8"/>
        <n v="624.15"/>
        <n v="443.47500000000002"/>
        <n v="257.61600000000004"/>
        <n v="1846.3249999999998"/>
        <n v="82.44"/>
        <n v="3249.2184999999995"/>
        <n v="1910.8109999999997"/>
        <n v="523.25999999999988"/>
        <n v="414.15299999999996"/>
        <n v="1046.2540000000001"/>
        <n v="69.768000000000001"/>
        <n v="1099.7360000000001"/>
        <n v="131.96"/>
        <n v="308.45650000000001"/>
        <n v="545.94599999999991"/>
        <n v="165.24"/>
        <n v="2137.85"/>
        <n v="787.31100000000004"/>
        <n v="1749.1499999999999"/>
        <n v="82.06"/>
        <n v="1299.6880000000001"/>
        <n v="711.75"/>
        <n v="1173.4334999999999"/>
        <n v="674.83799999999997"/>
        <n v="429.62400000000002"/>
        <n v="463.76"/>
        <n v="1227.1199999999999"/>
        <n v="849.16700000000003"/>
        <n v="280.03249999999997"/>
        <n v="184.63249999999999"/>
        <n v="286.24"/>
        <n v="556.01599999999996"/>
        <n v="535.86"/>
        <n v="164.95000000000002"/>
        <n v="1171.404"/>
        <n v="617.57600000000002"/>
        <n v="429.36"/>
        <n v="509.86500000000001"/>
        <n v="1107.8100000000002"/>
        <n v="111.294"/>
        <n v="248"/>
        <n v="56.904999999999994"/>
        <n v="199.16749999999999"/>
        <n v="329.76"/>
        <n v="42.291000000000004"/>
        <n v="1343.3145"/>
        <n v="462.67199999999997"/>
        <n v="403.91999999999996"/>
        <n v="364.95600000000002"/>
        <n v="374.90999999999997"/>
        <n v="400.48"/>
        <n v="376.72"/>
        <n v="1305.9365"/>
        <n v="357.12400000000002"/>
        <n v="389.34999999999997"/>
        <n v="411.26399999999995"/>
        <n v="152.74499999999998"/>
        <n v="312.07499999999999"/>
        <n v="127.28749999999999"/>
        <n v="3127.59"/>
        <n v="77.956999999999994"/>
        <n v="32.480000000000004"/>
        <n v="336.49799999999999"/>
        <n v="276.10199999999998"/>
        <n v="45.6"/>
        <n v="427.5"/>
        <n v="419.3"/>
        <n v="231.59100000000001"/>
        <n v="960.10199999999998"/>
        <n v="328.5"/>
        <n v="26.392000000000003"/>
        <n v="568.4"/>
        <n v="369.27000000000004"/>
        <n v="220.32"/>
        <n v="2623.7249999999999"/>
        <n v="459.53600000000006"/>
        <n v="455.05600000000004"/>
        <n v="2030.9574999999998"/>
        <n v="1533.8999999999999"/>
        <n v="556.47"/>
        <n v="216.6"/>
        <n v="613.55999999999995"/>
        <n v="242.25"/>
        <n v="1301.56"/>
        <n v="329.45"/>
        <n v="131.4"/>
        <n v="315.33300000000003"/>
        <n v="1499.6399999999999"/>
        <n v="145.35"/>
        <n v="89.281000000000006"/>
        <n v="591.30000000000007"/>
        <n v="23.96"/>
        <n v="984.72000000000014"/>
        <n v="669.60749999999996"/>
        <n v="383.72399999999993"/>
        <n v="296.91000000000003"/>
        <n v="1465.434"/>
        <n v="4517.63"/>
        <n v="2176.7200000000003"/>
        <n v="2814.8310000000001"/>
        <n v="2070.7649999999999"/>
        <n v="1224.3400000000001"/>
        <n v="446.6"/>
        <n v="715.76800000000003"/>
        <n v="278.00799999999998"/>
        <n v="243.60000000000002"/>
        <n v="410.3"/>
        <n v="777.40000000000009"/>
        <n v="812.39400000000012"/>
        <n v="1694.9594999999997"/>
        <n v="72.674999999999997"/>
        <n v="369.26499999999999"/>
        <n v="1331.596"/>
        <n v="138.142"/>
        <n v="307.8"/>
        <n v="200.36800000000002"/>
        <n v="476.16000000000008"/>
        <n v="113.80999999999999"/>
        <n v="329.90000000000003"/>
        <n v="1656.6119999999999"/>
        <n v="25.4575"/>
        <n v="243.304"/>
        <n v="1001.2"/>
        <n v="273.60000000000002"/>
        <n v="228.99200000000002"/>
        <n v="197.1"/>
        <n v="153.38999999999999"/>
        <n v="575.93600000000004"/>
        <n v="370.98"/>
        <n v="76.491499999999988"/>
        <n v="414.42600000000004"/>
        <n v="223.20000000000002"/>
        <n v="637.34699999999998"/>
        <n v="682.43249999999989"/>
        <n v="59.382000000000005"/>
        <n v="610.87"/>
        <n v="899.9"/>
        <n v="89.99"/>
        <n v="175.185"/>
        <n v="73.853999999999999"/>
        <n v="700.84"/>
        <n v="255.30600000000001"/>
        <n v="1166.0999999999999"/>
        <n v="841.40649999999994"/>
        <n v="368.13599999999997"/>
        <n v="1477.06"/>
        <n v="1321.58"/>
        <n v="804.55200000000002"/>
        <n v="347.51"/>
        <n v="1994.0699999999997"/>
        <n v="4865.1399999999994"/>
        <n v="263.14400000000001"/>
        <n v="1602.9254999999998"/>
        <n v="831.05049999999994"/>
        <n v="297.60000000000002"/>
        <n v="98.55"/>
        <n v="1062.2450000000001"/>
        <n v="323.13599999999997"/>
        <n v="501.41"/>
        <n v="487.56000000000006"/>
        <n v="170.20400000000001"/>
        <n v="821.25"/>
        <n v="123.66"/>
        <n v="657"/>
        <n v="24.224999999999998"/>
        <n v="2300.85"/>
        <n v="174.91499999999999"/>
        <n v="488.47799999999995"/>
        <n v="425.78199999999998"/>
        <n v="119.8245"/>
        <n v="1148.8400000000001"/>
        <n v="2215.5899999999997"/>
        <n v="1867.7099999999998"/>
        <n v="46.99"/>
        <n v="41.22"/>
        <n v="262.59200000000004"/>
        <n v="1472.5439999999999"/>
        <n v="188.48"/>
        <n v="357.28000000000003"/>
        <n v="52.784000000000006"/>
        <n v="1587.5534999999998"/>
        <n v="263.80799999999999"/>
        <n v="367.2"/>
        <n v="395.71199999999999"/>
        <n v="646.51499999999999"/>
        <n v="739.125"/>
        <n v="399"/>
        <n v="488.69600000000003"/>
        <n v="1068.4935"/>
        <n v="902.66000000000008"/>
        <n v="545.6"/>
        <n v="1130.1600000000001"/>
        <n v="507.49200000000002"/>
        <n v="1054.816"/>
        <n v="777.4"/>
        <n v="150.36800000000002"/>
        <n v="678.09600000000012"/>
        <n v="372.11200000000002"/>
        <n v="274.11299999999994"/>
        <n v="423.81000000000006"/>
        <n v="810.97200000000009"/>
        <n v="429.36000000000007"/>
        <n v="623.65599999999995"/>
        <n v="1191.4280000000001"/>
        <n v="150.68800000000002"/>
        <n v="185.49"/>
        <n v="398.33499999999998"/>
        <n v="94.021499999999989"/>
        <n v="854.90499999999997"/>
        <n v="212.89099999999999"/>
        <n v="328.86"/>
        <n v="659.26"/>
        <n v="187.96000000000004"/>
        <n v="415.67400000000004"/>
        <n v="1091.8919999999998"/>
        <n v="27.074999999999999"/>
        <n v="688.42349999999999"/>
        <n v="1637.838"/>
        <n v="387.90899999999999"/>
        <n v="847.62000000000012"/>
        <n v="162.44999999999999"/>
        <n v="162.4"/>
        <n v="147.708"/>
        <n v="4170.12"/>
        <n v="299.5"/>
        <n v="243.78000000000003"/>
        <n v="431.952"/>
        <n v="347.2"/>
        <n v="1874.55"/>
        <n v="207.06"/>
        <n v="172.54999999999998"/>
        <n v="198.4"/>
        <n v="469.90000000000003"/>
        <n v="119.8"/>
        <n v="249.94"/>
      </sharedItems>
    </cacheField>
    <cacheField name="COGS" numFmtId="164">
      <sharedItems containsSemiMixedTypes="0" containsString="0" containsNumber="1" minValue="11.5" maxValue="2662.24"/>
    </cacheField>
    <cacheField name="Gross Profit" numFmtId="164">
      <sharedItems containsSemiMixedTypes="0" containsString="0" containsNumber="1" minValue="11.424999999999997" maxValue="2202.8999999999996"/>
    </cacheField>
    <cacheField name="Gross Margin %" numFmtId="165">
      <sharedItems containsSemiMixedTypes="0" containsString="0" containsNumber="1" minValue="0.29334586204496421" maxValue="0.62955665024630547"/>
    </cacheField>
  </cacheFields>
  <extLst>
    <ext xmlns:x14="http://schemas.microsoft.com/office/spreadsheetml/2009/9/main" uri="{725AE2AE-9491-48be-B2B4-4EB974FC3084}">
      <x14:pivotCacheDefinition pivotCacheId="16830661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105"/>
    <d v="2026-01-01T00:00:00"/>
    <n v="2026"/>
    <x v="0"/>
    <n v="1"/>
    <x v="0"/>
    <x v="0"/>
    <x v="0"/>
    <x v="0"/>
    <s v="Business"/>
    <x v="0"/>
    <x v="0"/>
    <n v="9"/>
    <n v="49.6"/>
    <n v="0.05"/>
    <n v="23.05"/>
    <x v="0"/>
    <n v="207.45000000000002"/>
    <n v="216.63000000000002"/>
    <n v="0.51082342954159599"/>
  </r>
  <r>
    <n v="1348"/>
    <d v="2026-01-01T00:00:00"/>
    <n v="2026"/>
    <x v="0"/>
    <n v="1"/>
    <x v="0"/>
    <x v="0"/>
    <x v="1"/>
    <x v="1"/>
    <s v="Business"/>
    <x v="1"/>
    <x v="1"/>
    <n v="3"/>
    <n v="153.38999999999999"/>
    <n v="0.05"/>
    <n v="78.59"/>
    <x v="1"/>
    <n v="235.77"/>
    <n v="201.39149999999992"/>
    <n v="0.46067986316269832"/>
  </r>
  <r>
    <n v="1409"/>
    <d v="2026-01-01T00:00:00"/>
    <n v="2026"/>
    <x v="0"/>
    <n v="1"/>
    <x v="0"/>
    <x v="1"/>
    <x v="2"/>
    <x v="0"/>
    <s v="New"/>
    <x v="2"/>
    <x v="2"/>
    <n v="3"/>
    <n v="81.260000000000005"/>
    <n v="0.1"/>
    <n v="39.119999999999997"/>
    <x v="2"/>
    <n v="117.35999999999999"/>
    <n v="102.04200000000006"/>
    <n v="0.46509147592091249"/>
  </r>
  <r>
    <n v="1467"/>
    <d v="2026-01-01T00:00:00"/>
    <n v="2026"/>
    <x v="0"/>
    <n v="1"/>
    <x v="0"/>
    <x v="1"/>
    <x v="3"/>
    <x v="0"/>
    <s v="Returning"/>
    <x v="0"/>
    <x v="3"/>
    <n v="14"/>
    <n v="82.06"/>
    <n v="0.15"/>
    <n v="42.94"/>
    <x v="3"/>
    <n v="601.16"/>
    <n v="375.35400000000016"/>
    <n v="0.3843815859270836"/>
  </r>
  <r>
    <n v="1067"/>
    <d v="2026-01-02T00:00:00"/>
    <n v="2026"/>
    <x v="0"/>
    <n v="1"/>
    <x v="0"/>
    <x v="2"/>
    <x v="4"/>
    <x v="2"/>
    <s v="New"/>
    <x v="2"/>
    <x v="2"/>
    <n v="9"/>
    <n v="81.260000000000005"/>
    <n v="0.2"/>
    <n v="39.119999999999997"/>
    <x v="4"/>
    <n v="352.08"/>
    <n v="232.99200000000002"/>
    <n v="0.39822791041102634"/>
  </r>
  <r>
    <n v="1310"/>
    <d v="2026-01-02T00:00:00"/>
    <n v="2026"/>
    <x v="0"/>
    <n v="1"/>
    <x v="0"/>
    <x v="0"/>
    <x v="5"/>
    <x v="0"/>
    <s v="New"/>
    <x v="3"/>
    <x v="4"/>
    <n v="13"/>
    <n v="32.99"/>
    <n v="0.05"/>
    <n v="12.5"/>
    <x v="5"/>
    <n v="162.5"/>
    <n v="244.92649999999998"/>
    <n v="0.60115505496083343"/>
  </r>
  <r>
    <n v="1083"/>
    <d v="2026-01-03T00:00:00"/>
    <n v="2026"/>
    <x v="0"/>
    <n v="1"/>
    <x v="0"/>
    <x v="3"/>
    <x v="6"/>
    <x v="2"/>
    <s v="Business"/>
    <x v="1"/>
    <x v="5"/>
    <n v="8"/>
    <n v="54.75"/>
    <n v="0.15"/>
    <n v="24.3"/>
    <x v="6"/>
    <n v="194.4"/>
    <n v="177.9"/>
    <n v="0.47784045124899277"/>
  </r>
  <r>
    <n v="1125"/>
    <d v="2026-01-03T00:00:00"/>
    <n v="2026"/>
    <x v="0"/>
    <n v="1"/>
    <x v="0"/>
    <x v="1"/>
    <x v="3"/>
    <x v="3"/>
    <s v="Returning"/>
    <x v="2"/>
    <x v="6"/>
    <n v="13"/>
    <n v="194.35"/>
    <n v="0"/>
    <n v="104.22"/>
    <x v="7"/>
    <n v="1354.86"/>
    <n v="1171.6899999999998"/>
    <n v="0.46375096475430921"/>
  </r>
  <r>
    <n v="1333"/>
    <d v="2026-01-03T00:00:00"/>
    <n v="2026"/>
    <x v="0"/>
    <n v="1"/>
    <x v="0"/>
    <x v="0"/>
    <x v="1"/>
    <x v="0"/>
    <s v="New"/>
    <x v="1"/>
    <x v="5"/>
    <n v="9"/>
    <n v="54.75"/>
    <n v="0.15"/>
    <n v="24.3"/>
    <x v="8"/>
    <n v="218.70000000000002"/>
    <n v="200.13749999999996"/>
    <n v="0.47784045124899266"/>
  </r>
  <r>
    <n v="1366"/>
    <d v="2026-01-03T00:00:00"/>
    <n v="2026"/>
    <x v="0"/>
    <n v="1"/>
    <x v="0"/>
    <x v="3"/>
    <x v="7"/>
    <x v="2"/>
    <s v="Business"/>
    <x v="4"/>
    <x v="7"/>
    <n v="3"/>
    <n v="29.95"/>
    <n v="0.05"/>
    <n v="11.5"/>
    <x v="9"/>
    <n v="34.5"/>
    <n v="50.857499999999987"/>
    <n v="0.59581759072137763"/>
  </r>
  <r>
    <n v="1408"/>
    <d v="2026-01-03T00:00:00"/>
    <n v="2026"/>
    <x v="0"/>
    <n v="1"/>
    <x v="0"/>
    <x v="2"/>
    <x v="8"/>
    <x v="1"/>
    <s v="Business"/>
    <x v="1"/>
    <x v="8"/>
    <n v="6"/>
    <n v="94.18"/>
    <n v="0.05"/>
    <n v="45.03"/>
    <x v="10"/>
    <n v="270.18"/>
    <n v="266.64600000000002"/>
    <n v="0.49670843066468467"/>
  </r>
  <r>
    <n v="1108"/>
    <d v="2026-01-04T00:00:00"/>
    <n v="2026"/>
    <x v="0"/>
    <n v="1"/>
    <x v="0"/>
    <x v="0"/>
    <x v="9"/>
    <x v="2"/>
    <s v="New"/>
    <x v="1"/>
    <x v="8"/>
    <n v="8"/>
    <n v="94.18"/>
    <n v="0"/>
    <n v="45.03"/>
    <x v="11"/>
    <n v="360.24"/>
    <n v="393.20000000000005"/>
    <n v="0.5218730091314504"/>
  </r>
  <r>
    <n v="1306"/>
    <d v="2026-01-04T00:00:00"/>
    <n v="2026"/>
    <x v="0"/>
    <n v="1"/>
    <x v="0"/>
    <x v="2"/>
    <x v="10"/>
    <x v="2"/>
    <s v="Business"/>
    <x v="2"/>
    <x v="9"/>
    <n v="12"/>
    <n v="347.51"/>
    <n v="0.15"/>
    <n v="190.16"/>
    <x v="12"/>
    <n v="2281.92"/>
    <n v="1262.6819999999998"/>
    <n v="0.35622673575199693"/>
  </r>
  <r>
    <n v="1370"/>
    <d v="2026-01-04T00:00:00"/>
    <n v="2026"/>
    <x v="0"/>
    <n v="1"/>
    <x v="0"/>
    <x v="3"/>
    <x v="6"/>
    <x v="2"/>
    <s v="Returning"/>
    <x v="2"/>
    <x v="6"/>
    <n v="7"/>
    <n v="194.35"/>
    <n v="0"/>
    <n v="104.22"/>
    <x v="13"/>
    <n v="729.54"/>
    <n v="630.91000000000008"/>
    <n v="0.46375096475430927"/>
  </r>
  <r>
    <n v="1237"/>
    <d v="2026-01-05T00:00:00"/>
    <n v="2026"/>
    <x v="0"/>
    <n v="1"/>
    <x v="0"/>
    <x v="2"/>
    <x v="4"/>
    <x v="1"/>
    <s v="Business"/>
    <x v="0"/>
    <x v="10"/>
    <n v="10"/>
    <n v="28.5"/>
    <n v="0.05"/>
    <n v="12.8"/>
    <x v="14"/>
    <n v="128"/>
    <n v="142.75"/>
    <n v="0.52723915050784853"/>
  </r>
  <r>
    <n v="1265"/>
    <d v="2026-01-06T00:00:00"/>
    <n v="2026"/>
    <x v="0"/>
    <n v="1"/>
    <x v="0"/>
    <x v="0"/>
    <x v="5"/>
    <x v="1"/>
    <s v="New"/>
    <x v="0"/>
    <x v="0"/>
    <n v="10"/>
    <n v="49.6"/>
    <n v="0"/>
    <n v="23.05"/>
    <x v="15"/>
    <n v="230.5"/>
    <n v="265.5"/>
    <n v="0.53528225806451613"/>
  </r>
  <r>
    <n v="1460"/>
    <d v="2026-01-06T00:00:00"/>
    <n v="2026"/>
    <x v="0"/>
    <n v="1"/>
    <x v="0"/>
    <x v="3"/>
    <x v="6"/>
    <x v="3"/>
    <s v="Business"/>
    <x v="4"/>
    <x v="11"/>
    <n v="7"/>
    <n v="36.72"/>
    <n v="0.2"/>
    <n v="13.76"/>
    <x v="16"/>
    <n v="96.32"/>
    <n v="109.31199999999998"/>
    <n v="0.53159041394335504"/>
  </r>
  <r>
    <n v="1209"/>
    <d v="2026-01-07T00:00:00"/>
    <n v="2026"/>
    <x v="0"/>
    <n v="1"/>
    <x v="0"/>
    <x v="3"/>
    <x v="7"/>
    <x v="1"/>
    <s v="New"/>
    <x v="3"/>
    <x v="4"/>
    <n v="15"/>
    <n v="32.99"/>
    <n v="0.15"/>
    <n v="12.5"/>
    <x v="17"/>
    <n v="187.5"/>
    <n v="233.1225"/>
    <n v="0.5542321202503433"/>
  </r>
  <r>
    <n v="1305"/>
    <d v="2026-01-07T00:00:00"/>
    <n v="2026"/>
    <x v="0"/>
    <n v="1"/>
    <x v="0"/>
    <x v="1"/>
    <x v="2"/>
    <x v="3"/>
    <s v="New"/>
    <x v="3"/>
    <x v="12"/>
    <n v="10"/>
    <n v="40.6"/>
    <n v="0.15"/>
    <n v="15.04"/>
    <x v="18"/>
    <n v="150.39999999999998"/>
    <n v="194.7"/>
    <n v="0.56418429440741813"/>
  </r>
  <r>
    <n v="1320"/>
    <d v="2026-01-07T00:00:00"/>
    <n v="2026"/>
    <x v="0"/>
    <n v="1"/>
    <x v="0"/>
    <x v="0"/>
    <x v="9"/>
    <x v="1"/>
    <s v="Business"/>
    <x v="4"/>
    <x v="13"/>
    <n v="15"/>
    <n v="89.99"/>
    <n v="0"/>
    <n v="42.25"/>
    <x v="19"/>
    <n v="633.75"/>
    <n v="716.09999999999991"/>
    <n v="0.53050338926547391"/>
  </r>
  <r>
    <n v="1445"/>
    <d v="2026-01-07T00:00:00"/>
    <n v="2026"/>
    <x v="0"/>
    <n v="1"/>
    <x v="0"/>
    <x v="0"/>
    <x v="5"/>
    <x v="1"/>
    <s v="Business"/>
    <x v="4"/>
    <x v="13"/>
    <n v="7"/>
    <n v="89.99"/>
    <n v="0.1"/>
    <n v="42.25"/>
    <x v="20"/>
    <n v="295.75"/>
    <n v="271.18700000000001"/>
    <n v="0.47833709918385997"/>
  </r>
  <r>
    <n v="1413"/>
    <d v="2026-01-08T00:00:00"/>
    <n v="2026"/>
    <x v="0"/>
    <n v="1"/>
    <x v="0"/>
    <x v="0"/>
    <x v="1"/>
    <x v="1"/>
    <s v="New"/>
    <x v="3"/>
    <x v="4"/>
    <n v="3"/>
    <n v="32.99"/>
    <n v="0"/>
    <n v="12.5"/>
    <x v="21"/>
    <n v="37.5"/>
    <n v="61.47"/>
    <n v="0.6210973022127918"/>
  </r>
  <r>
    <n v="1438"/>
    <d v="2026-01-08T00:00:00"/>
    <n v="2026"/>
    <x v="0"/>
    <n v="1"/>
    <x v="0"/>
    <x v="0"/>
    <x v="9"/>
    <x v="2"/>
    <s v="Business"/>
    <x v="1"/>
    <x v="14"/>
    <n v="14"/>
    <n v="143.66999999999999"/>
    <n v="0"/>
    <n v="81.22"/>
    <x v="22"/>
    <n v="1137.08"/>
    <n v="874.3"/>
    <n v="0.43467668963597134"/>
  </r>
  <r>
    <n v="1096"/>
    <d v="2026-01-09T00:00:00"/>
    <n v="2026"/>
    <x v="0"/>
    <n v="1"/>
    <x v="0"/>
    <x v="3"/>
    <x v="11"/>
    <x v="2"/>
    <s v="New"/>
    <x v="4"/>
    <x v="13"/>
    <n v="2"/>
    <n v="89.99"/>
    <n v="0.2"/>
    <n v="42.25"/>
    <x v="23"/>
    <n v="84.5"/>
    <n v="59.484000000000009"/>
    <n v="0.41312923658184247"/>
  </r>
  <r>
    <n v="1288"/>
    <d v="2026-01-09T00:00:00"/>
    <n v="2026"/>
    <x v="0"/>
    <n v="1"/>
    <x v="0"/>
    <x v="1"/>
    <x v="3"/>
    <x v="2"/>
    <s v="Returning"/>
    <x v="0"/>
    <x v="3"/>
    <n v="7"/>
    <n v="82.06"/>
    <n v="0"/>
    <n v="42.94"/>
    <x v="24"/>
    <n v="300.58"/>
    <n v="273.84000000000009"/>
    <n v="0.47672434803802105"/>
  </r>
  <r>
    <n v="1338"/>
    <d v="2026-01-09T00:00:00"/>
    <n v="2026"/>
    <x v="0"/>
    <n v="1"/>
    <x v="0"/>
    <x v="0"/>
    <x v="5"/>
    <x v="2"/>
    <s v="Returning"/>
    <x v="4"/>
    <x v="11"/>
    <n v="8"/>
    <n v="36.72"/>
    <n v="0"/>
    <n v="13.76"/>
    <x v="25"/>
    <n v="110.08"/>
    <n v="183.68"/>
    <n v="0.62527233115468417"/>
  </r>
  <r>
    <n v="1043"/>
    <d v="2026-01-10T00:00:00"/>
    <n v="2026"/>
    <x v="0"/>
    <n v="1"/>
    <x v="0"/>
    <x v="2"/>
    <x v="8"/>
    <x v="3"/>
    <s v="Returning"/>
    <x v="2"/>
    <x v="15"/>
    <n v="1"/>
    <n v="41.22"/>
    <n v="0.05"/>
    <n v="16.64"/>
    <x v="26"/>
    <n v="16.64"/>
    <n v="22.518999999999998"/>
    <n v="0.57506575755254219"/>
  </r>
  <r>
    <n v="1104"/>
    <d v="2026-01-10T00:00:00"/>
    <n v="2026"/>
    <x v="0"/>
    <n v="1"/>
    <x v="0"/>
    <x v="0"/>
    <x v="9"/>
    <x v="0"/>
    <s v="Business"/>
    <x v="4"/>
    <x v="7"/>
    <n v="6"/>
    <n v="29.95"/>
    <n v="0"/>
    <n v="11.5"/>
    <x v="27"/>
    <n v="69"/>
    <n v="110.69999999999999"/>
    <n v="0.61602671118530883"/>
  </r>
  <r>
    <n v="1114"/>
    <d v="2026-01-10T00:00:00"/>
    <n v="2026"/>
    <x v="0"/>
    <n v="1"/>
    <x v="0"/>
    <x v="3"/>
    <x v="11"/>
    <x v="0"/>
    <s v="Returning"/>
    <x v="0"/>
    <x v="10"/>
    <n v="2"/>
    <n v="28.5"/>
    <n v="0.15"/>
    <n v="12.8"/>
    <x v="28"/>
    <n v="25.6"/>
    <n v="22.849999999999994"/>
    <n v="0.47162022703818363"/>
  </r>
  <r>
    <n v="1117"/>
    <d v="2026-01-10T00:00:00"/>
    <n v="2026"/>
    <x v="0"/>
    <n v="1"/>
    <x v="0"/>
    <x v="1"/>
    <x v="12"/>
    <x v="0"/>
    <s v="Returning"/>
    <x v="4"/>
    <x v="16"/>
    <n v="12"/>
    <n v="46.99"/>
    <n v="0"/>
    <n v="18.11"/>
    <x v="29"/>
    <n v="217.32"/>
    <n v="346.56"/>
    <n v="0.61459885081932331"/>
  </r>
  <r>
    <n v="1251"/>
    <d v="2026-01-10T00:00:00"/>
    <n v="2026"/>
    <x v="0"/>
    <n v="1"/>
    <x v="0"/>
    <x v="3"/>
    <x v="7"/>
    <x v="0"/>
    <s v="Returning"/>
    <x v="1"/>
    <x v="8"/>
    <n v="14"/>
    <n v="94.18"/>
    <n v="0.1"/>
    <n v="45.03"/>
    <x v="30"/>
    <n v="630.42000000000007"/>
    <n v="556.24800000000005"/>
    <n v="0.46874778792383376"/>
  </r>
  <r>
    <n v="1455"/>
    <d v="2026-01-10T00:00:00"/>
    <n v="2026"/>
    <x v="0"/>
    <n v="1"/>
    <x v="0"/>
    <x v="3"/>
    <x v="11"/>
    <x v="2"/>
    <s v="Returning"/>
    <x v="0"/>
    <x v="17"/>
    <n v="13"/>
    <n v="100.12"/>
    <n v="0.15"/>
    <n v="49.67"/>
    <x v="31"/>
    <n v="645.71"/>
    <n v="460.61599999999999"/>
    <n v="0.41634744189325751"/>
  </r>
  <r>
    <n v="1073"/>
    <d v="2026-01-11T00:00:00"/>
    <n v="2026"/>
    <x v="0"/>
    <n v="1"/>
    <x v="0"/>
    <x v="1"/>
    <x v="12"/>
    <x v="2"/>
    <s v="Returning"/>
    <x v="1"/>
    <x v="8"/>
    <n v="10"/>
    <n v="94.18"/>
    <n v="0"/>
    <n v="45.03"/>
    <x v="32"/>
    <n v="450.3"/>
    <n v="491.50000000000006"/>
    <n v="0.5218730091314504"/>
  </r>
  <r>
    <n v="1337"/>
    <d v="2026-01-11T00:00:00"/>
    <n v="2026"/>
    <x v="0"/>
    <n v="1"/>
    <x v="0"/>
    <x v="0"/>
    <x v="1"/>
    <x v="2"/>
    <s v="New"/>
    <x v="2"/>
    <x v="9"/>
    <n v="12"/>
    <n v="347.51"/>
    <n v="0.2"/>
    <n v="190.16"/>
    <x v="33"/>
    <n v="2281.92"/>
    <n v="1054.1759999999999"/>
    <n v="0.31599090673649677"/>
  </r>
  <r>
    <n v="1424"/>
    <d v="2026-01-11T00:00:00"/>
    <n v="2026"/>
    <x v="0"/>
    <n v="1"/>
    <x v="0"/>
    <x v="0"/>
    <x v="9"/>
    <x v="2"/>
    <s v="Business"/>
    <x v="2"/>
    <x v="15"/>
    <n v="14"/>
    <n v="41.22"/>
    <n v="0.2"/>
    <n v="16.64"/>
    <x v="34"/>
    <n v="232.96"/>
    <n v="228.70399999999998"/>
    <n v="0.49539058709364381"/>
  </r>
  <r>
    <n v="1089"/>
    <d v="2026-01-12T00:00:00"/>
    <n v="2026"/>
    <x v="0"/>
    <n v="1"/>
    <x v="0"/>
    <x v="1"/>
    <x v="3"/>
    <x v="1"/>
    <s v="Returning"/>
    <x v="4"/>
    <x v="16"/>
    <n v="11"/>
    <n v="46.99"/>
    <n v="0.1"/>
    <n v="18.11"/>
    <x v="35"/>
    <n v="199.20999999999998"/>
    <n v="265.99100000000004"/>
    <n v="0.57177650091035925"/>
  </r>
  <r>
    <n v="1014"/>
    <d v="2026-01-13T00:00:00"/>
    <n v="2026"/>
    <x v="0"/>
    <n v="1"/>
    <x v="0"/>
    <x v="1"/>
    <x v="12"/>
    <x v="0"/>
    <s v="New"/>
    <x v="1"/>
    <x v="5"/>
    <n v="10"/>
    <n v="54.75"/>
    <n v="0"/>
    <n v="24.3"/>
    <x v="36"/>
    <n v="243"/>
    <n v="304.5"/>
    <n v="0.55616438356164388"/>
  </r>
  <r>
    <n v="1347"/>
    <d v="2026-01-13T00:00:00"/>
    <n v="2026"/>
    <x v="0"/>
    <n v="1"/>
    <x v="0"/>
    <x v="1"/>
    <x v="12"/>
    <x v="0"/>
    <s v="New"/>
    <x v="2"/>
    <x v="9"/>
    <n v="2"/>
    <n v="347.51"/>
    <n v="0"/>
    <n v="190.16"/>
    <x v="37"/>
    <n v="380.32"/>
    <n v="314.7"/>
    <n v="0.4527927253891974"/>
  </r>
  <r>
    <n v="1119"/>
    <d v="2026-01-15T00:00:00"/>
    <n v="2026"/>
    <x v="0"/>
    <n v="1"/>
    <x v="0"/>
    <x v="2"/>
    <x v="4"/>
    <x v="0"/>
    <s v="Business"/>
    <x v="4"/>
    <x v="13"/>
    <n v="3"/>
    <n v="89.99"/>
    <n v="0"/>
    <n v="42.25"/>
    <x v="38"/>
    <n v="126.75"/>
    <n v="143.21999999999997"/>
    <n v="0.53050338926547391"/>
  </r>
  <r>
    <n v="1172"/>
    <d v="2026-01-15T00:00:00"/>
    <n v="2026"/>
    <x v="0"/>
    <n v="1"/>
    <x v="0"/>
    <x v="2"/>
    <x v="4"/>
    <x v="0"/>
    <s v="New"/>
    <x v="0"/>
    <x v="3"/>
    <n v="10"/>
    <n v="82.06"/>
    <n v="0.15"/>
    <n v="42.94"/>
    <x v="39"/>
    <n v="429.4"/>
    <n v="268.11"/>
    <n v="0.38438158592708349"/>
  </r>
  <r>
    <n v="1241"/>
    <d v="2026-01-16T00:00:00"/>
    <n v="2026"/>
    <x v="0"/>
    <n v="1"/>
    <x v="0"/>
    <x v="3"/>
    <x v="13"/>
    <x v="0"/>
    <s v="New"/>
    <x v="3"/>
    <x v="18"/>
    <n v="11"/>
    <n v="35.78"/>
    <n v="0.1"/>
    <n v="13.84"/>
    <x v="40"/>
    <n v="152.24"/>
    <n v="201.98200000000003"/>
    <n v="0.57021303024656855"/>
  </r>
  <r>
    <n v="1387"/>
    <d v="2026-01-16T00:00:00"/>
    <n v="2026"/>
    <x v="0"/>
    <n v="1"/>
    <x v="0"/>
    <x v="3"/>
    <x v="13"/>
    <x v="1"/>
    <s v="Business"/>
    <x v="1"/>
    <x v="5"/>
    <n v="6"/>
    <n v="54.75"/>
    <n v="0.2"/>
    <n v="24.3"/>
    <x v="41"/>
    <n v="145.80000000000001"/>
    <n v="117"/>
    <n v="0.4452054794520548"/>
  </r>
  <r>
    <n v="1496"/>
    <d v="2026-01-16T00:00:00"/>
    <n v="2026"/>
    <x v="0"/>
    <n v="1"/>
    <x v="0"/>
    <x v="2"/>
    <x v="8"/>
    <x v="1"/>
    <s v="Business"/>
    <x v="3"/>
    <x v="12"/>
    <n v="6"/>
    <n v="40.6"/>
    <n v="0.1"/>
    <n v="15.04"/>
    <x v="42"/>
    <n v="90.24"/>
    <n v="129.00000000000006"/>
    <n v="0.58839627805145067"/>
  </r>
  <r>
    <n v="1443"/>
    <d v="2026-01-17T00:00:00"/>
    <n v="2026"/>
    <x v="0"/>
    <n v="1"/>
    <x v="0"/>
    <x v="2"/>
    <x v="4"/>
    <x v="3"/>
    <s v="Returning"/>
    <x v="4"/>
    <x v="7"/>
    <n v="5"/>
    <n v="29.95"/>
    <n v="0.2"/>
    <n v="11.5"/>
    <x v="43"/>
    <n v="57.5"/>
    <n v="62.300000000000011"/>
    <n v="0.52003338898163609"/>
  </r>
  <r>
    <n v="1033"/>
    <d v="2026-01-18T00:00:00"/>
    <n v="2026"/>
    <x v="0"/>
    <n v="1"/>
    <x v="0"/>
    <x v="3"/>
    <x v="7"/>
    <x v="1"/>
    <s v="Business"/>
    <x v="0"/>
    <x v="0"/>
    <n v="10"/>
    <n v="49.6"/>
    <n v="0.15"/>
    <n v="23.05"/>
    <x v="44"/>
    <n v="230.5"/>
    <n v="191.09999999999997"/>
    <n v="0.45327324478178366"/>
  </r>
  <r>
    <n v="1037"/>
    <d v="2026-01-18T00:00:00"/>
    <n v="2026"/>
    <x v="0"/>
    <n v="1"/>
    <x v="0"/>
    <x v="3"/>
    <x v="11"/>
    <x v="3"/>
    <s v="Business"/>
    <x v="4"/>
    <x v="16"/>
    <n v="8"/>
    <n v="46.99"/>
    <n v="0.15"/>
    <n v="18.11"/>
    <x v="45"/>
    <n v="144.88"/>
    <n v="174.65199999999999"/>
    <n v="0.5465868833168509"/>
  </r>
  <r>
    <n v="1196"/>
    <d v="2026-01-18T00:00:00"/>
    <n v="2026"/>
    <x v="0"/>
    <n v="1"/>
    <x v="0"/>
    <x v="2"/>
    <x v="8"/>
    <x v="3"/>
    <s v="Business"/>
    <x v="0"/>
    <x v="17"/>
    <n v="3"/>
    <n v="100.12"/>
    <n v="0"/>
    <n v="49.67"/>
    <x v="46"/>
    <n v="149.01"/>
    <n v="151.35000000000002"/>
    <n v="0.50389532560926897"/>
  </r>
  <r>
    <n v="1373"/>
    <d v="2026-01-18T00:00:00"/>
    <n v="2026"/>
    <x v="0"/>
    <n v="1"/>
    <x v="0"/>
    <x v="0"/>
    <x v="5"/>
    <x v="0"/>
    <s v="Returning"/>
    <x v="4"/>
    <x v="7"/>
    <n v="2"/>
    <n v="29.95"/>
    <n v="0.15"/>
    <n v="11.5"/>
    <x v="47"/>
    <n v="23"/>
    <n v="27.914999999999999"/>
    <n v="0.54826671904153979"/>
  </r>
  <r>
    <n v="1098"/>
    <d v="2026-01-19T00:00:00"/>
    <n v="2026"/>
    <x v="0"/>
    <n v="1"/>
    <x v="0"/>
    <x v="1"/>
    <x v="12"/>
    <x v="0"/>
    <s v="Business"/>
    <x v="4"/>
    <x v="7"/>
    <n v="8"/>
    <n v="29.95"/>
    <n v="0"/>
    <n v="11.5"/>
    <x v="48"/>
    <n v="92"/>
    <n v="147.6"/>
    <n v="0.61602671118530883"/>
  </r>
  <r>
    <n v="1216"/>
    <d v="2026-01-19T00:00:00"/>
    <n v="2026"/>
    <x v="0"/>
    <n v="1"/>
    <x v="0"/>
    <x v="3"/>
    <x v="11"/>
    <x v="3"/>
    <s v="Returning"/>
    <x v="0"/>
    <x v="10"/>
    <n v="8"/>
    <n v="28.5"/>
    <n v="0.2"/>
    <n v="12.8"/>
    <x v="49"/>
    <n v="102.4"/>
    <n v="80"/>
    <n v="0.43859649122807015"/>
  </r>
  <r>
    <n v="1302"/>
    <d v="2026-01-19T00:00:00"/>
    <n v="2026"/>
    <x v="0"/>
    <n v="1"/>
    <x v="0"/>
    <x v="1"/>
    <x v="2"/>
    <x v="2"/>
    <s v="Business"/>
    <x v="1"/>
    <x v="5"/>
    <n v="12"/>
    <n v="54.75"/>
    <n v="0.2"/>
    <n v="24.3"/>
    <x v="50"/>
    <n v="291.60000000000002"/>
    <n v="234"/>
    <n v="0.4452054794520548"/>
  </r>
  <r>
    <n v="1095"/>
    <d v="2026-01-20T00:00:00"/>
    <n v="2026"/>
    <x v="0"/>
    <n v="1"/>
    <x v="0"/>
    <x v="3"/>
    <x v="6"/>
    <x v="0"/>
    <s v="New"/>
    <x v="2"/>
    <x v="2"/>
    <n v="12"/>
    <n v="81.260000000000005"/>
    <n v="0.15"/>
    <n v="39.119999999999997"/>
    <x v="51"/>
    <n v="469.43999999999994"/>
    <n v="359.41200000000015"/>
    <n v="0.43362626862214254"/>
  </r>
  <r>
    <n v="1372"/>
    <d v="2026-01-20T00:00:00"/>
    <n v="2026"/>
    <x v="0"/>
    <n v="1"/>
    <x v="0"/>
    <x v="2"/>
    <x v="14"/>
    <x v="1"/>
    <s v="New"/>
    <x v="3"/>
    <x v="12"/>
    <n v="3"/>
    <n v="40.6"/>
    <n v="0"/>
    <n v="15.04"/>
    <x v="52"/>
    <n v="45.12"/>
    <n v="76.680000000000007"/>
    <n v="0.62955665024630547"/>
  </r>
  <r>
    <n v="1407"/>
    <d v="2026-01-20T00:00:00"/>
    <n v="2026"/>
    <x v="0"/>
    <n v="1"/>
    <x v="0"/>
    <x v="3"/>
    <x v="11"/>
    <x v="3"/>
    <s v="New"/>
    <x v="4"/>
    <x v="16"/>
    <n v="11"/>
    <n v="46.99"/>
    <n v="0"/>
    <n v="18.11"/>
    <x v="53"/>
    <n v="199.20999999999998"/>
    <n v="317.68"/>
    <n v="0.61459885081932331"/>
  </r>
  <r>
    <n v="1034"/>
    <d v="2026-01-21T00:00:00"/>
    <n v="2026"/>
    <x v="0"/>
    <n v="1"/>
    <x v="0"/>
    <x v="0"/>
    <x v="5"/>
    <x v="3"/>
    <s v="Returning"/>
    <x v="4"/>
    <x v="16"/>
    <n v="11"/>
    <n v="46.99"/>
    <n v="0.2"/>
    <n v="18.11"/>
    <x v="54"/>
    <n v="199.20999999999998"/>
    <n v="214.30200000000002"/>
    <n v="0.51824856352415416"/>
  </r>
  <r>
    <n v="1158"/>
    <d v="2026-01-21T00:00:00"/>
    <n v="2026"/>
    <x v="0"/>
    <n v="1"/>
    <x v="0"/>
    <x v="2"/>
    <x v="10"/>
    <x v="0"/>
    <s v="New"/>
    <x v="2"/>
    <x v="2"/>
    <n v="10"/>
    <n v="81.260000000000005"/>
    <n v="0.1"/>
    <n v="39.119999999999997"/>
    <x v="55"/>
    <n v="391.2"/>
    <n v="340.14000000000004"/>
    <n v="0.46509147592091232"/>
  </r>
  <r>
    <n v="1221"/>
    <d v="2026-01-21T00:00:00"/>
    <n v="2026"/>
    <x v="0"/>
    <n v="1"/>
    <x v="0"/>
    <x v="1"/>
    <x v="3"/>
    <x v="0"/>
    <s v="Business"/>
    <x v="3"/>
    <x v="18"/>
    <n v="11"/>
    <n v="35.78"/>
    <n v="0"/>
    <n v="13.84"/>
    <x v="56"/>
    <n v="152.24"/>
    <n v="241.34000000000003"/>
    <n v="0.61319172722191173"/>
  </r>
  <r>
    <n v="1246"/>
    <d v="2026-01-21T00:00:00"/>
    <n v="2026"/>
    <x v="0"/>
    <n v="1"/>
    <x v="0"/>
    <x v="2"/>
    <x v="10"/>
    <x v="3"/>
    <s v="Business"/>
    <x v="4"/>
    <x v="13"/>
    <n v="4"/>
    <n v="89.99"/>
    <n v="0"/>
    <n v="42.25"/>
    <x v="57"/>
    <n v="169"/>
    <n v="190.95999999999998"/>
    <n v="0.53050338926547391"/>
  </r>
  <r>
    <n v="1363"/>
    <d v="2026-01-22T00:00:00"/>
    <n v="2026"/>
    <x v="0"/>
    <n v="1"/>
    <x v="0"/>
    <x v="2"/>
    <x v="14"/>
    <x v="3"/>
    <s v="New"/>
    <x v="3"/>
    <x v="19"/>
    <n v="13"/>
    <n v="124.97"/>
    <n v="0"/>
    <n v="67.36"/>
    <x v="58"/>
    <n v="875.68"/>
    <n v="748.93"/>
    <n v="0.46099063775306071"/>
  </r>
  <r>
    <n v="1379"/>
    <d v="2026-01-22T00:00:00"/>
    <n v="2026"/>
    <x v="0"/>
    <n v="1"/>
    <x v="0"/>
    <x v="1"/>
    <x v="3"/>
    <x v="1"/>
    <s v="New"/>
    <x v="1"/>
    <x v="5"/>
    <n v="2"/>
    <n v="54.75"/>
    <n v="0.15"/>
    <n v="24.3"/>
    <x v="59"/>
    <n v="48.6"/>
    <n v="44.475000000000001"/>
    <n v="0.47784045124899277"/>
  </r>
  <r>
    <n v="1215"/>
    <d v="2026-01-23T00:00:00"/>
    <n v="2026"/>
    <x v="0"/>
    <n v="1"/>
    <x v="0"/>
    <x v="1"/>
    <x v="2"/>
    <x v="0"/>
    <s v="Business"/>
    <x v="2"/>
    <x v="2"/>
    <n v="9"/>
    <n v="81.260000000000005"/>
    <n v="0.1"/>
    <n v="39.119999999999997"/>
    <x v="60"/>
    <n v="352.08"/>
    <n v="306.12600000000003"/>
    <n v="0.46509147592091232"/>
  </r>
  <r>
    <n v="1454"/>
    <d v="2026-01-23T00:00:00"/>
    <n v="2026"/>
    <x v="0"/>
    <n v="1"/>
    <x v="0"/>
    <x v="3"/>
    <x v="7"/>
    <x v="0"/>
    <s v="Returning"/>
    <x v="2"/>
    <x v="2"/>
    <n v="7"/>
    <n v="81.260000000000005"/>
    <n v="0.1"/>
    <n v="39.119999999999997"/>
    <x v="61"/>
    <n v="273.83999999999997"/>
    <n v="238.09800000000007"/>
    <n v="0.46509147592091238"/>
  </r>
  <r>
    <n v="1187"/>
    <d v="2026-01-24T00:00:00"/>
    <n v="2026"/>
    <x v="0"/>
    <n v="1"/>
    <x v="0"/>
    <x v="3"/>
    <x v="7"/>
    <x v="0"/>
    <s v="Business"/>
    <x v="4"/>
    <x v="11"/>
    <n v="7"/>
    <n v="36.72"/>
    <n v="0"/>
    <n v="13.76"/>
    <x v="62"/>
    <n v="96.32"/>
    <n v="160.71999999999997"/>
    <n v="0.62527233115468406"/>
  </r>
  <r>
    <n v="1345"/>
    <d v="2026-01-24T00:00:00"/>
    <n v="2026"/>
    <x v="0"/>
    <n v="1"/>
    <x v="0"/>
    <x v="0"/>
    <x v="5"/>
    <x v="2"/>
    <s v="New"/>
    <x v="0"/>
    <x v="10"/>
    <n v="4"/>
    <n v="28.5"/>
    <n v="0.1"/>
    <n v="12.8"/>
    <x v="63"/>
    <n v="51.2"/>
    <n v="51.400000000000006"/>
    <n v="0.50097465886939574"/>
  </r>
  <r>
    <n v="1389"/>
    <d v="2026-01-24T00:00:00"/>
    <n v="2026"/>
    <x v="0"/>
    <n v="1"/>
    <x v="0"/>
    <x v="2"/>
    <x v="14"/>
    <x v="0"/>
    <s v="Business"/>
    <x v="0"/>
    <x v="10"/>
    <n v="1"/>
    <n v="28.5"/>
    <n v="0"/>
    <n v="12.8"/>
    <x v="64"/>
    <n v="12.8"/>
    <n v="15.7"/>
    <n v="0.55087719298245608"/>
  </r>
  <r>
    <n v="1468"/>
    <d v="2026-01-24T00:00:00"/>
    <n v="2026"/>
    <x v="0"/>
    <n v="1"/>
    <x v="0"/>
    <x v="1"/>
    <x v="3"/>
    <x v="0"/>
    <s v="New"/>
    <x v="0"/>
    <x v="17"/>
    <n v="11"/>
    <n v="100.12"/>
    <n v="0"/>
    <n v="49.67"/>
    <x v="65"/>
    <n v="546.37"/>
    <n v="554.95000000000016"/>
    <n v="0.50389532560926897"/>
  </r>
  <r>
    <n v="1415"/>
    <d v="2026-01-25T00:00:00"/>
    <n v="2026"/>
    <x v="0"/>
    <n v="1"/>
    <x v="0"/>
    <x v="1"/>
    <x v="2"/>
    <x v="3"/>
    <s v="Returning"/>
    <x v="3"/>
    <x v="4"/>
    <n v="3"/>
    <n v="32.99"/>
    <n v="0"/>
    <n v="12.5"/>
    <x v="21"/>
    <n v="37.5"/>
    <n v="61.47"/>
    <n v="0.6210973022127918"/>
  </r>
  <r>
    <n v="1094"/>
    <d v="2026-01-26T00:00:00"/>
    <n v="2026"/>
    <x v="0"/>
    <n v="1"/>
    <x v="0"/>
    <x v="3"/>
    <x v="13"/>
    <x v="2"/>
    <s v="Business"/>
    <x v="4"/>
    <x v="11"/>
    <n v="3"/>
    <n v="36.72"/>
    <n v="0"/>
    <n v="13.76"/>
    <x v="66"/>
    <n v="41.28"/>
    <n v="68.88"/>
    <n v="0.62527233115468406"/>
  </r>
  <r>
    <n v="1181"/>
    <d v="2026-01-26T00:00:00"/>
    <n v="2026"/>
    <x v="0"/>
    <n v="1"/>
    <x v="0"/>
    <x v="1"/>
    <x v="3"/>
    <x v="2"/>
    <s v="Returning"/>
    <x v="4"/>
    <x v="16"/>
    <n v="10"/>
    <n v="46.99"/>
    <n v="0.1"/>
    <n v="18.11"/>
    <x v="67"/>
    <n v="181.1"/>
    <n v="241.81000000000003"/>
    <n v="0.57177650091035925"/>
  </r>
  <r>
    <n v="1284"/>
    <d v="2026-01-26T00:00:00"/>
    <n v="2026"/>
    <x v="0"/>
    <n v="1"/>
    <x v="0"/>
    <x v="0"/>
    <x v="5"/>
    <x v="1"/>
    <s v="Business"/>
    <x v="1"/>
    <x v="1"/>
    <n v="6"/>
    <n v="153.38999999999999"/>
    <n v="0.1"/>
    <n v="78.59"/>
    <x v="68"/>
    <n v="471.54"/>
    <n v="356.76599999999991"/>
    <n v="0.43071763333840385"/>
  </r>
  <r>
    <n v="1103"/>
    <d v="2026-01-27T00:00:00"/>
    <n v="2026"/>
    <x v="0"/>
    <n v="1"/>
    <x v="0"/>
    <x v="3"/>
    <x v="11"/>
    <x v="0"/>
    <s v="Business"/>
    <x v="2"/>
    <x v="2"/>
    <n v="5"/>
    <n v="81.260000000000005"/>
    <n v="0.2"/>
    <n v="39.119999999999997"/>
    <x v="69"/>
    <n v="195.6"/>
    <n v="129.44000000000003"/>
    <n v="0.3982279104110264"/>
  </r>
  <r>
    <n v="1327"/>
    <d v="2026-01-27T00:00:00"/>
    <n v="2026"/>
    <x v="0"/>
    <n v="1"/>
    <x v="0"/>
    <x v="3"/>
    <x v="11"/>
    <x v="3"/>
    <s v="Business"/>
    <x v="4"/>
    <x v="16"/>
    <n v="8"/>
    <n v="46.99"/>
    <n v="0"/>
    <n v="18.11"/>
    <x v="70"/>
    <n v="144.88"/>
    <n v="231.04000000000002"/>
    <n v="0.61459885081932331"/>
  </r>
  <r>
    <n v="1442"/>
    <d v="2026-01-27T00:00:00"/>
    <n v="2026"/>
    <x v="0"/>
    <n v="1"/>
    <x v="0"/>
    <x v="1"/>
    <x v="3"/>
    <x v="1"/>
    <s v="New"/>
    <x v="4"/>
    <x v="7"/>
    <n v="5"/>
    <n v="29.95"/>
    <n v="0.2"/>
    <n v="11.5"/>
    <x v="43"/>
    <n v="57.5"/>
    <n v="62.300000000000011"/>
    <n v="0.52003338898163609"/>
  </r>
  <r>
    <n v="1457"/>
    <d v="2026-01-27T00:00:00"/>
    <n v="2026"/>
    <x v="0"/>
    <n v="1"/>
    <x v="0"/>
    <x v="0"/>
    <x v="5"/>
    <x v="3"/>
    <s v="New"/>
    <x v="1"/>
    <x v="8"/>
    <n v="14"/>
    <n v="94.18"/>
    <n v="0"/>
    <n v="45.03"/>
    <x v="71"/>
    <n v="630.42000000000007"/>
    <n v="688.09999999999991"/>
    <n v="0.5218730091314504"/>
  </r>
  <r>
    <n v="1474"/>
    <d v="2026-01-27T00:00:00"/>
    <n v="2026"/>
    <x v="0"/>
    <n v="1"/>
    <x v="0"/>
    <x v="0"/>
    <x v="0"/>
    <x v="0"/>
    <s v="New"/>
    <x v="3"/>
    <x v="4"/>
    <n v="3"/>
    <n v="32.99"/>
    <n v="0.15"/>
    <n v="12.5"/>
    <x v="72"/>
    <n v="37.5"/>
    <n v="46.624499999999998"/>
    <n v="0.55423212025034319"/>
  </r>
  <r>
    <n v="1050"/>
    <d v="2026-01-28T00:00:00"/>
    <n v="2026"/>
    <x v="0"/>
    <n v="1"/>
    <x v="0"/>
    <x v="0"/>
    <x v="5"/>
    <x v="1"/>
    <s v="New"/>
    <x v="4"/>
    <x v="13"/>
    <n v="10"/>
    <n v="89.99"/>
    <n v="0.15"/>
    <n v="42.25"/>
    <x v="73"/>
    <n v="422.5"/>
    <n v="342.41499999999996"/>
    <n v="0.44765104619467522"/>
  </r>
  <r>
    <n v="1382"/>
    <d v="2026-01-28T00:00:00"/>
    <n v="2026"/>
    <x v="0"/>
    <n v="1"/>
    <x v="0"/>
    <x v="3"/>
    <x v="6"/>
    <x v="0"/>
    <s v="Returning"/>
    <x v="1"/>
    <x v="5"/>
    <n v="8"/>
    <n v="54.75"/>
    <n v="0.05"/>
    <n v="24.3"/>
    <x v="74"/>
    <n v="194.4"/>
    <n v="221.69999999999996"/>
    <n v="0.53280461427541448"/>
  </r>
  <r>
    <n v="1323"/>
    <d v="2026-01-30T00:00:00"/>
    <n v="2026"/>
    <x v="0"/>
    <n v="1"/>
    <x v="0"/>
    <x v="1"/>
    <x v="2"/>
    <x v="2"/>
    <s v="Business"/>
    <x v="0"/>
    <x v="0"/>
    <n v="15"/>
    <n v="49.6"/>
    <n v="0.2"/>
    <n v="23.05"/>
    <x v="75"/>
    <n v="345.75"/>
    <n v="249.45000000000005"/>
    <n v="0.41910282258064518"/>
  </r>
  <r>
    <n v="1365"/>
    <d v="2026-01-30T00:00:00"/>
    <n v="2026"/>
    <x v="0"/>
    <n v="1"/>
    <x v="0"/>
    <x v="0"/>
    <x v="9"/>
    <x v="2"/>
    <s v="Business"/>
    <x v="4"/>
    <x v="16"/>
    <n v="2"/>
    <n v="46.99"/>
    <n v="0"/>
    <n v="18.11"/>
    <x v="76"/>
    <n v="36.22"/>
    <n v="57.760000000000005"/>
    <n v="0.61459885081932331"/>
  </r>
  <r>
    <n v="1462"/>
    <d v="2026-01-30T00:00:00"/>
    <n v="2026"/>
    <x v="0"/>
    <n v="1"/>
    <x v="0"/>
    <x v="0"/>
    <x v="0"/>
    <x v="0"/>
    <s v="Business"/>
    <x v="2"/>
    <x v="9"/>
    <n v="9"/>
    <n v="347.51"/>
    <n v="0.05"/>
    <n v="190.16"/>
    <x v="77"/>
    <n v="1711.44"/>
    <n v="1259.7705000000001"/>
    <n v="0.42399234251494466"/>
  </r>
  <r>
    <n v="1087"/>
    <d v="2026-01-31T00:00:00"/>
    <n v="2026"/>
    <x v="0"/>
    <n v="1"/>
    <x v="0"/>
    <x v="3"/>
    <x v="13"/>
    <x v="3"/>
    <s v="Returning"/>
    <x v="1"/>
    <x v="5"/>
    <n v="5"/>
    <n v="54.75"/>
    <n v="0.2"/>
    <n v="24.3"/>
    <x v="78"/>
    <n v="121.5"/>
    <n v="97.5"/>
    <n v="0.4452054794520548"/>
  </r>
  <r>
    <n v="1282"/>
    <d v="2026-01-31T00:00:00"/>
    <n v="2026"/>
    <x v="0"/>
    <n v="1"/>
    <x v="0"/>
    <x v="0"/>
    <x v="1"/>
    <x v="3"/>
    <s v="New"/>
    <x v="3"/>
    <x v="19"/>
    <n v="7"/>
    <n v="124.97"/>
    <n v="0"/>
    <n v="67.36"/>
    <x v="79"/>
    <n v="471.52"/>
    <n v="403.27"/>
    <n v="0.46099063775306071"/>
  </r>
  <r>
    <n v="1006"/>
    <d v="2026-02-01T00:00:00"/>
    <n v="2026"/>
    <x v="0"/>
    <n v="2"/>
    <x v="1"/>
    <x v="0"/>
    <x v="9"/>
    <x v="3"/>
    <s v="Business"/>
    <x v="3"/>
    <x v="18"/>
    <n v="14"/>
    <n v="35.78"/>
    <n v="0.2"/>
    <n v="13.84"/>
    <x v="80"/>
    <n v="193.76"/>
    <n v="206.97600000000006"/>
    <n v="0.51648965902738964"/>
  </r>
  <r>
    <n v="1245"/>
    <d v="2026-02-01T00:00:00"/>
    <n v="2026"/>
    <x v="0"/>
    <n v="2"/>
    <x v="1"/>
    <x v="0"/>
    <x v="0"/>
    <x v="3"/>
    <s v="Business"/>
    <x v="4"/>
    <x v="16"/>
    <n v="5"/>
    <n v="46.99"/>
    <n v="0"/>
    <n v="18.11"/>
    <x v="81"/>
    <n v="90.55"/>
    <n v="144.40000000000003"/>
    <n v="0.61459885081932331"/>
  </r>
  <r>
    <n v="1436"/>
    <d v="2026-02-01T00:00:00"/>
    <n v="2026"/>
    <x v="0"/>
    <n v="2"/>
    <x v="1"/>
    <x v="1"/>
    <x v="12"/>
    <x v="2"/>
    <s v="New"/>
    <x v="4"/>
    <x v="13"/>
    <n v="10"/>
    <n v="89.99"/>
    <n v="0.1"/>
    <n v="42.25"/>
    <x v="82"/>
    <n v="422.5"/>
    <n v="387.40999999999997"/>
    <n v="0.47833709918385992"/>
  </r>
  <r>
    <n v="1342"/>
    <d v="2026-02-02T00:00:00"/>
    <n v="2026"/>
    <x v="0"/>
    <n v="2"/>
    <x v="1"/>
    <x v="3"/>
    <x v="13"/>
    <x v="0"/>
    <s v="New"/>
    <x v="1"/>
    <x v="1"/>
    <n v="14"/>
    <n v="153.38999999999999"/>
    <n v="0"/>
    <n v="78.59"/>
    <x v="83"/>
    <n v="1100.26"/>
    <n v="1047.2"/>
    <n v="0.48764587000456355"/>
  </r>
  <r>
    <n v="1351"/>
    <d v="2026-02-03T00:00:00"/>
    <n v="2026"/>
    <x v="0"/>
    <n v="2"/>
    <x v="1"/>
    <x v="3"/>
    <x v="7"/>
    <x v="1"/>
    <s v="New"/>
    <x v="0"/>
    <x v="3"/>
    <n v="12"/>
    <n v="82.06"/>
    <n v="0.05"/>
    <n v="42.94"/>
    <x v="84"/>
    <n v="515.28"/>
    <n v="420.20400000000006"/>
    <n v="0.44918352425054842"/>
  </r>
  <r>
    <n v="1360"/>
    <d v="2026-02-03T00:00:00"/>
    <n v="2026"/>
    <x v="0"/>
    <n v="2"/>
    <x v="1"/>
    <x v="0"/>
    <x v="0"/>
    <x v="1"/>
    <s v="Returning"/>
    <x v="4"/>
    <x v="16"/>
    <n v="13"/>
    <n v="46.99"/>
    <n v="0.1"/>
    <n v="18.11"/>
    <x v="85"/>
    <n v="235.43"/>
    <n v="314.35300000000001"/>
    <n v="0.57177650091035914"/>
  </r>
  <r>
    <n v="1440"/>
    <d v="2026-02-03T00:00:00"/>
    <n v="2026"/>
    <x v="0"/>
    <n v="2"/>
    <x v="1"/>
    <x v="3"/>
    <x v="6"/>
    <x v="3"/>
    <s v="New"/>
    <x v="1"/>
    <x v="1"/>
    <n v="10"/>
    <n v="153.38999999999999"/>
    <n v="0.05"/>
    <n v="78.59"/>
    <x v="86"/>
    <n v="785.90000000000009"/>
    <n v="671.30499999999961"/>
    <n v="0.46067986316269827"/>
  </r>
  <r>
    <n v="1211"/>
    <d v="2026-02-04T00:00:00"/>
    <n v="2026"/>
    <x v="0"/>
    <n v="2"/>
    <x v="1"/>
    <x v="1"/>
    <x v="2"/>
    <x v="3"/>
    <s v="Business"/>
    <x v="1"/>
    <x v="5"/>
    <n v="2"/>
    <n v="54.75"/>
    <n v="0.2"/>
    <n v="24.3"/>
    <x v="87"/>
    <n v="48.6"/>
    <n v="39.000000000000007"/>
    <n v="0.44520547945205485"/>
  </r>
  <r>
    <n v="1249"/>
    <d v="2026-02-05T00:00:00"/>
    <n v="2026"/>
    <x v="0"/>
    <n v="2"/>
    <x v="1"/>
    <x v="1"/>
    <x v="3"/>
    <x v="0"/>
    <s v="Business"/>
    <x v="1"/>
    <x v="5"/>
    <n v="11"/>
    <n v="54.75"/>
    <n v="0.1"/>
    <n v="24.3"/>
    <x v="88"/>
    <n v="267.3"/>
    <n v="274.72499999999997"/>
    <n v="0.50684931506849307"/>
  </r>
  <r>
    <n v="1299"/>
    <d v="2026-02-05T00:00:00"/>
    <n v="2026"/>
    <x v="0"/>
    <n v="2"/>
    <x v="1"/>
    <x v="1"/>
    <x v="3"/>
    <x v="2"/>
    <s v="Returning"/>
    <x v="4"/>
    <x v="11"/>
    <n v="2"/>
    <n v="36.72"/>
    <n v="0.1"/>
    <n v="13.76"/>
    <x v="89"/>
    <n v="27.52"/>
    <n v="38.576000000000008"/>
    <n v="0.58363592350520466"/>
  </r>
  <r>
    <n v="1393"/>
    <d v="2026-02-05T00:00:00"/>
    <n v="2026"/>
    <x v="0"/>
    <n v="2"/>
    <x v="1"/>
    <x v="0"/>
    <x v="1"/>
    <x v="1"/>
    <s v="New"/>
    <x v="3"/>
    <x v="19"/>
    <n v="11"/>
    <n v="124.97"/>
    <n v="0.15"/>
    <n v="67.36"/>
    <x v="90"/>
    <n v="740.96"/>
    <n v="427.50949999999989"/>
    <n v="0.36587133853301257"/>
  </r>
  <r>
    <n v="1115"/>
    <d v="2026-02-06T00:00:00"/>
    <n v="2026"/>
    <x v="0"/>
    <n v="2"/>
    <x v="1"/>
    <x v="0"/>
    <x v="1"/>
    <x v="3"/>
    <s v="Business"/>
    <x v="0"/>
    <x v="10"/>
    <n v="13"/>
    <n v="28.5"/>
    <n v="0.05"/>
    <n v="12.8"/>
    <x v="91"/>
    <n v="166.4"/>
    <n v="185.57499999999996"/>
    <n v="0.52723915050784853"/>
  </r>
  <r>
    <n v="1206"/>
    <d v="2026-02-06T00:00:00"/>
    <n v="2026"/>
    <x v="0"/>
    <n v="2"/>
    <x v="1"/>
    <x v="0"/>
    <x v="9"/>
    <x v="3"/>
    <s v="New"/>
    <x v="1"/>
    <x v="8"/>
    <n v="4"/>
    <n v="94.18"/>
    <n v="0.2"/>
    <n v="45.03"/>
    <x v="92"/>
    <n v="180.12"/>
    <n v="121.25600000000003"/>
    <n v="0.40234126141431309"/>
  </r>
  <r>
    <n v="1278"/>
    <d v="2026-02-06T00:00:00"/>
    <n v="2026"/>
    <x v="0"/>
    <n v="2"/>
    <x v="1"/>
    <x v="0"/>
    <x v="9"/>
    <x v="2"/>
    <s v="New"/>
    <x v="3"/>
    <x v="4"/>
    <n v="7"/>
    <n v="32.99"/>
    <n v="0.15"/>
    <n v="12.5"/>
    <x v="93"/>
    <n v="87.5"/>
    <n v="108.79050000000001"/>
    <n v="0.5542321202503433"/>
  </r>
  <r>
    <n v="1321"/>
    <d v="2026-02-06T00:00:00"/>
    <n v="2026"/>
    <x v="0"/>
    <n v="2"/>
    <x v="1"/>
    <x v="2"/>
    <x v="4"/>
    <x v="0"/>
    <s v="New"/>
    <x v="4"/>
    <x v="13"/>
    <n v="13"/>
    <n v="89.99"/>
    <n v="0"/>
    <n v="42.25"/>
    <x v="94"/>
    <n v="549.25"/>
    <n v="620.61999999999989"/>
    <n v="0.53050338926547391"/>
  </r>
  <r>
    <n v="1343"/>
    <d v="2026-02-06T00:00:00"/>
    <n v="2026"/>
    <x v="0"/>
    <n v="2"/>
    <x v="1"/>
    <x v="2"/>
    <x v="10"/>
    <x v="1"/>
    <s v="New"/>
    <x v="2"/>
    <x v="2"/>
    <n v="2"/>
    <n v="81.260000000000005"/>
    <n v="0.2"/>
    <n v="39.119999999999997"/>
    <x v="95"/>
    <n v="78.239999999999995"/>
    <n v="51.776000000000025"/>
    <n v="0.39822791041102645"/>
  </r>
  <r>
    <n v="1429"/>
    <d v="2026-02-06T00:00:00"/>
    <n v="2026"/>
    <x v="0"/>
    <n v="2"/>
    <x v="1"/>
    <x v="0"/>
    <x v="9"/>
    <x v="1"/>
    <s v="Business"/>
    <x v="2"/>
    <x v="6"/>
    <n v="12"/>
    <n v="194.35"/>
    <n v="0"/>
    <n v="104.22"/>
    <x v="96"/>
    <n v="1250.6399999999999"/>
    <n v="1081.56"/>
    <n v="0.46375096475430927"/>
  </r>
  <r>
    <n v="1140"/>
    <d v="2026-02-07T00:00:00"/>
    <n v="2026"/>
    <x v="0"/>
    <n v="2"/>
    <x v="1"/>
    <x v="3"/>
    <x v="11"/>
    <x v="2"/>
    <s v="Returning"/>
    <x v="1"/>
    <x v="8"/>
    <n v="11"/>
    <n v="94.18"/>
    <n v="0"/>
    <n v="45.03"/>
    <x v="97"/>
    <n v="495.33000000000004"/>
    <n v="540.65"/>
    <n v="0.5218730091314504"/>
  </r>
  <r>
    <n v="1308"/>
    <d v="2026-02-07T00:00:00"/>
    <n v="2026"/>
    <x v="0"/>
    <n v="2"/>
    <x v="1"/>
    <x v="1"/>
    <x v="12"/>
    <x v="0"/>
    <s v="Returning"/>
    <x v="2"/>
    <x v="6"/>
    <n v="7"/>
    <n v="194.35"/>
    <n v="0.05"/>
    <n v="104.22"/>
    <x v="98"/>
    <n v="729.54"/>
    <n v="562.88750000000005"/>
    <n v="0.43552733132032556"/>
  </r>
  <r>
    <n v="1092"/>
    <d v="2026-02-08T00:00:00"/>
    <n v="2026"/>
    <x v="0"/>
    <n v="2"/>
    <x v="1"/>
    <x v="2"/>
    <x v="14"/>
    <x v="2"/>
    <s v="Business"/>
    <x v="1"/>
    <x v="8"/>
    <n v="9"/>
    <n v="94.18"/>
    <n v="0.1"/>
    <n v="45.03"/>
    <x v="99"/>
    <n v="405.27"/>
    <n v="357.58800000000019"/>
    <n v="0.46874778792383393"/>
  </r>
  <r>
    <n v="1174"/>
    <d v="2026-02-08T00:00:00"/>
    <n v="2026"/>
    <x v="0"/>
    <n v="2"/>
    <x v="1"/>
    <x v="1"/>
    <x v="2"/>
    <x v="2"/>
    <s v="Returning"/>
    <x v="0"/>
    <x v="17"/>
    <n v="12"/>
    <n v="100.12"/>
    <n v="0"/>
    <n v="49.67"/>
    <x v="100"/>
    <n v="596.04"/>
    <n v="605.40000000000009"/>
    <n v="0.50389532560926897"/>
  </r>
  <r>
    <n v="1289"/>
    <d v="2026-02-08T00:00:00"/>
    <n v="2026"/>
    <x v="0"/>
    <n v="2"/>
    <x v="1"/>
    <x v="1"/>
    <x v="12"/>
    <x v="0"/>
    <s v="Business"/>
    <x v="3"/>
    <x v="4"/>
    <n v="6"/>
    <n v="32.99"/>
    <n v="0"/>
    <n v="12.5"/>
    <x v="101"/>
    <n v="75"/>
    <n v="122.94"/>
    <n v="0.6210973022127918"/>
  </r>
  <r>
    <n v="1355"/>
    <d v="2026-02-08T00:00:00"/>
    <n v="2026"/>
    <x v="0"/>
    <n v="2"/>
    <x v="1"/>
    <x v="0"/>
    <x v="0"/>
    <x v="2"/>
    <s v="Returning"/>
    <x v="1"/>
    <x v="8"/>
    <n v="15"/>
    <n v="94.18"/>
    <n v="0"/>
    <n v="45.03"/>
    <x v="102"/>
    <n v="675.45"/>
    <n v="737.25"/>
    <n v="0.5218730091314504"/>
  </r>
  <r>
    <n v="1444"/>
    <d v="2026-02-08T00:00:00"/>
    <n v="2026"/>
    <x v="0"/>
    <n v="2"/>
    <x v="1"/>
    <x v="3"/>
    <x v="6"/>
    <x v="2"/>
    <s v="Business"/>
    <x v="3"/>
    <x v="4"/>
    <n v="11"/>
    <n v="32.99"/>
    <n v="0.05"/>
    <n v="12.5"/>
    <x v="103"/>
    <n v="137.5"/>
    <n v="207.24550000000005"/>
    <n v="0.60115505496083343"/>
  </r>
  <r>
    <n v="1045"/>
    <d v="2026-02-09T00:00:00"/>
    <n v="2026"/>
    <x v="0"/>
    <n v="2"/>
    <x v="1"/>
    <x v="3"/>
    <x v="13"/>
    <x v="3"/>
    <s v="New"/>
    <x v="1"/>
    <x v="5"/>
    <n v="1"/>
    <n v="54.75"/>
    <n v="0"/>
    <n v="24.3"/>
    <x v="104"/>
    <n v="24.3"/>
    <n v="30.45"/>
    <n v="0.55616438356164377"/>
  </r>
  <r>
    <n v="1135"/>
    <d v="2026-02-09T00:00:00"/>
    <n v="2026"/>
    <x v="0"/>
    <n v="2"/>
    <x v="1"/>
    <x v="0"/>
    <x v="9"/>
    <x v="3"/>
    <s v="Returning"/>
    <x v="2"/>
    <x v="2"/>
    <n v="5"/>
    <n v="81.260000000000005"/>
    <n v="0"/>
    <n v="39.119999999999997"/>
    <x v="105"/>
    <n v="195.6"/>
    <n v="210.70000000000002"/>
    <n v="0.51858232832882112"/>
  </r>
  <r>
    <n v="1169"/>
    <d v="2026-02-09T00:00:00"/>
    <n v="2026"/>
    <x v="0"/>
    <n v="2"/>
    <x v="1"/>
    <x v="1"/>
    <x v="12"/>
    <x v="0"/>
    <s v="Business"/>
    <x v="2"/>
    <x v="2"/>
    <n v="13"/>
    <n v="81.260000000000005"/>
    <n v="0.15"/>
    <n v="39.119999999999997"/>
    <x v="106"/>
    <n v="508.55999999999995"/>
    <n v="389.36300000000017"/>
    <n v="0.43362626862214254"/>
  </r>
  <r>
    <n v="1463"/>
    <d v="2026-02-09T00:00:00"/>
    <n v="2026"/>
    <x v="0"/>
    <n v="2"/>
    <x v="1"/>
    <x v="3"/>
    <x v="6"/>
    <x v="3"/>
    <s v="Business"/>
    <x v="4"/>
    <x v="13"/>
    <n v="11"/>
    <n v="89.99"/>
    <n v="0"/>
    <n v="42.25"/>
    <x v="107"/>
    <n v="464.75"/>
    <n v="525.14"/>
    <n v="0.53050338926547391"/>
  </r>
  <r>
    <n v="1004"/>
    <d v="2026-02-10T00:00:00"/>
    <n v="2026"/>
    <x v="0"/>
    <n v="2"/>
    <x v="1"/>
    <x v="0"/>
    <x v="5"/>
    <x v="1"/>
    <s v="Returning"/>
    <x v="4"/>
    <x v="16"/>
    <n v="4"/>
    <n v="46.99"/>
    <n v="0.05"/>
    <n v="18.11"/>
    <x v="108"/>
    <n v="72.44"/>
    <n v="106.12200000000001"/>
    <n v="0.59431457980981395"/>
  </r>
  <r>
    <n v="1228"/>
    <d v="2026-02-10T00:00:00"/>
    <n v="2026"/>
    <x v="0"/>
    <n v="2"/>
    <x v="1"/>
    <x v="0"/>
    <x v="0"/>
    <x v="1"/>
    <s v="New"/>
    <x v="2"/>
    <x v="6"/>
    <n v="8"/>
    <n v="194.35"/>
    <n v="0"/>
    <n v="104.22"/>
    <x v="109"/>
    <n v="833.76"/>
    <n v="721.04"/>
    <n v="0.46375096475430921"/>
  </r>
  <r>
    <n v="1369"/>
    <d v="2026-02-10T00:00:00"/>
    <n v="2026"/>
    <x v="0"/>
    <n v="2"/>
    <x v="1"/>
    <x v="2"/>
    <x v="14"/>
    <x v="1"/>
    <s v="Returning"/>
    <x v="3"/>
    <x v="12"/>
    <n v="4"/>
    <n v="40.6"/>
    <n v="0.2"/>
    <n v="15.04"/>
    <x v="110"/>
    <n v="60.16"/>
    <n v="69.760000000000019"/>
    <n v="0.53694581280788189"/>
  </r>
  <r>
    <n v="1384"/>
    <d v="2026-02-10T00:00:00"/>
    <n v="2026"/>
    <x v="0"/>
    <n v="2"/>
    <x v="1"/>
    <x v="2"/>
    <x v="14"/>
    <x v="2"/>
    <s v="New"/>
    <x v="1"/>
    <x v="1"/>
    <n v="3"/>
    <n v="153.38999999999999"/>
    <n v="0"/>
    <n v="78.59"/>
    <x v="111"/>
    <n v="235.77"/>
    <n v="224.39999999999995"/>
    <n v="0.48764587000456344"/>
  </r>
  <r>
    <n v="1254"/>
    <d v="2026-02-11T00:00:00"/>
    <n v="2026"/>
    <x v="0"/>
    <n v="2"/>
    <x v="1"/>
    <x v="0"/>
    <x v="5"/>
    <x v="3"/>
    <s v="Business"/>
    <x v="1"/>
    <x v="8"/>
    <n v="12"/>
    <n v="94.18"/>
    <n v="0.05"/>
    <n v="45.03"/>
    <x v="112"/>
    <n v="540.36"/>
    <n v="533.29200000000003"/>
    <n v="0.49670843066468467"/>
  </r>
  <r>
    <n v="1412"/>
    <d v="2026-02-11T00:00:00"/>
    <n v="2026"/>
    <x v="0"/>
    <n v="2"/>
    <x v="1"/>
    <x v="1"/>
    <x v="3"/>
    <x v="0"/>
    <s v="Business"/>
    <x v="0"/>
    <x v="17"/>
    <n v="10"/>
    <n v="100.12"/>
    <n v="0.15"/>
    <n v="49.67"/>
    <x v="113"/>
    <n v="496.70000000000005"/>
    <n v="354.31999999999994"/>
    <n v="0.41634744189325745"/>
  </r>
  <r>
    <n v="1466"/>
    <d v="2026-02-11T00:00:00"/>
    <n v="2026"/>
    <x v="0"/>
    <n v="2"/>
    <x v="1"/>
    <x v="1"/>
    <x v="3"/>
    <x v="3"/>
    <s v="Returning"/>
    <x v="2"/>
    <x v="15"/>
    <n v="12"/>
    <n v="41.22"/>
    <n v="0.1"/>
    <n v="16.64"/>
    <x v="114"/>
    <n v="199.68"/>
    <n v="245.49599999999998"/>
    <n v="0.55145829963879456"/>
  </r>
  <r>
    <n v="1069"/>
    <d v="2026-02-12T00:00:00"/>
    <n v="2026"/>
    <x v="0"/>
    <n v="2"/>
    <x v="1"/>
    <x v="0"/>
    <x v="1"/>
    <x v="1"/>
    <s v="Returning"/>
    <x v="3"/>
    <x v="12"/>
    <n v="15"/>
    <n v="40.6"/>
    <n v="0.1"/>
    <n v="15.04"/>
    <x v="115"/>
    <n v="225.6"/>
    <n v="322.5"/>
    <n v="0.58839627805145045"/>
  </r>
  <r>
    <n v="1218"/>
    <d v="2026-02-12T00:00:00"/>
    <n v="2026"/>
    <x v="0"/>
    <n v="2"/>
    <x v="1"/>
    <x v="3"/>
    <x v="11"/>
    <x v="1"/>
    <s v="New"/>
    <x v="1"/>
    <x v="1"/>
    <n v="9"/>
    <n v="153.38999999999999"/>
    <n v="0.05"/>
    <n v="78.59"/>
    <x v="116"/>
    <n v="707.31000000000006"/>
    <n v="604.17449999999974"/>
    <n v="0.46067986316269832"/>
  </r>
  <r>
    <n v="1332"/>
    <d v="2026-02-12T00:00:00"/>
    <n v="2026"/>
    <x v="0"/>
    <n v="2"/>
    <x v="1"/>
    <x v="0"/>
    <x v="5"/>
    <x v="1"/>
    <s v="New"/>
    <x v="1"/>
    <x v="14"/>
    <n v="6"/>
    <n v="143.66999999999999"/>
    <n v="0.1"/>
    <n v="81.22"/>
    <x v="117"/>
    <n v="487.32"/>
    <n v="288.49799999999999"/>
    <n v="0.37186298848441257"/>
  </r>
  <r>
    <n v="1459"/>
    <d v="2026-02-12T00:00:00"/>
    <n v="2026"/>
    <x v="0"/>
    <n v="2"/>
    <x v="1"/>
    <x v="0"/>
    <x v="9"/>
    <x v="2"/>
    <s v="Business"/>
    <x v="1"/>
    <x v="14"/>
    <n v="12"/>
    <n v="143.66999999999999"/>
    <n v="0"/>
    <n v="81.22"/>
    <x v="118"/>
    <n v="974.64"/>
    <n v="749.4"/>
    <n v="0.43467668963597134"/>
  </r>
  <r>
    <n v="1167"/>
    <d v="2026-02-13T00:00:00"/>
    <n v="2026"/>
    <x v="0"/>
    <n v="2"/>
    <x v="1"/>
    <x v="1"/>
    <x v="3"/>
    <x v="3"/>
    <s v="Business"/>
    <x v="0"/>
    <x v="0"/>
    <n v="15"/>
    <n v="49.6"/>
    <n v="0.05"/>
    <n v="23.05"/>
    <x v="119"/>
    <n v="345.75"/>
    <n v="361.04999999999995"/>
    <n v="0.51082342954159587"/>
  </r>
  <r>
    <n v="1287"/>
    <d v="2026-02-13T00:00:00"/>
    <n v="2026"/>
    <x v="0"/>
    <n v="2"/>
    <x v="1"/>
    <x v="2"/>
    <x v="8"/>
    <x v="1"/>
    <s v="Business"/>
    <x v="1"/>
    <x v="5"/>
    <n v="3"/>
    <n v="54.75"/>
    <n v="0.15"/>
    <n v="24.3"/>
    <x v="120"/>
    <n v="72.900000000000006"/>
    <n v="66.712499999999977"/>
    <n v="0.47784045124899266"/>
  </r>
  <r>
    <n v="1295"/>
    <d v="2026-02-13T00:00:00"/>
    <n v="2026"/>
    <x v="0"/>
    <n v="2"/>
    <x v="1"/>
    <x v="1"/>
    <x v="2"/>
    <x v="1"/>
    <s v="Returning"/>
    <x v="2"/>
    <x v="6"/>
    <n v="10"/>
    <n v="194.35"/>
    <n v="0"/>
    <n v="104.22"/>
    <x v="121"/>
    <n v="1042.2"/>
    <n v="901.3"/>
    <n v="0.46375096475430921"/>
  </r>
  <r>
    <n v="1417"/>
    <d v="2026-02-13T00:00:00"/>
    <n v="2026"/>
    <x v="0"/>
    <n v="2"/>
    <x v="1"/>
    <x v="2"/>
    <x v="14"/>
    <x v="0"/>
    <s v="New"/>
    <x v="2"/>
    <x v="9"/>
    <n v="5"/>
    <n v="347.51"/>
    <n v="0.1"/>
    <n v="190.16"/>
    <x v="122"/>
    <n v="950.8"/>
    <n v="612.99500000000012"/>
    <n v="0.3919919170991083"/>
  </r>
  <r>
    <n v="1242"/>
    <d v="2026-02-14T00:00:00"/>
    <n v="2026"/>
    <x v="0"/>
    <n v="2"/>
    <x v="1"/>
    <x v="0"/>
    <x v="5"/>
    <x v="3"/>
    <s v="Business"/>
    <x v="3"/>
    <x v="18"/>
    <n v="11"/>
    <n v="35.78"/>
    <n v="0.2"/>
    <n v="13.84"/>
    <x v="123"/>
    <n v="152.24"/>
    <n v="162.62400000000002"/>
    <n v="0.51648965902738964"/>
  </r>
  <r>
    <n v="1324"/>
    <d v="2026-02-14T00:00:00"/>
    <n v="2026"/>
    <x v="0"/>
    <n v="2"/>
    <x v="1"/>
    <x v="3"/>
    <x v="11"/>
    <x v="0"/>
    <s v="Business"/>
    <x v="3"/>
    <x v="4"/>
    <n v="8"/>
    <n v="32.99"/>
    <n v="0"/>
    <n v="12.5"/>
    <x v="124"/>
    <n v="100"/>
    <n v="163.92000000000002"/>
    <n v="0.6210973022127918"/>
  </r>
  <r>
    <n v="1401"/>
    <d v="2026-02-15T00:00:00"/>
    <n v="2026"/>
    <x v="0"/>
    <n v="2"/>
    <x v="1"/>
    <x v="2"/>
    <x v="14"/>
    <x v="2"/>
    <s v="Returning"/>
    <x v="0"/>
    <x v="0"/>
    <n v="10"/>
    <n v="49.6"/>
    <n v="0.2"/>
    <n v="23.05"/>
    <x v="125"/>
    <n v="230.5"/>
    <n v="166.3"/>
    <n v="0.41910282258064518"/>
  </r>
  <r>
    <n v="1405"/>
    <d v="2026-02-15T00:00:00"/>
    <n v="2026"/>
    <x v="0"/>
    <n v="2"/>
    <x v="1"/>
    <x v="1"/>
    <x v="3"/>
    <x v="1"/>
    <s v="Returning"/>
    <x v="3"/>
    <x v="4"/>
    <n v="14"/>
    <n v="32.99"/>
    <n v="0.15"/>
    <n v="12.5"/>
    <x v="126"/>
    <n v="175"/>
    <n v="217.58100000000002"/>
    <n v="0.5542321202503433"/>
  </r>
  <r>
    <n v="1082"/>
    <d v="2026-02-16T00:00:00"/>
    <n v="2026"/>
    <x v="0"/>
    <n v="2"/>
    <x v="1"/>
    <x v="0"/>
    <x v="1"/>
    <x v="3"/>
    <s v="Business"/>
    <x v="4"/>
    <x v="7"/>
    <n v="6"/>
    <n v="29.95"/>
    <n v="0.05"/>
    <n v="11.5"/>
    <x v="127"/>
    <n v="69"/>
    <n v="101.71499999999997"/>
    <n v="0.59581759072137763"/>
  </r>
  <r>
    <n v="1154"/>
    <d v="2026-02-16T00:00:00"/>
    <n v="2026"/>
    <x v="0"/>
    <n v="2"/>
    <x v="1"/>
    <x v="2"/>
    <x v="4"/>
    <x v="2"/>
    <s v="Business"/>
    <x v="4"/>
    <x v="7"/>
    <n v="1"/>
    <n v="29.95"/>
    <n v="0"/>
    <n v="11.5"/>
    <x v="128"/>
    <n v="11.5"/>
    <n v="18.45"/>
    <n v="0.61602671118530883"/>
  </r>
  <r>
    <n v="1182"/>
    <d v="2026-02-16T00:00:00"/>
    <n v="2026"/>
    <x v="0"/>
    <n v="2"/>
    <x v="1"/>
    <x v="3"/>
    <x v="7"/>
    <x v="2"/>
    <s v="New"/>
    <x v="0"/>
    <x v="10"/>
    <n v="6"/>
    <n v="28.5"/>
    <n v="0.2"/>
    <n v="12.8"/>
    <x v="129"/>
    <n v="76.800000000000011"/>
    <n v="60"/>
    <n v="0.43859649122807015"/>
  </r>
  <r>
    <n v="1325"/>
    <d v="2026-02-17T00:00:00"/>
    <n v="2026"/>
    <x v="0"/>
    <n v="2"/>
    <x v="1"/>
    <x v="3"/>
    <x v="7"/>
    <x v="2"/>
    <s v="New"/>
    <x v="2"/>
    <x v="9"/>
    <n v="12"/>
    <n v="347.51"/>
    <n v="0.15"/>
    <n v="190.16"/>
    <x v="12"/>
    <n v="2281.92"/>
    <n v="1262.6819999999998"/>
    <n v="0.35622673575199693"/>
  </r>
  <r>
    <n v="1419"/>
    <d v="2026-02-17T00:00:00"/>
    <n v="2026"/>
    <x v="0"/>
    <n v="2"/>
    <x v="1"/>
    <x v="0"/>
    <x v="9"/>
    <x v="2"/>
    <s v="New"/>
    <x v="4"/>
    <x v="13"/>
    <n v="8"/>
    <n v="89.99"/>
    <n v="0.05"/>
    <n v="42.25"/>
    <x v="130"/>
    <n v="338"/>
    <n v="345.92399999999998"/>
    <n v="0.50579304133207781"/>
  </r>
  <r>
    <n v="1031"/>
    <d v="2026-02-18T00:00:00"/>
    <n v="2026"/>
    <x v="0"/>
    <n v="2"/>
    <x v="1"/>
    <x v="2"/>
    <x v="8"/>
    <x v="1"/>
    <s v="Returning"/>
    <x v="0"/>
    <x v="3"/>
    <n v="12"/>
    <n v="82.06"/>
    <n v="0.05"/>
    <n v="42.94"/>
    <x v="84"/>
    <n v="515.28"/>
    <n v="420.20400000000006"/>
    <n v="0.44918352425054842"/>
  </r>
  <r>
    <n v="1110"/>
    <d v="2026-02-18T00:00:00"/>
    <n v="2026"/>
    <x v="0"/>
    <n v="2"/>
    <x v="1"/>
    <x v="3"/>
    <x v="6"/>
    <x v="3"/>
    <s v="Returning"/>
    <x v="4"/>
    <x v="13"/>
    <n v="6"/>
    <n v="89.99"/>
    <n v="0.15"/>
    <n v="42.25"/>
    <x v="131"/>
    <n v="253.5"/>
    <n v="205.44899999999996"/>
    <n v="0.44765104619467516"/>
  </r>
  <r>
    <n v="1271"/>
    <d v="2026-02-18T00:00:00"/>
    <n v="2026"/>
    <x v="0"/>
    <n v="2"/>
    <x v="1"/>
    <x v="1"/>
    <x v="12"/>
    <x v="1"/>
    <s v="Returning"/>
    <x v="2"/>
    <x v="9"/>
    <n v="4"/>
    <n v="347.51"/>
    <n v="0"/>
    <n v="190.16"/>
    <x v="132"/>
    <n v="760.64"/>
    <n v="629.4"/>
    <n v="0.4527927253891974"/>
  </r>
  <r>
    <n v="1281"/>
    <d v="2026-02-18T00:00:00"/>
    <n v="2026"/>
    <x v="0"/>
    <n v="2"/>
    <x v="1"/>
    <x v="3"/>
    <x v="7"/>
    <x v="2"/>
    <s v="Returning"/>
    <x v="1"/>
    <x v="1"/>
    <n v="5"/>
    <n v="153.38999999999999"/>
    <n v="0"/>
    <n v="78.59"/>
    <x v="133"/>
    <n v="392.95000000000005"/>
    <n v="373.99999999999989"/>
    <n v="0.48764587000456344"/>
  </r>
  <r>
    <n v="1007"/>
    <d v="2026-02-19T00:00:00"/>
    <n v="2026"/>
    <x v="0"/>
    <n v="2"/>
    <x v="1"/>
    <x v="1"/>
    <x v="12"/>
    <x v="1"/>
    <s v="New"/>
    <x v="1"/>
    <x v="1"/>
    <n v="2"/>
    <n v="153.38999999999999"/>
    <n v="0"/>
    <n v="78.59"/>
    <x v="134"/>
    <n v="157.18"/>
    <n v="149.59999999999997"/>
    <n v="0.48764587000456344"/>
  </r>
  <r>
    <n v="1088"/>
    <d v="2026-02-19T00:00:00"/>
    <n v="2026"/>
    <x v="0"/>
    <n v="2"/>
    <x v="1"/>
    <x v="2"/>
    <x v="8"/>
    <x v="2"/>
    <s v="New"/>
    <x v="4"/>
    <x v="16"/>
    <n v="5"/>
    <n v="46.99"/>
    <n v="0"/>
    <n v="18.11"/>
    <x v="81"/>
    <n v="90.55"/>
    <n v="144.40000000000003"/>
    <n v="0.61459885081932331"/>
  </r>
  <r>
    <n v="1292"/>
    <d v="2026-02-19T00:00:00"/>
    <n v="2026"/>
    <x v="0"/>
    <n v="2"/>
    <x v="1"/>
    <x v="2"/>
    <x v="4"/>
    <x v="0"/>
    <s v="New"/>
    <x v="4"/>
    <x v="13"/>
    <n v="2"/>
    <n v="89.99"/>
    <n v="0.05"/>
    <n v="42.25"/>
    <x v="135"/>
    <n v="84.5"/>
    <n v="86.480999999999995"/>
    <n v="0.50579304133207781"/>
  </r>
  <r>
    <n v="1219"/>
    <d v="2026-02-20T00:00:00"/>
    <n v="2026"/>
    <x v="0"/>
    <n v="2"/>
    <x v="1"/>
    <x v="2"/>
    <x v="8"/>
    <x v="2"/>
    <s v="Business"/>
    <x v="4"/>
    <x v="11"/>
    <n v="9"/>
    <n v="36.72"/>
    <n v="0.2"/>
    <n v="13.76"/>
    <x v="136"/>
    <n v="123.84"/>
    <n v="140.54400000000001"/>
    <n v="0.53159041394335516"/>
  </r>
  <r>
    <n v="1234"/>
    <d v="2026-02-20T00:00:00"/>
    <n v="2026"/>
    <x v="0"/>
    <n v="2"/>
    <x v="1"/>
    <x v="0"/>
    <x v="9"/>
    <x v="3"/>
    <s v="New"/>
    <x v="0"/>
    <x v="3"/>
    <n v="3"/>
    <n v="82.06"/>
    <n v="0.2"/>
    <n v="42.94"/>
    <x v="137"/>
    <n v="128.82"/>
    <n v="68.124000000000024"/>
    <n v="0.3459054350475263"/>
  </r>
  <r>
    <n v="1465"/>
    <d v="2026-02-20T00:00:00"/>
    <n v="2026"/>
    <x v="0"/>
    <n v="2"/>
    <x v="1"/>
    <x v="3"/>
    <x v="11"/>
    <x v="0"/>
    <s v="New"/>
    <x v="3"/>
    <x v="19"/>
    <n v="6"/>
    <n v="124.97"/>
    <n v="0.2"/>
    <n v="67.36"/>
    <x v="138"/>
    <n v="404.15999999999997"/>
    <n v="195.69600000000003"/>
    <n v="0.32623829719132597"/>
  </r>
  <r>
    <n v="1047"/>
    <d v="2026-02-21T00:00:00"/>
    <n v="2026"/>
    <x v="0"/>
    <n v="2"/>
    <x v="1"/>
    <x v="0"/>
    <x v="5"/>
    <x v="2"/>
    <s v="New"/>
    <x v="4"/>
    <x v="16"/>
    <n v="4"/>
    <n v="46.99"/>
    <n v="0"/>
    <n v="18.11"/>
    <x v="139"/>
    <n v="72.44"/>
    <n v="115.52000000000001"/>
    <n v="0.61459885081932331"/>
  </r>
  <r>
    <n v="1185"/>
    <d v="2026-02-21T00:00:00"/>
    <n v="2026"/>
    <x v="0"/>
    <n v="2"/>
    <x v="1"/>
    <x v="3"/>
    <x v="11"/>
    <x v="1"/>
    <s v="Business"/>
    <x v="0"/>
    <x v="10"/>
    <n v="14"/>
    <n v="28.5"/>
    <n v="0.05"/>
    <n v="12.8"/>
    <x v="140"/>
    <n v="179.20000000000002"/>
    <n v="199.84999999999994"/>
    <n v="0.52723915050784842"/>
  </r>
  <r>
    <n v="1250"/>
    <d v="2026-02-21T00:00:00"/>
    <n v="2026"/>
    <x v="0"/>
    <n v="2"/>
    <x v="1"/>
    <x v="2"/>
    <x v="4"/>
    <x v="2"/>
    <s v="Business"/>
    <x v="4"/>
    <x v="11"/>
    <n v="15"/>
    <n v="36.72"/>
    <n v="0"/>
    <n v="13.76"/>
    <x v="141"/>
    <n v="206.4"/>
    <n v="344.4"/>
    <n v="0.62527233115468406"/>
  </r>
  <r>
    <n v="1066"/>
    <d v="2026-02-22T00:00:00"/>
    <n v="2026"/>
    <x v="0"/>
    <n v="2"/>
    <x v="1"/>
    <x v="0"/>
    <x v="0"/>
    <x v="0"/>
    <s v="New"/>
    <x v="3"/>
    <x v="12"/>
    <n v="14"/>
    <n v="40.6"/>
    <n v="0.15"/>
    <n v="15.04"/>
    <x v="142"/>
    <n v="210.56"/>
    <n v="272.58"/>
    <n v="0.56418429440741813"/>
  </r>
  <r>
    <n v="1414"/>
    <d v="2026-02-22T00:00:00"/>
    <n v="2026"/>
    <x v="0"/>
    <n v="2"/>
    <x v="1"/>
    <x v="3"/>
    <x v="7"/>
    <x v="3"/>
    <s v="Returning"/>
    <x v="3"/>
    <x v="18"/>
    <n v="11"/>
    <n v="35.78"/>
    <n v="0.05"/>
    <n v="13.84"/>
    <x v="143"/>
    <n v="152.24"/>
    <n v="221.661"/>
    <n v="0.59283339707569649"/>
  </r>
  <r>
    <n v="1439"/>
    <d v="2026-02-22T00:00:00"/>
    <n v="2026"/>
    <x v="0"/>
    <n v="2"/>
    <x v="1"/>
    <x v="2"/>
    <x v="10"/>
    <x v="1"/>
    <s v="New"/>
    <x v="3"/>
    <x v="12"/>
    <n v="14"/>
    <n v="40.6"/>
    <n v="0.2"/>
    <n v="15.04"/>
    <x v="144"/>
    <n v="210.56"/>
    <n v="244.16000000000003"/>
    <n v="0.53694581280788178"/>
  </r>
  <r>
    <n v="1244"/>
    <d v="2026-02-23T00:00:00"/>
    <n v="2026"/>
    <x v="0"/>
    <n v="2"/>
    <x v="1"/>
    <x v="0"/>
    <x v="5"/>
    <x v="3"/>
    <s v="New"/>
    <x v="2"/>
    <x v="6"/>
    <n v="9"/>
    <n v="194.35"/>
    <n v="0.2"/>
    <n v="104.22"/>
    <x v="145"/>
    <n v="937.98"/>
    <n v="461.33999999999992"/>
    <n v="0.32968870594288652"/>
  </r>
  <r>
    <n v="1056"/>
    <d v="2026-02-24T00:00:00"/>
    <n v="2026"/>
    <x v="0"/>
    <n v="2"/>
    <x v="1"/>
    <x v="0"/>
    <x v="1"/>
    <x v="3"/>
    <s v="Returning"/>
    <x v="0"/>
    <x v="17"/>
    <n v="9"/>
    <n v="100.12"/>
    <n v="0.2"/>
    <n v="49.67"/>
    <x v="146"/>
    <n v="447.03000000000003"/>
    <n v="273.834"/>
    <n v="0.37986915701158608"/>
  </r>
  <r>
    <n v="1065"/>
    <d v="2026-02-24T00:00:00"/>
    <n v="2026"/>
    <x v="0"/>
    <n v="2"/>
    <x v="1"/>
    <x v="1"/>
    <x v="2"/>
    <x v="0"/>
    <s v="Returning"/>
    <x v="2"/>
    <x v="6"/>
    <n v="9"/>
    <n v="194.35"/>
    <n v="0.1"/>
    <n v="104.22"/>
    <x v="147"/>
    <n v="937.98"/>
    <n v="636.25499999999988"/>
    <n v="0.40416773861589911"/>
  </r>
  <r>
    <n v="1071"/>
    <d v="2026-02-24T00:00:00"/>
    <n v="2026"/>
    <x v="0"/>
    <n v="2"/>
    <x v="1"/>
    <x v="0"/>
    <x v="5"/>
    <x v="3"/>
    <s v="Returning"/>
    <x v="4"/>
    <x v="13"/>
    <n v="5"/>
    <n v="89.99"/>
    <n v="0.1"/>
    <n v="42.25"/>
    <x v="148"/>
    <n v="211.25"/>
    <n v="193.70499999999998"/>
    <n v="0.47833709918385992"/>
  </r>
  <r>
    <n v="1180"/>
    <d v="2026-02-24T00:00:00"/>
    <n v="2026"/>
    <x v="0"/>
    <n v="2"/>
    <x v="1"/>
    <x v="2"/>
    <x v="10"/>
    <x v="1"/>
    <s v="New"/>
    <x v="1"/>
    <x v="14"/>
    <n v="3"/>
    <n v="143.66999999999999"/>
    <n v="0"/>
    <n v="81.22"/>
    <x v="149"/>
    <n v="243.66"/>
    <n v="187.35"/>
    <n v="0.43467668963597134"/>
  </r>
  <r>
    <n v="1296"/>
    <d v="2026-02-24T00:00:00"/>
    <n v="2026"/>
    <x v="0"/>
    <n v="2"/>
    <x v="1"/>
    <x v="0"/>
    <x v="5"/>
    <x v="1"/>
    <s v="Returning"/>
    <x v="0"/>
    <x v="3"/>
    <n v="11"/>
    <n v="82.06"/>
    <n v="0.05"/>
    <n v="42.94"/>
    <x v="150"/>
    <n v="472.34"/>
    <n v="385.18700000000007"/>
    <n v="0.44918352425054842"/>
  </r>
  <r>
    <n v="1159"/>
    <d v="2026-02-25T00:00:00"/>
    <n v="2026"/>
    <x v="0"/>
    <n v="2"/>
    <x v="1"/>
    <x v="1"/>
    <x v="2"/>
    <x v="0"/>
    <s v="Business"/>
    <x v="2"/>
    <x v="9"/>
    <n v="5"/>
    <n v="347.51"/>
    <n v="0.2"/>
    <n v="190.16"/>
    <x v="132"/>
    <n v="950.8"/>
    <n v="439.24"/>
    <n v="0.31599090673649682"/>
  </r>
  <r>
    <n v="1023"/>
    <d v="2026-02-26T00:00:00"/>
    <n v="2026"/>
    <x v="0"/>
    <n v="2"/>
    <x v="1"/>
    <x v="1"/>
    <x v="12"/>
    <x v="3"/>
    <s v="Returning"/>
    <x v="0"/>
    <x v="0"/>
    <n v="2"/>
    <n v="49.6"/>
    <n v="0"/>
    <n v="23.05"/>
    <x v="151"/>
    <n v="46.1"/>
    <n v="53.1"/>
    <n v="0.53528225806451613"/>
  </r>
  <r>
    <n v="1068"/>
    <d v="2026-02-26T00:00:00"/>
    <n v="2026"/>
    <x v="0"/>
    <n v="2"/>
    <x v="1"/>
    <x v="2"/>
    <x v="10"/>
    <x v="0"/>
    <s v="Business"/>
    <x v="2"/>
    <x v="9"/>
    <n v="7"/>
    <n v="347.51"/>
    <n v="0.05"/>
    <n v="190.16"/>
    <x v="152"/>
    <n v="1331.12"/>
    <n v="979.82149999999956"/>
    <n v="0.42399234251494455"/>
  </r>
  <r>
    <n v="1285"/>
    <d v="2026-02-26T00:00:00"/>
    <n v="2026"/>
    <x v="0"/>
    <n v="2"/>
    <x v="1"/>
    <x v="3"/>
    <x v="6"/>
    <x v="2"/>
    <s v="New"/>
    <x v="4"/>
    <x v="13"/>
    <n v="5"/>
    <n v="89.99"/>
    <n v="0"/>
    <n v="42.25"/>
    <x v="153"/>
    <n v="211.25"/>
    <n v="238.7"/>
    <n v="0.53050338926547391"/>
  </r>
  <r>
    <n v="1286"/>
    <d v="2026-02-28T00:00:00"/>
    <n v="2026"/>
    <x v="0"/>
    <n v="2"/>
    <x v="1"/>
    <x v="0"/>
    <x v="1"/>
    <x v="0"/>
    <s v="New"/>
    <x v="2"/>
    <x v="6"/>
    <n v="5"/>
    <n v="194.35"/>
    <n v="0.1"/>
    <n v="104.22"/>
    <x v="154"/>
    <n v="521.1"/>
    <n v="353.47500000000002"/>
    <n v="0.40416773861589916"/>
  </r>
  <r>
    <n v="1421"/>
    <d v="2026-02-28T00:00:00"/>
    <n v="2026"/>
    <x v="0"/>
    <n v="2"/>
    <x v="1"/>
    <x v="1"/>
    <x v="2"/>
    <x v="0"/>
    <s v="Business"/>
    <x v="3"/>
    <x v="4"/>
    <n v="9"/>
    <n v="32.99"/>
    <n v="0.2"/>
    <n v="12.5"/>
    <x v="155"/>
    <n v="112.5"/>
    <n v="125.02800000000002"/>
    <n v="0.52637162776598978"/>
  </r>
  <r>
    <n v="1248"/>
    <d v="2026-03-01T00:00:00"/>
    <n v="2026"/>
    <x v="0"/>
    <n v="3"/>
    <x v="2"/>
    <x v="1"/>
    <x v="12"/>
    <x v="1"/>
    <s v="Business"/>
    <x v="2"/>
    <x v="6"/>
    <n v="12"/>
    <n v="194.35"/>
    <n v="0.1"/>
    <n v="104.22"/>
    <x v="156"/>
    <n v="1250.6399999999999"/>
    <n v="848.34000000000015"/>
    <n v="0.40416773861589922"/>
  </r>
  <r>
    <n v="1376"/>
    <d v="2026-03-01T00:00:00"/>
    <n v="2026"/>
    <x v="0"/>
    <n v="3"/>
    <x v="2"/>
    <x v="2"/>
    <x v="14"/>
    <x v="0"/>
    <s v="Business"/>
    <x v="4"/>
    <x v="11"/>
    <n v="13"/>
    <n v="36.72"/>
    <n v="0.2"/>
    <n v="13.76"/>
    <x v="157"/>
    <n v="178.88"/>
    <n v="203.00800000000004"/>
    <n v="0.53159041394335516"/>
  </r>
  <r>
    <n v="1396"/>
    <d v="2026-03-01T00:00:00"/>
    <n v="2026"/>
    <x v="0"/>
    <n v="3"/>
    <x v="2"/>
    <x v="3"/>
    <x v="6"/>
    <x v="1"/>
    <s v="Returning"/>
    <x v="1"/>
    <x v="14"/>
    <n v="5"/>
    <n v="143.66999999999999"/>
    <n v="0.15"/>
    <n v="81.22"/>
    <x v="158"/>
    <n v="406.1"/>
    <n v="204.49749999999983"/>
    <n v="0.33491375251290723"/>
  </r>
  <r>
    <n v="1029"/>
    <d v="2026-03-02T00:00:00"/>
    <n v="2026"/>
    <x v="0"/>
    <n v="3"/>
    <x v="2"/>
    <x v="3"/>
    <x v="7"/>
    <x v="1"/>
    <s v="Returning"/>
    <x v="2"/>
    <x v="2"/>
    <n v="4"/>
    <n v="81.260000000000005"/>
    <n v="0.1"/>
    <n v="39.119999999999997"/>
    <x v="159"/>
    <n v="156.47999999999999"/>
    <n v="136.05600000000001"/>
    <n v="0.46509147592091232"/>
  </r>
  <r>
    <n v="1057"/>
    <d v="2026-03-02T00:00:00"/>
    <n v="2026"/>
    <x v="0"/>
    <n v="3"/>
    <x v="2"/>
    <x v="2"/>
    <x v="8"/>
    <x v="2"/>
    <s v="New"/>
    <x v="1"/>
    <x v="14"/>
    <n v="1"/>
    <n v="143.66999999999999"/>
    <n v="0"/>
    <n v="81.22"/>
    <x v="160"/>
    <n v="81.22"/>
    <n v="62.449999999999989"/>
    <n v="0.43467668963597128"/>
  </r>
  <r>
    <n v="1134"/>
    <d v="2026-03-02T00:00:00"/>
    <n v="2026"/>
    <x v="0"/>
    <n v="3"/>
    <x v="2"/>
    <x v="3"/>
    <x v="7"/>
    <x v="0"/>
    <s v="Business"/>
    <x v="2"/>
    <x v="6"/>
    <n v="11"/>
    <n v="194.35"/>
    <n v="0.2"/>
    <n v="104.22"/>
    <x v="161"/>
    <n v="1146.42"/>
    <n v="563.8599999999999"/>
    <n v="0.32968870594288652"/>
  </r>
  <r>
    <n v="1422"/>
    <d v="2026-03-02T00:00:00"/>
    <n v="2026"/>
    <x v="0"/>
    <n v="3"/>
    <x v="2"/>
    <x v="0"/>
    <x v="5"/>
    <x v="1"/>
    <s v="Business"/>
    <x v="0"/>
    <x v="10"/>
    <n v="15"/>
    <n v="28.5"/>
    <n v="0.2"/>
    <n v="12.8"/>
    <x v="162"/>
    <n v="192"/>
    <n v="150"/>
    <n v="0.43859649122807015"/>
  </r>
  <r>
    <n v="1019"/>
    <d v="2026-03-03T00:00:00"/>
    <n v="2026"/>
    <x v="0"/>
    <n v="3"/>
    <x v="2"/>
    <x v="1"/>
    <x v="12"/>
    <x v="0"/>
    <s v="Returning"/>
    <x v="3"/>
    <x v="12"/>
    <n v="2"/>
    <n v="40.6"/>
    <n v="0.2"/>
    <n v="15.04"/>
    <x v="163"/>
    <n v="30.08"/>
    <n v="34.88000000000001"/>
    <n v="0.53694581280788189"/>
  </r>
  <r>
    <n v="1063"/>
    <d v="2026-03-03T00:00:00"/>
    <n v="2026"/>
    <x v="0"/>
    <n v="3"/>
    <x v="2"/>
    <x v="2"/>
    <x v="10"/>
    <x v="3"/>
    <s v="New"/>
    <x v="0"/>
    <x v="17"/>
    <n v="4"/>
    <n v="100.12"/>
    <n v="0.05"/>
    <n v="49.67"/>
    <x v="164"/>
    <n v="198.68"/>
    <n v="181.77600000000001"/>
    <n v="0.47778455327291464"/>
  </r>
  <r>
    <n v="1226"/>
    <d v="2026-03-03T00:00:00"/>
    <n v="2026"/>
    <x v="0"/>
    <n v="3"/>
    <x v="2"/>
    <x v="0"/>
    <x v="9"/>
    <x v="1"/>
    <s v="Returning"/>
    <x v="4"/>
    <x v="13"/>
    <n v="4"/>
    <n v="89.99"/>
    <n v="0"/>
    <n v="42.25"/>
    <x v="57"/>
    <n v="169"/>
    <n v="190.95999999999998"/>
    <n v="0.53050338926547391"/>
  </r>
  <r>
    <n v="1330"/>
    <d v="2026-03-03T00:00:00"/>
    <n v="2026"/>
    <x v="0"/>
    <n v="3"/>
    <x v="2"/>
    <x v="2"/>
    <x v="14"/>
    <x v="0"/>
    <s v="New"/>
    <x v="1"/>
    <x v="1"/>
    <n v="12"/>
    <n v="153.38999999999999"/>
    <n v="0"/>
    <n v="78.59"/>
    <x v="165"/>
    <n v="943.08"/>
    <n v="897.5999999999998"/>
    <n v="0.48764587000456344"/>
  </r>
  <r>
    <n v="1085"/>
    <d v="2026-03-04T00:00:00"/>
    <n v="2026"/>
    <x v="0"/>
    <n v="3"/>
    <x v="2"/>
    <x v="2"/>
    <x v="4"/>
    <x v="3"/>
    <s v="New"/>
    <x v="2"/>
    <x v="6"/>
    <n v="7"/>
    <n v="194.35"/>
    <n v="0.2"/>
    <n v="104.22"/>
    <x v="166"/>
    <n v="729.54"/>
    <n v="358.82000000000016"/>
    <n v="0.32968870594288668"/>
  </r>
  <r>
    <n v="1279"/>
    <d v="2026-03-04T00:00:00"/>
    <n v="2026"/>
    <x v="0"/>
    <n v="3"/>
    <x v="2"/>
    <x v="2"/>
    <x v="8"/>
    <x v="3"/>
    <s v="Returning"/>
    <x v="4"/>
    <x v="11"/>
    <n v="15"/>
    <n v="36.72"/>
    <n v="0.1"/>
    <n v="13.76"/>
    <x v="167"/>
    <n v="206.4"/>
    <n v="289.31999999999994"/>
    <n v="0.58363592350520443"/>
  </r>
  <r>
    <n v="1022"/>
    <d v="2026-03-05T00:00:00"/>
    <n v="2026"/>
    <x v="0"/>
    <n v="3"/>
    <x v="2"/>
    <x v="3"/>
    <x v="6"/>
    <x v="2"/>
    <s v="Business"/>
    <x v="4"/>
    <x v="11"/>
    <n v="10"/>
    <n v="36.72"/>
    <n v="0.15"/>
    <n v="13.76"/>
    <x v="168"/>
    <n v="137.6"/>
    <n v="174.52"/>
    <n v="0.55914391900551075"/>
  </r>
  <r>
    <n v="1027"/>
    <d v="2026-03-05T00:00:00"/>
    <n v="2026"/>
    <x v="0"/>
    <n v="3"/>
    <x v="2"/>
    <x v="3"/>
    <x v="13"/>
    <x v="2"/>
    <s v="New"/>
    <x v="3"/>
    <x v="4"/>
    <n v="3"/>
    <n v="32.99"/>
    <n v="0.1"/>
    <n v="12.5"/>
    <x v="169"/>
    <n v="37.5"/>
    <n v="51.573000000000008"/>
    <n v="0.57899700245865759"/>
  </r>
  <r>
    <n v="1175"/>
    <d v="2026-03-05T00:00:00"/>
    <n v="2026"/>
    <x v="0"/>
    <n v="3"/>
    <x v="2"/>
    <x v="0"/>
    <x v="0"/>
    <x v="3"/>
    <s v="New"/>
    <x v="3"/>
    <x v="19"/>
    <n v="6"/>
    <n v="124.97"/>
    <n v="0.05"/>
    <n v="67.36"/>
    <x v="170"/>
    <n v="404.15999999999997"/>
    <n v="308.16899999999998"/>
    <n v="0.43262172395059023"/>
  </r>
  <r>
    <n v="1123"/>
    <d v="2026-03-06T00:00:00"/>
    <n v="2026"/>
    <x v="0"/>
    <n v="3"/>
    <x v="2"/>
    <x v="0"/>
    <x v="5"/>
    <x v="1"/>
    <s v="Returning"/>
    <x v="1"/>
    <x v="5"/>
    <n v="14"/>
    <n v="54.75"/>
    <n v="0.1"/>
    <n v="24.3"/>
    <x v="171"/>
    <n v="340.2"/>
    <n v="349.65000000000003"/>
    <n v="0.50684931506849318"/>
  </r>
  <r>
    <n v="1177"/>
    <d v="2026-03-06T00:00:00"/>
    <n v="2026"/>
    <x v="0"/>
    <n v="3"/>
    <x v="2"/>
    <x v="3"/>
    <x v="11"/>
    <x v="3"/>
    <s v="Business"/>
    <x v="0"/>
    <x v="0"/>
    <n v="15"/>
    <n v="49.6"/>
    <n v="0.05"/>
    <n v="23.05"/>
    <x v="119"/>
    <n v="345.75"/>
    <n v="361.04999999999995"/>
    <n v="0.51082342954159587"/>
  </r>
  <r>
    <n v="1129"/>
    <d v="2026-03-07T00:00:00"/>
    <n v="2026"/>
    <x v="0"/>
    <n v="3"/>
    <x v="2"/>
    <x v="0"/>
    <x v="5"/>
    <x v="2"/>
    <s v="Returning"/>
    <x v="4"/>
    <x v="11"/>
    <n v="8"/>
    <n v="36.72"/>
    <n v="0"/>
    <n v="13.76"/>
    <x v="25"/>
    <n v="110.08"/>
    <n v="183.68"/>
    <n v="0.62527233115468417"/>
  </r>
  <r>
    <n v="1210"/>
    <d v="2026-03-08T00:00:00"/>
    <n v="2026"/>
    <x v="0"/>
    <n v="3"/>
    <x v="2"/>
    <x v="0"/>
    <x v="1"/>
    <x v="2"/>
    <s v="Returning"/>
    <x v="3"/>
    <x v="18"/>
    <n v="12"/>
    <n v="35.78"/>
    <n v="0.1"/>
    <n v="13.84"/>
    <x v="172"/>
    <n v="166.07999999999998"/>
    <n v="220.34400000000005"/>
    <n v="0.57021303024656866"/>
  </r>
  <r>
    <n v="1425"/>
    <d v="2026-03-08T00:00:00"/>
    <n v="2026"/>
    <x v="0"/>
    <n v="3"/>
    <x v="2"/>
    <x v="2"/>
    <x v="14"/>
    <x v="3"/>
    <s v="New"/>
    <x v="0"/>
    <x v="10"/>
    <n v="9"/>
    <n v="28.5"/>
    <n v="0.1"/>
    <n v="12.8"/>
    <x v="173"/>
    <n v="115.2"/>
    <n v="115.64999999999999"/>
    <n v="0.50097465886939574"/>
  </r>
  <r>
    <n v="1017"/>
    <d v="2026-03-09T00:00:00"/>
    <n v="2026"/>
    <x v="0"/>
    <n v="3"/>
    <x v="2"/>
    <x v="3"/>
    <x v="6"/>
    <x v="2"/>
    <s v="Business"/>
    <x v="4"/>
    <x v="16"/>
    <n v="3"/>
    <n v="46.99"/>
    <n v="0.05"/>
    <n v="18.11"/>
    <x v="174"/>
    <n v="54.33"/>
    <n v="79.591499999999982"/>
    <n v="0.59431457980981395"/>
  </r>
  <r>
    <n v="1035"/>
    <d v="2026-03-09T00:00:00"/>
    <n v="2026"/>
    <x v="0"/>
    <n v="3"/>
    <x v="2"/>
    <x v="0"/>
    <x v="1"/>
    <x v="1"/>
    <s v="New"/>
    <x v="4"/>
    <x v="13"/>
    <n v="6"/>
    <n v="89.99"/>
    <n v="0"/>
    <n v="42.25"/>
    <x v="175"/>
    <n v="253.5"/>
    <n v="286.43999999999994"/>
    <n v="0.53050338926547391"/>
  </r>
  <r>
    <n v="1039"/>
    <d v="2026-03-09T00:00:00"/>
    <n v="2026"/>
    <x v="0"/>
    <n v="3"/>
    <x v="2"/>
    <x v="1"/>
    <x v="12"/>
    <x v="2"/>
    <s v="Business"/>
    <x v="3"/>
    <x v="19"/>
    <n v="5"/>
    <n v="124.97"/>
    <n v="0.05"/>
    <n v="67.36"/>
    <x v="176"/>
    <n v="336.8"/>
    <n v="256.80749999999995"/>
    <n v="0.43262172395059018"/>
  </r>
  <r>
    <n v="1231"/>
    <d v="2026-03-09T00:00:00"/>
    <n v="2026"/>
    <x v="0"/>
    <n v="3"/>
    <x v="2"/>
    <x v="2"/>
    <x v="10"/>
    <x v="2"/>
    <s v="New"/>
    <x v="4"/>
    <x v="11"/>
    <n v="7"/>
    <n v="36.72"/>
    <n v="0"/>
    <n v="13.76"/>
    <x v="62"/>
    <n v="96.32"/>
    <n v="160.71999999999997"/>
    <n v="0.62527233115468406"/>
  </r>
  <r>
    <n v="1428"/>
    <d v="2026-03-09T00:00:00"/>
    <n v="2026"/>
    <x v="0"/>
    <n v="3"/>
    <x v="2"/>
    <x v="0"/>
    <x v="0"/>
    <x v="3"/>
    <s v="New"/>
    <x v="3"/>
    <x v="4"/>
    <n v="1"/>
    <n v="32.99"/>
    <n v="0"/>
    <n v="12.5"/>
    <x v="177"/>
    <n v="12.5"/>
    <n v="20.490000000000002"/>
    <n v="0.6210973022127918"/>
  </r>
  <r>
    <n v="1469"/>
    <d v="2026-03-09T00:00:00"/>
    <n v="2026"/>
    <x v="0"/>
    <n v="3"/>
    <x v="2"/>
    <x v="0"/>
    <x v="9"/>
    <x v="3"/>
    <s v="New"/>
    <x v="0"/>
    <x v="0"/>
    <n v="14"/>
    <n v="49.6"/>
    <n v="0"/>
    <n v="23.05"/>
    <x v="178"/>
    <n v="322.7"/>
    <n v="371.7"/>
    <n v="0.53528225806451613"/>
  </r>
  <r>
    <n v="1011"/>
    <d v="2026-03-10T00:00:00"/>
    <n v="2026"/>
    <x v="0"/>
    <n v="3"/>
    <x v="2"/>
    <x v="1"/>
    <x v="12"/>
    <x v="0"/>
    <s v="New"/>
    <x v="3"/>
    <x v="18"/>
    <n v="4"/>
    <n v="35.78"/>
    <n v="0.2"/>
    <n v="13.84"/>
    <x v="179"/>
    <n v="55.36"/>
    <n v="59.13600000000001"/>
    <n v="0.51648965902738964"/>
  </r>
  <r>
    <n v="1101"/>
    <d v="2026-03-10T00:00:00"/>
    <n v="2026"/>
    <x v="0"/>
    <n v="3"/>
    <x v="2"/>
    <x v="1"/>
    <x v="12"/>
    <x v="2"/>
    <s v="Business"/>
    <x v="2"/>
    <x v="2"/>
    <n v="15"/>
    <n v="81.260000000000005"/>
    <n v="0.05"/>
    <n v="39.119999999999997"/>
    <x v="180"/>
    <n v="586.79999999999995"/>
    <n v="571.15499999999997"/>
    <n v="0.49324455613560114"/>
  </r>
  <r>
    <n v="1202"/>
    <d v="2026-03-10T00:00:00"/>
    <n v="2026"/>
    <x v="0"/>
    <n v="3"/>
    <x v="2"/>
    <x v="1"/>
    <x v="3"/>
    <x v="2"/>
    <s v="Business"/>
    <x v="2"/>
    <x v="9"/>
    <n v="7"/>
    <n v="347.51"/>
    <n v="0.15"/>
    <n v="190.16"/>
    <x v="181"/>
    <n v="1331.12"/>
    <n v="736.56449999999995"/>
    <n v="0.35622673575199698"/>
  </r>
  <r>
    <n v="1346"/>
    <d v="2026-03-10T00:00:00"/>
    <n v="2026"/>
    <x v="0"/>
    <n v="3"/>
    <x v="2"/>
    <x v="2"/>
    <x v="4"/>
    <x v="3"/>
    <s v="Business"/>
    <x v="4"/>
    <x v="16"/>
    <n v="10"/>
    <n v="46.99"/>
    <n v="0.1"/>
    <n v="18.11"/>
    <x v="67"/>
    <n v="181.1"/>
    <n v="241.81000000000003"/>
    <n v="0.57177650091035925"/>
  </r>
  <r>
    <n v="1367"/>
    <d v="2026-03-10T00:00:00"/>
    <n v="2026"/>
    <x v="0"/>
    <n v="3"/>
    <x v="2"/>
    <x v="1"/>
    <x v="12"/>
    <x v="1"/>
    <s v="New"/>
    <x v="4"/>
    <x v="13"/>
    <n v="5"/>
    <n v="89.99"/>
    <n v="0.15"/>
    <n v="42.25"/>
    <x v="182"/>
    <n v="211.25"/>
    <n v="171.20749999999998"/>
    <n v="0.44765104619467522"/>
  </r>
  <r>
    <n v="1304"/>
    <d v="2026-03-11T00:00:00"/>
    <n v="2026"/>
    <x v="0"/>
    <n v="3"/>
    <x v="2"/>
    <x v="1"/>
    <x v="12"/>
    <x v="0"/>
    <s v="Returning"/>
    <x v="0"/>
    <x v="0"/>
    <n v="7"/>
    <n v="49.6"/>
    <n v="0.1"/>
    <n v="23.05"/>
    <x v="183"/>
    <n v="161.35"/>
    <n v="151.13000000000002"/>
    <n v="0.48364695340501795"/>
  </r>
  <r>
    <n v="1391"/>
    <d v="2026-03-12T00:00:00"/>
    <n v="2026"/>
    <x v="0"/>
    <n v="3"/>
    <x v="2"/>
    <x v="2"/>
    <x v="10"/>
    <x v="2"/>
    <s v="Business"/>
    <x v="1"/>
    <x v="8"/>
    <n v="10"/>
    <n v="94.18"/>
    <n v="0.15"/>
    <n v="45.03"/>
    <x v="184"/>
    <n v="450.3"/>
    <n v="350.23000000000008"/>
    <n v="0.43749765780170641"/>
  </r>
  <r>
    <n v="1008"/>
    <d v="2026-03-13T00:00:00"/>
    <n v="2026"/>
    <x v="0"/>
    <n v="3"/>
    <x v="2"/>
    <x v="0"/>
    <x v="5"/>
    <x v="3"/>
    <s v="Business"/>
    <x v="1"/>
    <x v="1"/>
    <n v="6"/>
    <n v="153.38999999999999"/>
    <n v="0"/>
    <n v="78.59"/>
    <x v="185"/>
    <n v="471.54"/>
    <n v="448.7999999999999"/>
    <n v="0.48764587000456344"/>
  </r>
  <r>
    <n v="1153"/>
    <d v="2026-03-13T00:00:00"/>
    <n v="2026"/>
    <x v="0"/>
    <n v="3"/>
    <x v="2"/>
    <x v="3"/>
    <x v="7"/>
    <x v="3"/>
    <s v="Returning"/>
    <x v="3"/>
    <x v="12"/>
    <n v="10"/>
    <n v="40.6"/>
    <n v="0.2"/>
    <n v="15.04"/>
    <x v="186"/>
    <n v="150.39999999999998"/>
    <n v="174.40000000000003"/>
    <n v="0.53694581280788189"/>
  </r>
  <r>
    <n v="1378"/>
    <d v="2026-03-13T00:00:00"/>
    <n v="2026"/>
    <x v="0"/>
    <n v="3"/>
    <x v="2"/>
    <x v="1"/>
    <x v="12"/>
    <x v="0"/>
    <s v="Business"/>
    <x v="1"/>
    <x v="5"/>
    <n v="12"/>
    <n v="54.75"/>
    <n v="0.05"/>
    <n v="24.3"/>
    <x v="187"/>
    <n v="291.60000000000002"/>
    <n v="332.54999999999995"/>
    <n v="0.53280461427541448"/>
  </r>
  <r>
    <n v="1111"/>
    <d v="2026-03-14T00:00:00"/>
    <n v="2026"/>
    <x v="0"/>
    <n v="3"/>
    <x v="2"/>
    <x v="2"/>
    <x v="10"/>
    <x v="3"/>
    <s v="New"/>
    <x v="1"/>
    <x v="5"/>
    <n v="9"/>
    <n v="54.75"/>
    <n v="0.1"/>
    <n v="24.3"/>
    <x v="188"/>
    <n v="218.70000000000002"/>
    <n v="224.77500000000001"/>
    <n v="0.50684931506849318"/>
  </r>
  <r>
    <n v="1055"/>
    <d v="2026-03-15T00:00:00"/>
    <n v="2026"/>
    <x v="0"/>
    <n v="3"/>
    <x v="2"/>
    <x v="3"/>
    <x v="7"/>
    <x v="0"/>
    <s v="Business"/>
    <x v="3"/>
    <x v="18"/>
    <n v="8"/>
    <n v="35.78"/>
    <n v="0.1"/>
    <n v="13.84"/>
    <x v="189"/>
    <n v="110.72"/>
    <n v="146.89600000000004"/>
    <n v="0.57021303024656866"/>
  </r>
  <r>
    <n v="1122"/>
    <d v="2026-03-15T00:00:00"/>
    <n v="2026"/>
    <x v="0"/>
    <n v="3"/>
    <x v="2"/>
    <x v="3"/>
    <x v="6"/>
    <x v="0"/>
    <s v="Business"/>
    <x v="2"/>
    <x v="6"/>
    <n v="10"/>
    <n v="194.35"/>
    <n v="0.05"/>
    <n v="104.22"/>
    <x v="190"/>
    <n v="1042.2"/>
    <n v="804.12499999999977"/>
    <n v="0.43552733132032545"/>
  </r>
  <r>
    <n v="1291"/>
    <d v="2026-03-15T00:00:00"/>
    <n v="2026"/>
    <x v="0"/>
    <n v="3"/>
    <x v="2"/>
    <x v="1"/>
    <x v="3"/>
    <x v="2"/>
    <s v="Returning"/>
    <x v="2"/>
    <x v="15"/>
    <n v="2"/>
    <n v="41.22"/>
    <n v="0"/>
    <n v="16.64"/>
    <x v="191"/>
    <n v="33.28"/>
    <n v="49.16"/>
    <n v="0.59631246967491502"/>
  </r>
  <r>
    <n v="1362"/>
    <d v="2026-03-15T00:00:00"/>
    <n v="2026"/>
    <x v="0"/>
    <n v="3"/>
    <x v="2"/>
    <x v="0"/>
    <x v="0"/>
    <x v="2"/>
    <s v="New"/>
    <x v="2"/>
    <x v="9"/>
    <n v="11"/>
    <n v="347.51"/>
    <n v="0.15"/>
    <n v="190.16"/>
    <x v="192"/>
    <n v="2091.7599999999998"/>
    <n v="1157.4584999999997"/>
    <n v="0.35622673575199693"/>
  </r>
  <r>
    <n v="1109"/>
    <d v="2026-03-16T00:00:00"/>
    <n v="2026"/>
    <x v="0"/>
    <n v="3"/>
    <x v="2"/>
    <x v="2"/>
    <x v="10"/>
    <x v="2"/>
    <s v="New"/>
    <x v="2"/>
    <x v="2"/>
    <n v="4"/>
    <n v="81.260000000000005"/>
    <n v="0.1"/>
    <n v="39.119999999999997"/>
    <x v="159"/>
    <n v="156.47999999999999"/>
    <n v="136.05600000000001"/>
    <n v="0.46509147592091232"/>
  </r>
  <r>
    <n v="1227"/>
    <d v="2026-03-16T00:00:00"/>
    <n v="2026"/>
    <x v="0"/>
    <n v="3"/>
    <x v="2"/>
    <x v="0"/>
    <x v="0"/>
    <x v="3"/>
    <s v="Returning"/>
    <x v="1"/>
    <x v="14"/>
    <n v="14"/>
    <n v="143.66999999999999"/>
    <n v="0.05"/>
    <n v="81.22"/>
    <x v="193"/>
    <n v="1137.08"/>
    <n v="773.73099999999977"/>
    <n v="0.40492283119575923"/>
  </r>
  <r>
    <n v="1252"/>
    <d v="2026-03-16T00:00:00"/>
    <n v="2026"/>
    <x v="0"/>
    <n v="3"/>
    <x v="2"/>
    <x v="1"/>
    <x v="12"/>
    <x v="3"/>
    <s v="New"/>
    <x v="4"/>
    <x v="11"/>
    <n v="15"/>
    <n v="36.72"/>
    <n v="0.05"/>
    <n v="13.76"/>
    <x v="194"/>
    <n v="206.4"/>
    <n v="316.8599999999999"/>
    <n v="0.60554982226808851"/>
  </r>
  <r>
    <n v="1335"/>
    <d v="2026-03-16T00:00:00"/>
    <n v="2026"/>
    <x v="0"/>
    <n v="3"/>
    <x v="2"/>
    <x v="1"/>
    <x v="2"/>
    <x v="0"/>
    <s v="Business"/>
    <x v="1"/>
    <x v="1"/>
    <n v="3"/>
    <n v="153.38999999999999"/>
    <n v="0.1"/>
    <n v="78.59"/>
    <x v="195"/>
    <n v="235.77"/>
    <n v="178.38299999999995"/>
    <n v="0.43071763333840385"/>
  </r>
  <r>
    <n v="1203"/>
    <d v="2026-03-17T00:00:00"/>
    <n v="2026"/>
    <x v="0"/>
    <n v="3"/>
    <x v="2"/>
    <x v="2"/>
    <x v="14"/>
    <x v="3"/>
    <s v="New"/>
    <x v="0"/>
    <x v="17"/>
    <n v="11"/>
    <n v="100.12"/>
    <n v="0.05"/>
    <n v="49.67"/>
    <x v="196"/>
    <n v="546.37"/>
    <n v="499.88400000000013"/>
    <n v="0.47778455327291469"/>
  </r>
  <r>
    <n v="1392"/>
    <d v="2026-03-17T00:00:00"/>
    <n v="2026"/>
    <x v="0"/>
    <n v="3"/>
    <x v="2"/>
    <x v="0"/>
    <x v="0"/>
    <x v="3"/>
    <s v="New"/>
    <x v="3"/>
    <x v="4"/>
    <n v="1"/>
    <n v="32.99"/>
    <n v="0"/>
    <n v="12.5"/>
    <x v="177"/>
    <n v="12.5"/>
    <n v="20.490000000000002"/>
    <n v="0.6210973022127918"/>
  </r>
  <r>
    <n v="1411"/>
    <d v="2026-03-17T00:00:00"/>
    <n v="2026"/>
    <x v="0"/>
    <n v="3"/>
    <x v="2"/>
    <x v="1"/>
    <x v="2"/>
    <x v="2"/>
    <s v="New"/>
    <x v="4"/>
    <x v="11"/>
    <n v="2"/>
    <n v="36.72"/>
    <n v="0.05"/>
    <n v="13.76"/>
    <x v="197"/>
    <n v="27.52"/>
    <n v="42.248000000000005"/>
    <n v="0.60554982226808862"/>
  </r>
  <r>
    <n v="1275"/>
    <d v="2026-03-18T00:00:00"/>
    <n v="2026"/>
    <x v="0"/>
    <n v="3"/>
    <x v="2"/>
    <x v="2"/>
    <x v="14"/>
    <x v="0"/>
    <s v="Business"/>
    <x v="3"/>
    <x v="19"/>
    <n v="11"/>
    <n v="124.97"/>
    <n v="0.2"/>
    <n v="67.36"/>
    <x v="198"/>
    <n v="740.96"/>
    <n v="358.77600000000007"/>
    <n v="0.32623829719132597"/>
  </r>
  <r>
    <n v="1277"/>
    <d v="2026-03-18T00:00:00"/>
    <n v="2026"/>
    <x v="0"/>
    <n v="3"/>
    <x v="2"/>
    <x v="0"/>
    <x v="1"/>
    <x v="3"/>
    <s v="Business"/>
    <x v="3"/>
    <x v="4"/>
    <n v="4"/>
    <n v="32.99"/>
    <n v="0"/>
    <n v="12.5"/>
    <x v="199"/>
    <n v="50"/>
    <n v="81.960000000000008"/>
    <n v="0.6210973022127918"/>
  </r>
  <r>
    <n v="1298"/>
    <d v="2026-03-18T00:00:00"/>
    <n v="2026"/>
    <x v="0"/>
    <n v="3"/>
    <x v="2"/>
    <x v="3"/>
    <x v="13"/>
    <x v="3"/>
    <s v="New"/>
    <x v="3"/>
    <x v="4"/>
    <n v="11"/>
    <n v="32.99"/>
    <n v="0.15"/>
    <n v="12.5"/>
    <x v="200"/>
    <n v="137.5"/>
    <n v="170.95650000000001"/>
    <n v="0.5542321202503433"/>
  </r>
  <r>
    <n v="1447"/>
    <d v="2026-03-18T00:00:00"/>
    <n v="2026"/>
    <x v="0"/>
    <n v="3"/>
    <x v="2"/>
    <x v="3"/>
    <x v="13"/>
    <x v="3"/>
    <s v="Business"/>
    <x v="4"/>
    <x v="11"/>
    <n v="8"/>
    <n v="36.72"/>
    <n v="0"/>
    <n v="13.76"/>
    <x v="25"/>
    <n v="110.08"/>
    <n v="183.68"/>
    <n v="0.62527233115468417"/>
  </r>
  <r>
    <n v="1451"/>
    <d v="2026-03-18T00:00:00"/>
    <n v="2026"/>
    <x v="0"/>
    <n v="3"/>
    <x v="2"/>
    <x v="0"/>
    <x v="9"/>
    <x v="0"/>
    <s v="Business"/>
    <x v="1"/>
    <x v="14"/>
    <n v="4"/>
    <n v="143.66999999999999"/>
    <n v="0.05"/>
    <n v="81.22"/>
    <x v="201"/>
    <n v="324.88"/>
    <n v="221.06599999999992"/>
    <n v="0.40492283119575923"/>
  </r>
  <r>
    <n v="1099"/>
    <d v="2026-03-19T00:00:00"/>
    <n v="2026"/>
    <x v="0"/>
    <n v="3"/>
    <x v="2"/>
    <x v="0"/>
    <x v="5"/>
    <x v="1"/>
    <s v="New"/>
    <x v="3"/>
    <x v="4"/>
    <n v="8"/>
    <n v="32.99"/>
    <n v="0"/>
    <n v="12.5"/>
    <x v="124"/>
    <n v="100"/>
    <n v="163.92000000000002"/>
    <n v="0.6210973022127918"/>
  </r>
  <r>
    <n v="1161"/>
    <d v="2026-03-19T00:00:00"/>
    <n v="2026"/>
    <x v="0"/>
    <n v="3"/>
    <x v="2"/>
    <x v="3"/>
    <x v="13"/>
    <x v="1"/>
    <s v="New"/>
    <x v="4"/>
    <x v="7"/>
    <n v="6"/>
    <n v="29.95"/>
    <n v="0"/>
    <n v="11.5"/>
    <x v="27"/>
    <n v="69"/>
    <n v="110.69999999999999"/>
    <n v="0.61602671118530883"/>
  </r>
  <r>
    <n v="1171"/>
    <d v="2026-03-19T00:00:00"/>
    <n v="2026"/>
    <x v="0"/>
    <n v="3"/>
    <x v="2"/>
    <x v="2"/>
    <x v="14"/>
    <x v="0"/>
    <s v="Returning"/>
    <x v="4"/>
    <x v="11"/>
    <n v="5"/>
    <n v="36.72"/>
    <n v="0.1"/>
    <n v="13.76"/>
    <x v="202"/>
    <n v="68.8"/>
    <n v="96.440000000000012"/>
    <n v="0.58363592350520455"/>
  </r>
  <r>
    <n v="1358"/>
    <d v="2026-03-19T00:00:00"/>
    <n v="2026"/>
    <x v="0"/>
    <n v="3"/>
    <x v="2"/>
    <x v="3"/>
    <x v="13"/>
    <x v="2"/>
    <s v="New"/>
    <x v="2"/>
    <x v="6"/>
    <n v="11"/>
    <n v="194.35"/>
    <n v="0"/>
    <n v="104.22"/>
    <x v="203"/>
    <n v="1146.42"/>
    <n v="991.42999999999984"/>
    <n v="0.46375096475430916"/>
  </r>
  <r>
    <n v="1377"/>
    <d v="2026-03-20T00:00:00"/>
    <n v="2026"/>
    <x v="0"/>
    <n v="3"/>
    <x v="2"/>
    <x v="1"/>
    <x v="12"/>
    <x v="1"/>
    <s v="Returning"/>
    <x v="3"/>
    <x v="19"/>
    <n v="7"/>
    <n v="124.97"/>
    <n v="0.1"/>
    <n v="67.36"/>
    <x v="204"/>
    <n v="471.52"/>
    <n v="315.79100000000005"/>
    <n v="0.40110070861451197"/>
  </r>
  <r>
    <n v="1053"/>
    <d v="2026-03-21T00:00:00"/>
    <n v="2026"/>
    <x v="0"/>
    <n v="3"/>
    <x v="2"/>
    <x v="0"/>
    <x v="5"/>
    <x v="2"/>
    <s v="New"/>
    <x v="2"/>
    <x v="6"/>
    <n v="9"/>
    <n v="194.35"/>
    <n v="0"/>
    <n v="104.22"/>
    <x v="205"/>
    <n v="937.98"/>
    <n v="811.16999999999985"/>
    <n v="0.46375096475430916"/>
  </r>
  <r>
    <n v="1199"/>
    <d v="2026-03-21T00:00:00"/>
    <n v="2026"/>
    <x v="0"/>
    <n v="3"/>
    <x v="2"/>
    <x v="0"/>
    <x v="0"/>
    <x v="2"/>
    <s v="New"/>
    <x v="4"/>
    <x v="11"/>
    <n v="13"/>
    <n v="36.72"/>
    <n v="0.2"/>
    <n v="13.76"/>
    <x v="157"/>
    <n v="178.88"/>
    <n v="203.00800000000004"/>
    <n v="0.53159041394335516"/>
  </r>
  <r>
    <n v="1399"/>
    <d v="2026-03-21T00:00:00"/>
    <n v="2026"/>
    <x v="0"/>
    <n v="3"/>
    <x v="2"/>
    <x v="3"/>
    <x v="7"/>
    <x v="2"/>
    <s v="Returning"/>
    <x v="0"/>
    <x v="3"/>
    <n v="1"/>
    <n v="82.06"/>
    <n v="0"/>
    <n v="42.94"/>
    <x v="206"/>
    <n v="42.94"/>
    <n v="39.120000000000005"/>
    <n v="0.476724348038021"/>
  </r>
  <r>
    <n v="1297"/>
    <d v="2026-03-22T00:00:00"/>
    <n v="2026"/>
    <x v="0"/>
    <n v="3"/>
    <x v="2"/>
    <x v="1"/>
    <x v="12"/>
    <x v="0"/>
    <s v="Returning"/>
    <x v="3"/>
    <x v="19"/>
    <n v="13"/>
    <n v="124.97"/>
    <n v="0.2"/>
    <n v="67.36"/>
    <x v="207"/>
    <n v="875.68"/>
    <n v="424.00800000000015"/>
    <n v="0.32623829719132602"/>
  </r>
  <r>
    <n v="1353"/>
    <d v="2026-03-22T00:00:00"/>
    <n v="2026"/>
    <x v="0"/>
    <n v="3"/>
    <x v="2"/>
    <x v="2"/>
    <x v="4"/>
    <x v="2"/>
    <s v="Returning"/>
    <x v="1"/>
    <x v="5"/>
    <n v="13"/>
    <n v="54.75"/>
    <n v="0"/>
    <n v="24.3"/>
    <x v="208"/>
    <n v="315.90000000000003"/>
    <n v="395.84999999999997"/>
    <n v="0.55616438356164377"/>
  </r>
  <r>
    <n v="1225"/>
    <d v="2026-03-23T00:00:00"/>
    <n v="2026"/>
    <x v="0"/>
    <n v="3"/>
    <x v="2"/>
    <x v="2"/>
    <x v="10"/>
    <x v="1"/>
    <s v="New"/>
    <x v="1"/>
    <x v="1"/>
    <n v="9"/>
    <n v="153.38999999999999"/>
    <n v="0.15"/>
    <n v="78.59"/>
    <x v="209"/>
    <n v="707.31000000000006"/>
    <n v="466.12349999999981"/>
    <n v="0.39723043529948637"/>
  </r>
  <r>
    <n v="1312"/>
    <d v="2026-03-23T00:00:00"/>
    <n v="2026"/>
    <x v="0"/>
    <n v="3"/>
    <x v="2"/>
    <x v="2"/>
    <x v="10"/>
    <x v="3"/>
    <s v="New"/>
    <x v="3"/>
    <x v="19"/>
    <n v="6"/>
    <n v="124.97"/>
    <n v="0.1"/>
    <n v="67.36"/>
    <x v="210"/>
    <n v="404.15999999999997"/>
    <n v="270.678"/>
    <n v="0.40110070861451197"/>
  </r>
  <r>
    <n v="1395"/>
    <d v="2026-03-23T00:00:00"/>
    <n v="2026"/>
    <x v="0"/>
    <n v="3"/>
    <x v="2"/>
    <x v="3"/>
    <x v="6"/>
    <x v="3"/>
    <s v="Business"/>
    <x v="4"/>
    <x v="11"/>
    <n v="13"/>
    <n v="36.72"/>
    <n v="0.1"/>
    <n v="13.76"/>
    <x v="211"/>
    <n v="178.88"/>
    <n v="250.74400000000003"/>
    <n v="0.58363592350520455"/>
  </r>
  <r>
    <n v="1100"/>
    <d v="2026-03-24T00:00:00"/>
    <n v="2026"/>
    <x v="0"/>
    <n v="3"/>
    <x v="2"/>
    <x v="2"/>
    <x v="14"/>
    <x v="1"/>
    <s v="Business"/>
    <x v="0"/>
    <x v="0"/>
    <n v="11"/>
    <n v="49.6"/>
    <n v="0.15"/>
    <n v="23.05"/>
    <x v="212"/>
    <n v="253.55"/>
    <n v="210.20999999999998"/>
    <n v="0.45327324478178366"/>
  </r>
  <r>
    <n v="1145"/>
    <d v="2026-03-24T00:00:00"/>
    <n v="2026"/>
    <x v="0"/>
    <n v="3"/>
    <x v="2"/>
    <x v="3"/>
    <x v="6"/>
    <x v="3"/>
    <s v="New"/>
    <x v="1"/>
    <x v="1"/>
    <n v="10"/>
    <n v="153.38999999999999"/>
    <n v="0.2"/>
    <n v="78.59"/>
    <x v="213"/>
    <n v="785.90000000000009"/>
    <n v="441.2199999999998"/>
    <n v="0.35955733750570429"/>
  </r>
  <r>
    <n v="1403"/>
    <d v="2026-03-24T00:00:00"/>
    <n v="2026"/>
    <x v="0"/>
    <n v="3"/>
    <x v="2"/>
    <x v="3"/>
    <x v="13"/>
    <x v="2"/>
    <s v="Business"/>
    <x v="2"/>
    <x v="2"/>
    <n v="11"/>
    <n v="81.260000000000005"/>
    <n v="0.05"/>
    <n v="39.119999999999997"/>
    <x v="214"/>
    <n v="430.32"/>
    <n v="418.84700000000004"/>
    <n v="0.49324455613560114"/>
  </r>
  <r>
    <n v="1263"/>
    <d v="2026-03-25T00:00:00"/>
    <n v="2026"/>
    <x v="0"/>
    <n v="3"/>
    <x v="2"/>
    <x v="0"/>
    <x v="9"/>
    <x v="0"/>
    <s v="Returning"/>
    <x v="1"/>
    <x v="5"/>
    <n v="2"/>
    <n v="54.75"/>
    <n v="0.15"/>
    <n v="24.3"/>
    <x v="59"/>
    <n v="48.6"/>
    <n v="44.475000000000001"/>
    <n v="0.47784045124899277"/>
  </r>
  <r>
    <n v="1381"/>
    <d v="2026-03-25T00:00:00"/>
    <n v="2026"/>
    <x v="0"/>
    <n v="3"/>
    <x v="2"/>
    <x v="2"/>
    <x v="10"/>
    <x v="2"/>
    <s v="Business"/>
    <x v="4"/>
    <x v="16"/>
    <n v="2"/>
    <n v="46.99"/>
    <n v="0"/>
    <n v="18.11"/>
    <x v="76"/>
    <n v="36.22"/>
    <n v="57.760000000000005"/>
    <n v="0.61459885081932331"/>
  </r>
  <r>
    <n v="1048"/>
    <d v="2026-03-26T00:00:00"/>
    <n v="2026"/>
    <x v="0"/>
    <n v="3"/>
    <x v="2"/>
    <x v="2"/>
    <x v="14"/>
    <x v="0"/>
    <s v="Business"/>
    <x v="4"/>
    <x v="7"/>
    <n v="11"/>
    <n v="29.95"/>
    <n v="0.15"/>
    <n v="11.5"/>
    <x v="215"/>
    <n v="126.5"/>
    <n v="153.53249999999997"/>
    <n v="0.54826671904153979"/>
  </r>
  <r>
    <n v="1179"/>
    <d v="2026-03-26T00:00:00"/>
    <n v="2026"/>
    <x v="0"/>
    <n v="3"/>
    <x v="2"/>
    <x v="3"/>
    <x v="6"/>
    <x v="3"/>
    <s v="Returning"/>
    <x v="2"/>
    <x v="6"/>
    <n v="1"/>
    <n v="194.35"/>
    <n v="0.05"/>
    <n v="104.22"/>
    <x v="216"/>
    <n v="104.22"/>
    <n v="80.412499999999994"/>
    <n v="0.43552733132032551"/>
  </r>
  <r>
    <n v="1449"/>
    <d v="2026-03-26T00:00:00"/>
    <n v="2026"/>
    <x v="0"/>
    <n v="3"/>
    <x v="2"/>
    <x v="2"/>
    <x v="4"/>
    <x v="0"/>
    <s v="Returning"/>
    <x v="3"/>
    <x v="18"/>
    <n v="8"/>
    <n v="35.78"/>
    <n v="0"/>
    <n v="13.84"/>
    <x v="217"/>
    <n v="110.72"/>
    <n v="175.52"/>
    <n v="0.61319172722191173"/>
  </r>
  <r>
    <n v="1484"/>
    <d v="2026-03-26T00:00:00"/>
    <n v="2026"/>
    <x v="0"/>
    <n v="3"/>
    <x v="2"/>
    <x v="0"/>
    <x v="5"/>
    <x v="2"/>
    <s v="Returning"/>
    <x v="2"/>
    <x v="9"/>
    <n v="2"/>
    <n v="347.51"/>
    <n v="0.2"/>
    <n v="190.16"/>
    <x v="218"/>
    <n v="380.32"/>
    <n v="175.69599999999997"/>
    <n v="0.31599090673649677"/>
  </r>
  <r>
    <n v="1197"/>
    <d v="2026-03-28T00:00:00"/>
    <n v="2026"/>
    <x v="0"/>
    <n v="3"/>
    <x v="2"/>
    <x v="3"/>
    <x v="7"/>
    <x v="1"/>
    <s v="Business"/>
    <x v="2"/>
    <x v="15"/>
    <n v="13"/>
    <n v="41.22"/>
    <n v="0"/>
    <n v="16.64"/>
    <x v="219"/>
    <n v="216.32"/>
    <n v="319.54000000000002"/>
    <n v="0.59631246967491514"/>
  </r>
  <r>
    <n v="1477"/>
    <d v="2026-03-28T00:00:00"/>
    <n v="2026"/>
    <x v="0"/>
    <n v="3"/>
    <x v="2"/>
    <x v="1"/>
    <x v="2"/>
    <x v="0"/>
    <s v="Returning"/>
    <x v="1"/>
    <x v="5"/>
    <n v="6"/>
    <n v="54.75"/>
    <n v="0.2"/>
    <n v="24.3"/>
    <x v="41"/>
    <n v="145.80000000000001"/>
    <n v="117"/>
    <n v="0.4452054794520548"/>
  </r>
  <r>
    <n v="1040"/>
    <d v="2026-03-29T00:00:00"/>
    <n v="2026"/>
    <x v="0"/>
    <n v="3"/>
    <x v="2"/>
    <x v="3"/>
    <x v="11"/>
    <x v="1"/>
    <s v="Business"/>
    <x v="3"/>
    <x v="4"/>
    <n v="5"/>
    <n v="32.99"/>
    <n v="0"/>
    <n v="12.5"/>
    <x v="220"/>
    <n v="62.5"/>
    <n v="102.45000000000002"/>
    <n v="0.6210973022127918"/>
  </r>
  <r>
    <n v="1300"/>
    <d v="2026-03-29T00:00:00"/>
    <n v="2026"/>
    <x v="0"/>
    <n v="3"/>
    <x v="2"/>
    <x v="0"/>
    <x v="5"/>
    <x v="0"/>
    <s v="Returning"/>
    <x v="0"/>
    <x v="17"/>
    <n v="13"/>
    <n v="100.12"/>
    <n v="0.1"/>
    <n v="49.67"/>
    <x v="221"/>
    <n v="645.71"/>
    <n v="525.69399999999996"/>
    <n v="0.44877258401029874"/>
  </r>
  <r>
    <n v="1472"/>
    <d v="2026-03-29T00:00:00"/>
    <n v="2026"/>
    <x v="0"/>
    <n v="3"/>
    <x v="2"/>
    <x v="3"/>
    <x v="6"/>
    <x v="0"/>
    <s v="Business"/>
    <x v="2"/>
    <x v="2"/>
    <n v="8"/>
    <n v="81.260000000000005"/>
    <n v="0.05"/>
    <n v="39.119999999999997"/>
    <x v="222"/>
    <n v="312.95999999999998"/>
    <n v="304.61600000000004"/>
    <n v="0.4932445561356012"/>
  </r>
  <r>
    <n v="1485"/>
    <d v="2026-03-29T00:00:00"/>
    <n v="2026"/>
    <x v="0"/>
    <n v="3"/>
    <x v="2"/>
    <x v="2"/>
    <x v="4"/>
    <x v="1"/>
    <s v="Returning"/>
    <x v="3"/>
    <x v="18"/>
    <n v="12"/>
    <n v="35.78"/>
    <n v="0"/>
    <n v="13.84"/>
    <x v="223"/>
    <n v="166.07999999999998"/>
    <n v="263.28000000000003"/>
    <n v="0.61319172722191173"/>
  </r>
  <r>
    <n v="1212"/>
    <d v="2026-03-30T00:00:00"/>
    <n v="2026"/>
    <x v="0"/>
    <n v="3"/>
    <x v="2"/>
    <x v="1"/>
    <x v="3"/>
    <x v="2"/>
    <s v="Business"/>
    <x v="3"/>
    <x v="18"/>
    <n v="15"/>
    <n v="35.78"/>
    <n v="0.05"/>
    <n v="13.84"/>
    <x v="224"/>
    <n v="207.6"/>
    <n v="302.26499999999999"/>
    <n v="0.59283339707569649"/>
  </r>
  <r>
    <n v="1266"/>
    <d v="2026-03-30T00:00:00"/>
    <n v="2026"/>
    <x v="0"/>
    <n v="3"/>
    <x v="2"/>
    <x v="1"/>
    <x v="3"/>
    <x v="1"/>
    <s v="New"/>
    <x v="0"/>
    <x v="3"/>
    <n v="15"/>
    <n v="82.06"/>
    <n v="0.1"/>
    <n v="42.94"/>
    <x v="225"/>
    <n v="644.09999999999991"/>
    <n v="463.71000000000026"/>
    <n v="0.41858260893113458"/>
  </r>
  <r>
    <n v="1410"/>
    <d v="2026-03-31T00:00:00"/>
    <n v="2026"/>
    <x v="0"/>
    <n v="3"/>
    <x v="2"/>
    <x v="0"/>
    <x v="9"/>
    <x v="1"/>
    <s v="Returning"/>
    <x v="2"/>
    <x v="15"/>
    <n v="3"/>
    <n v="41.22"/>
    <n v="0.1"/>
    <n v="16.64"/>
    <x v="226"/>
    <n v="49.92"/>
    <n v="61.373999999999995"/>
    <n v="0.55145829963879456"/>
  </r>
  <r>
    <n v="1044"/>
    <d v="2026-04-02T00:00:00"/>
    <n v="2026"/>
    <x v="1"/>
    <n v="4"/>
    <x v="3"/>
    <x v="3"/>
    <x v="13"/>
    <x v="0"/>
    <s v="Business"/>
    <x v="0"/>
    <x v="17"/>
    <n v="13"/>
    <n v="100.12"/>
    <n v="0.15"/>
    <n v="49.67"/>
    <x v="31"/>
    <n v="645.71"/>
    <n v="460.61599999999999"/>
    <n v="0.41634744189325751"/>
  </r>
  <r>
    <n v="1141"/>
    <d v="2026-04-02T00:00:00"/>
    <n v="2026"/>
    <x v="1"/>
    <n v="4"/>
    <x v="3"/>
    <x v="3"/>
    <x v="11"/>
    <x v="2"/>
    <s v="Business"/>
    <x v="0"/>
    <x v="0"/>
    <n v="5"/>
    <n v="49.6"/>
    <n v="0"/>
    <n v="23.05"/>
    <x v="227"/>
    <n v="115.25"/>
    <n v="132.75"/>
    <n v="0.53528225806451613"/>
  </r>
  <r>
    <n v="1200"/>
    <d v="2026-04-02T00:00:00"/>
    <n v="2026"/>
    <x v="1"/>
    <n v="4"/>
    <x v="3"/>
    <x v="1"/>
    <x v="3"/>
    <x v="0"/>
    <s v="New"/>
    <x v="4"/>
    <x v="7"/>
    <n v="2"/>
    <n v="29.95"/>
    <n v="0.05"/>
    <n v="11.5"/>
    <x v="228"/>
    <n v="23"/>
    <n v="33.904999999999994"/>
    <n v="0.59581759072137774"/>
  </r>
  <r>
    <n v="1301"/>
    <d v="2026-04-02T00:00:00"/>
    <n v="2026"/>
    <x v="1"/>
    <n v="4"/>
    <x v="3"/>
    <x v="0"/>
    <x v="0"/>
    <x v="3"/>
    <s v="Returning"/>
    <x v="1"/>
    <x v="5"/>
    <n v="2"/>
    <n v="54.75"/>
    <n v="0.15"/>
    <n v="24.3"/>
    <x v="59"/>
    <n v="48.6"/>
    <n v="44.475000000000001"/>
    <n v="0.47784045124899277"/>
  </r>
  <r>
    <n v="1394"/>
    <d v="2026-04-02T00:00:00"/>
    <n v="2026"/>
    <x v="1"/>
    <n v="4"/>
    <x v="3"/>
    <x v="0"/>
    <x v="0"/>
    <x v="2"/>
    <s v="Returning"/>
    <x v="4"/>
    <x v="7"/>
    <n v="7"/>
    <n v="29.95"/>
    <n v="0.05"/>
    <n v="11.5"/>
    <x v="229"/>
    <n v="80.5"/>
    <n v="118.66749999999999"/>
    <n v="0.59581759072137774"/>
  </r>
  <r>
    <n v="1309"/>
    <d v="2026-04-03T00:00:00"/>
    <n v="2026"/>
    <x v="1"/>
    <n v="4"/>
    <x v="3"/>
    <x v="2"/>
    <x v="8"/>
    <x v="2"/>
    <s v="New"/>
    <x v="2"/>
    <x v="15"/>
    <n v="8"/>
    <n v="41.22"/>
    <n v="0"/>
    <n v="16.64"/>
    <x v="230"/>
    <n v="133.12"/>
    <n v="196.64"/>
    <n v="0.59631246967491502"/>
  </r>
  <r>
    <n v="1349"/>
    <d v="2026-04-03T00:00:00"/>
    <n v="2026"/>
    <x v="1"/>
    <n v="4"/>
    <x v="3"/>
    <x v="2"/>
    <x v="14"/>
    <x v="3"/>
    <s v="Business"/>
    <x v="4"/>
    <x v="16"/>
    <n v="1"/>
    <n v="46.99"/>
    <n v="0.1"/>
    <n v="18.11"/>
    <x v="231"/>
    <n v="18.11"/>
    <n v="24.181000000000004"/>
    <n v="0.57177650091035925"/>
  </r>
  <r>
    <n v="1313"/>
    <d v="2026-04-04T00:00:00"/>
    <n v="2026"/>
    <x v="1"/>
    <n v="4"/>
    <x v="3"/>
    <x v="1"/>
    <x v="3"/>
    <x v="1"/>
    <s v="Business"/>
    <x v="1"/>
    <x v="14"/>
    <n v="11"/>
    <n v="143.66999999999999"/>
    <n v="0.15"/>
    <n v="81.22"/>
    <x v="232"/>
    <n v="893.42"/>
    <n v="449.89449999999999"/>
    <n v="0.33491375251290745"/>
  </r>
  <r>
    <n v="1078"/>
    <d v="2026-04-05T00:00:00"/>
    <n v="2026"/>
    <x v="1"/>
    <n v="4"/>
    <x v="3"/>
    <x v="1"/>
    <x v="3"/>
    <x v="0"/>
    <s v="Returning"/>
    <x v="4"/>
    <x v="11"/>
    <n v="14"/>
    <n v="36.72"/>
    <n v="0.1"/>
    <n v="13.76"/>
    <x v="233"/>
    <n v="192.64"/>
    <n v="270.03199999999998"/>
    <n v="0.58363592350520455"/>
  </r>
  <r>
    <n v="1131"/>
    <d v="2026-04-05T00:00:00"/>
    <n v="2026"/>
    <x v="1"/>
    <n v="4"/>
    <x v="3"/>
    <x v="2"/>
    <x v="10"/>
    <x v="0"/>
    <s v="Returning"/>
    <x v="4"/>
    <x v="11"/>
    <n v="11"/>
    <n v="36.72"/>
    <n v="0"/>
    <n v="13.76"/>
    <x v="234"/>
    <n v="151.35999999999999"/>
    <n v="252.55999999999997"/>
    <n v="0.62527233115468406"/>
  </r>
  <r>
    <n v="1374"/>
    <d v="2026-04-05T00:00:00"/>
    <n v="2026"/>
    <x v="1"/>
    <n v="4"/>
    <x v="3"/>
    <x v="3"/>
    <x v="11"/>
    <x v="2"/>
    <s v="New"/>
    <x v="3"/>
    <x v="18"/>
    <n v="12"/>
    <n v="35.78"/>
    <n v="0.15"/>
    <n v="13.84"/>
    <x v="235"/>
    <n v="166.07999999999998"/>
    <n v="198.87600000000003"/>
    <n v="0.54493144379048442"/>
  </r>
  <r>
    <n v="1375"/>
    <d v="2026-04-05T00:00:00"/>
    <n v="2026"/>
    <x v="1"/>
    <n v="4"/>
    <x v="3"/>
    <x v="0"/>
    <x v="1"/>
    <x v="0"/>
    <s v="Returning"/>
    <x v="3"/>
    <x v="19"/>
    <n v="3"/>
    <n v="124.97"/>
    <n v="0"/>
    <n v="67.36"/>
    <x v="236"/>
    <n v="202.07999999999998"/>
    <n v="172.82999999999998"/>
    <n v="0.46099063775306071"/>
  </r>
  <r>
    <n v="1150"/>
    <d v="2026-04-06T00:00:00"/>
    <n v="2026"/>
    <x v="1"/>
    <n v="4"/>
    <x v="3"/>
    <x v="3"/>
    <x v="6"/>
    <x v="0"/>
    <s v="New"/>
    <x v="3"/>
    <x v="18"/>
    <n v="11"/>
    <n v="35.78"/>
    <n v="0"/>
    <n v="13.84"/>
    <x v="56"/>
    <n v="152.24"/>
    <n v="241.34000000000003"/>
    <n v="0.61319172722191173"/>
  </r>
  <r>
    <n v="1188"/>
    <d v="2026-04-06T00:00:00"/>
    <n v="2026"/>
    <x v="1"/>
    <n v="4"/>
    <x v="3"/>
    <x v="3"/>
    <x v="7"/>
    <x v="3"/>
    <s v="Returning"/>
    <x v="0"/>
    <x v="17"/>
    <n v="4"/>
    <n v="100.12"/>
    <n v="0"/>
    <n v="49.67"/>
    <x v="237"/>
    <n v="198.68"/>
    <n v="201.8"/>
    <n v="0.50389532560926886"/>
  </r>
  <r>
    <n v="1433"/>
    <d v="2026-04-06T00:00:00"/>
    <n v="2026"/>
    <x v="1"/>
    <n v="4"/>
    <x v="3"/>
    <x v="1"/>
    <x v="3"/>
    <x v="0"/>
    <s v="Returning"/>
    <x v="1"/>
    <x v="8"/>
    <n v="5"/>
    <n v="94.18"/>
    <n v="0.2"/>
    <n v="45.03"/>
    <x v="238"/>
    <n v="225.15"/>
    <n v="151.57000000000002"/>
    <n v="0.40234126141431303"/>
  </r>
  <r>
    <n v="1268"/>
    <d v="2026-04-07T00:00:00"/>
    <n v="2026"/>
    <x v="1"/>
    <n v="4"/>
    <x v="3"/>
    <x v="1"/>
    <x v="3"/>
    <x v="1"/>
    <s v="Returning"/>
    <x v="3"/>
    <x v="19"/>
    <n v="11"/>
    <n v="124.97"/>
    <n v="0.05"/>
    <n v="67.36"/>
    <x v="239"/>
    <n v="740.96"/>
    <n v="564.97649999999999"/>
    <n v="0.43262172395059023"/>
  </r>
  <r>
    <n v="1441"/>
    <d v="2026-04-07T00:00:00"/>
    <n v="2026"/>
    <x v="1"/>
    <n v="4"/>
    <x v="3"/>
    <x v="2"/>
    <x v="10"/>
    <x v="0"/>
    <s v="Business"/>
    <x v="4"/>
    <x v="16"/>
    <n v="8"/>
    <n v="46.99"/>
    <n v="0.05"/>
    <n v="18.11"/>
    <x v="240"/>
    <n v="144.88"/>
    <n v="212.24400000000003"/>
    <n v="0.59431457980981395"/>
  </r>
  <r>
    <n v="1005"/>
    <d v="2026-04-08T00:00:00"/>
    <n v="2026"/>
    <x v="1"/>
    <n v="4"/>
    <x v="3"/>
    <x v="1"/>
    <x v="2"/>
    <x v="0"/>
    <s v="Business"/>
    <x v="4"/>
    <x v="7"/>
    <n v="13"/>
    <n v="29.95"/>
    <n v="0"/>
    <n v="11.5"/>
    <x v="241"/>
    <n v="149.5"/>
    <n v="239.84999999999997"/>
    <n v="0.61602671118530883"/>
  </r>
  <r>
    <n v="1030"/>
    <d v="2026-04-08T00:00:00"/>
    <n v="2026"/>
    <x v="1"/>
    <n v="4"/>
    <x v="3"/>
    <x v="1"/>
    <x v="2"/>
    <x v="0"/>
    <s v="Returning"/>
    <x v="4"/>
    <x v="13"/>
    <n v="5"/>
    <n v="89.99"/>
    <n v="0.1"/>
    <n v="42.25"/>
    <x v="148"/>
    <n v="211.25"/>
    <n v="193.70499999999998"/>
    <n v="0.47833709918385992"/>
  </r>
  <r>
    <n v="1093"/>
    <d v="2026-04-08T00:00:00"/>
    <n v="2026"/>
    <x v="1"/>
    <n v="4"/>
    <x v="3"/>
    <x v="0"/>
    <x v="0"/>
    <x v="1"/>
    <s v="Business"/>
    <x v="4"/>
    <x v="13"/>
    <n v="5"/>
    <n v="89.99"/>
    <n v="0.15"/>
    <n v="42.25"/>
    <x v="182"/>
    <n v="211.25"/>
    <n v="171.20749999999998"/>
    <n v="0.44765104619467522"/>
  </r>
  <r>
    <n v="1124"/>
    <d v="2026-04-08T00:00:00"/>
    <n v="2026"/>
    <x v="1"/>
    <n v="4"/>
    <x v="3"/>
    <x v="2"/>
    <x v="4"/>
    <x v="0"/>
    <s v="New"/>
    <x v="4"/>
    <x v="11"/>
    <n v="14"/>
    <n v="36.72"/>
    <n v="0.2"/>
    <n v="13.76"/>
    <x v="242"/>
    <n v="192.64"/>
    <n v="218.62399999999997"/>
    <n v="0.53159041394335504"/>
  </r>
  <r>
    <n v="1283"/>
    <d v="2026-04-08T00:00:00"/>
    <n v="2026"/>
    <x v="1"/>
    <n v="4"/>
    <x v="3"/>
    <x v="0"/>
    <x v="5"/>
    <x v="0"/>
    <s v="New"/>
    <x v="4"/>
    <x v="7"/>
    <n v="6"/>
    <n v="29.95"/>
    <n v="0.15"/>
    <n v="11.5"/>
    <x v="243"/>
    <n v="69"/>
    <n v="83.744999999999976"/>
    <n v="0.54826671904153979"/>
  </r>
  <r>
    <n v="1207"/>
    <d v="2026-04-09T00:00:00"/>
    <n v="2026"/>
    <x v="1"/>
    <n v="4"/>
    <x v="3"/>
    <x v="1"/>
    <x v="3"/>
    <x v="0"/>
    <s v="Returning"/>
    <x v="1"/>
    <x v="5"/>
    <n v="6"/>
    <n v="54.75"/>
    <n v="0.05"/>
    <n v="24.3"/>
    <x v="244"/>
    <n v="145.80000000000001"/>
    <n v="166.27499999999998"/>
    <n v="0.53280461427541448"/>
  </r>
  <r>
    <n v="1257"/>
    <d v="2026-04-09T00:00:00"/>
    <n v="2026"/>
    <x v="1"/>
    <n v="4"/>
    <x v="3"/>
    <x v="3"/>
    <x v="7"/>
    <x v="1"/>
    <s v="New"/>
    <x v="4"/>
    <x v="7"/>
    <n v="5"/>
    <n v="29.95"/>
    <n v="0.15"/>
    <n v="11.5"/>
    <x v="245"/>
    <n v="57.5"/>
    <n v="69.787499999999994"/>
    <n v="0.54826671904153979"/>
  </r>
  <r>
    <n v="1359"/>
    <d v="2026-04-09T00:00:00"/>
    <n v="2026"/>
    <x v="1"/>
    <n v="4"/>
    <x v="3"/>
    <x v="1"/>
    <x v="12"/>
    <x v="3"/>
    <s v="New"/>
    <x v="2"/>
    <x v="9"/>
    <n v="9"/>
    <n v="347.51"/>
    <n v="0"/>
    <n v="190.16"/>
    <x v="246"/>
    <n v="1711.44"/>
    <n v="1416.15"/>
    <n v="0.45279272538919746"/>
  </r>
  <r>
    <n v="1303"/>
    <d v="2026-04-10T00:00:00"/>
    <n v="2026"/>
    <x v="1"/>
    <n v="4"/>
    <x v="3"/>
    <x v="2"/>
    <x v="4"/>
    <x v="0"/>
    <s v="New"/>
    <x v="0"/>
    <x v="3"/>
    <n v="1"/>
    <n v="82.06"/>
    <n v="0.05"/>
    <n v="42.94"/>
    <x v="247"/>
    <n v="42.94"/>
    <n v="35.016999999999996"/>
    <n v="0.44918352425054836"/>
  </r>
  <r>
    <n v="1498"/>
    <d v="2026-04-10T00:00:00"/>
    <n v="2026"/>
    <x v="1"/>
    <n v="4"/>
    <x v="3"/>
    <x v="0"/>
    <x v="5"/>
    <x v="3"/>
    <s v="Returning"/>
    <x v="3"/>
    <x v="12"/>
    <n v="1"/>
    <n v="40.6"/>
    <n v="0.2"/>
    <n v="15.04"/>
    <x v="248"/>
    <n v="15.04"/>
    <n v="17.440000000000005"/>
    <n v="0.53694581280788189"/>
  </r>
  <r>
    <n v="1236"/>
    <d v="2026-04-11T00:00:00"/>
    <n v="2026"/>
    <x v="1"/>
    <n v="4"/>
    <x v="3"/>
    <x v="2"/>
    <x v="4"/>
    <x v="3"/>
    <s v="New"/>
    <x v="3"/>
    <x v="4"/>
    <n v="12"/>
    <n v="32.99"/>
    <n v="0.15"/>
    <n v="12.5"/>
    <x v="249"/>
    <n v="150"/>
    <n v="186.49799999999999"/>
    <n v="0.55423212025034319"/>
  </r>
  <r>
    <n v="1487"/>
    <d v="2026-04-11T00:00:00"/>
    <n v="2026"/>
    <x v="1"/>
    <n v="4"/>
    <x v="3"/>
    <x v="3"/>
    <x v="7"/>
    <x v="1"/>
    <s v="Business"/>
    <x v="1"/>
    <x v="1"/>
    <n v="2"/>
    <n v="153.38999999999999"/>
    <n v="0.1"/>
    <n v="78.59"/>
    <x v="250"/>
    <n v="157.18"/>
    <n v="118.92199999999997"/>
    <n v="0.43071763333840385"/>
  </r>
  <r>
    <n v="1137"/>
    <d v="2026-04-12T00:00:00"/>
    <n v="2026"/>
    <x v="1"/>
    <n v="4"/>
    <x v="3"/>
    <x v="2"/>
    <x v="8"/>
    <x v="2"/>
    <s v="Business"/>
    <x v="0"/>
    <x v="10"/>
    <n v="2"/>
    <n v="28.5"/>
    <n v="0.2"/>
    <n v="12.8"/>
    <x v="251"/>
    <n v="25.6"/>
    <n v="20"/>
    <n v="0.43859649122807015"/>
  </r>
  <r>
    <n v="1163"/>
    <d v="2026-04-12T00:00:00"/>
    <n v="2026"/>
    <x v="1"/>
    <n v="4"/>
    <x v="3"/>
    <x v="1"/>
    <x v="2"/>
    <x v="3"/>
    <s v="Business"/>
    <x v="0"/>
    <x v="10"/>
    <n v="15"/>
    <n v="28.5"/>
    <n v="0"/>
    <n v="12.8"/>
    <x v="252"/>
    <n v="192"/>
    <n v="235.5"/>
    <n v="0.55087719298245619"/>
  </r>
  <r>
    <n v="1385"/>
    <d v="2026-04-12T00:00:00"/>
    <n v="2026"/>
    <x v="1"/>
    <n v="4"/>
    <x v="3"/>
    <x v="1"/>
    <x v="3"/>
    <x v="1"/>
    <s v="New"/>
    <x v="4"/>
    <x v="7"/>
    <n v="14"/>
    <n v="29.95"/>
    <n v="0"/>
    <n v="11.5"/>
    <x v="253"/>
    <n v="161"/>
    <n v="258.3"/>
    <n v="0.61602671118530883"/>
  </r>
  <r>
    <n v="1390"/>
    <d v="2026-04-12T00:00:00"/>
    <n v="2026"/>
    <x v="1"/>
    <n v="4"/>
    <x v="3"/>
    <x v="0"/>
    <x v="9"/>
    <x v="2"/>
    <s v="Returning"/>
    <x v="2"/>
    <x v="2"/>
    <n v="3"/>
    <n v="81.260000000000005"/>
    <n v="0.05"/>
    <n v="39.119999999999997"/>
    <x v="254"/>
    <n v="117.35999999999999"/>
    <n v="114.23100000000002"/>
    <n v="0.4932445561356012"/>
  </r>
  <r>
    <n v="1059"/>
    <d v="2026-04-13T00:00:00"/>
    <n v="2026"/>
    <x v="1"/>
    <n v="4"/>
    <x v="3"/>
    <x v="3"/>
    <x v="13"/>
    <x v="2"/>
    <s v="Returning"/>
    <x v="0"/>
    <x v="3"/>
    <n v="13"/>
    <n v="82.06"/>
    <n v="0.1"/>
    <n v="42.94"/>
    <x v="255"/>
    <n v="558.22"/>
    <n v="401.88199999999995"/>
    <n v="0.41858260893113436"/>
  </r>
  <r>
    <n v="1256"/>
    <d v="2026-04-13T00:00:00"/>
    <n v="2026"/>
    <x v="1"/>
    <n v="4"/>
    <x v="3"/>
    <x v="1"/>
    <x v="12"/>
    <x v="1"/>
    <s v="New"/>
    <x v="1"/>
    <x v="5"/>
    <n v="6"/>
    <n v="54.75"/>
    <n v="0"/>
    <n v="24.3"/>
    <x v="256"/>
    <n v="145.80000000000001"/>
    <n v="182.7"/>
    <n v="0.55616438356164377"/>
  </r>
  <r>
    <n v="1294"/>
    <d v="2026-04-14T00:00:00"/>
    <n v="2026"/>
    <x v="1"/>
    <n v="4"/>
    <x v="3"/>
    <x v="0"/>
    <x v="0"/>
    <x v="1"/>
    <s v="Business"/>
    <x v="3"/>
    <x v="4"/>
    <n v="1"/>
    <n v="32.99"/>
    <n v="0.2"/>
    <n v="12.5"/>
    <x v="257"/>
    <n v="12.5"/>
    <n v="13.892000000000003"/>
    <n v="0.52637162776598978"/>
  </r>
  <r>
    <n v="1482"/>
    <d v="2026-04-14T00:00:00"/>
    <n v="2026"/>
    <x v="1"/>
    <n v="4"/>
    <x v="3"/>
    <x v="0"/>
    <x v="9"/>
    <x v="3"/>
    <s v="Business"/>
    <x v="3"/>
    <x v="12"/>
    <n v="14"/>
    <n v="40.6"/>
    <n v="0"/>
    <n v="15.04"/>
    <x v="258"/>
    <n v="210.56"/>
    <n v="357.84"/>
    <n v="0.62955665024630536"/>
  </r>
  <r>
    <n v="1133"/>
    <d v="2026-04-15T00:00:00"/>
    <n v="2026"/>
    <x v="1"/>
    <n v="4"/>
    <x v="3"/>
    <x v="1"/>
    <x v="12"/>
    <x v="1"/>
    <s v="Returning"/>
    <x v="0"/>
    <x v="3"/>
    <n v="5"/>
    <n v="82.06"/>
    <n v="0.1"/>
    <n v="42.94"/>
    <x v="259"/>
    <n v="214.7"/>
    <n v="154.57000000000005"/>
    <n v="0.41858260893113447"/>
  </r>
  <r>
    <n v="1176"/>
    <d v="2026-04-15T00:00:00"/>
    <n v="2026"/>
    <x v="1"/>
    <n v="4"/>
    <x v="3"/>
    <x v="2"/>
    <x v="14"/>
    <x v="0"/>
    <s v="New"/>
    <x v="4"/>
    <x v="11"/>
    <n v="6"/>
    <n v="36.72"/>
    <n v="0"/>
    <n v="13.76"/>
    <x v="260"/>
    <n v="82.56"/>
    <n v="137.76"/>
    <n v="0.62527233115468406"/>
  </r>
  <r>
    <n v="1267"/>
    <d v="2026-04-15T00:00:00"/>
    <n v="2026"/>
    <x v="1"/>
    <n v="4"/>
    <x v="3"/>
    <x v="3"/>
    <x v="13"/>
    <x v="0"/>
    <s v="New"/>
    <x v="2"/>
    <x v="6"/>
    <n v="15"/>
    <n v="194.35"/>
    <n v="0.1"/>
    <n v="104.22"/>
    <x v="261"/>
    <n v="1563.3"/>
    <n v="1060.425"/>
    <n v="0.40416773861589916"/>
  </r>
  <r>
    <n v="1026"/>
    <d v="2026-04-16T00:00:00"/>
    <n v="2026"/>
    <x v="1"/>
    <n v="4"/>
    <x v="3"/>
    <x v="0"/>
    <x v="9"/>
    <x v="3"/>
    <s v="Returning"/>
    <x v="0"/>
    <x v="3"/>
    <n v="7"/>
    <n v="82.06"/>
    <n v="0.2"/>
    <n v="42.94"/>
    <x v="262"/>
    <n v="300.58"/>
    <n v="158.95600000000007"/>
    <n v="0.3459054350475263"/>
  </r>
  <r>
    <n v="1113"/>
    <d v="2026-04-16T00:00:00"/>
    <n v="2026"/>
    <x v="1"/>
    <n v="4"/>
    <x v="3"/>
    <x v="1"/>
    <x v="2"/>
    <x v="2"/>
    <s v="New"/>
    <x v="2"/>
    <x v="2"/>
    <n v="7"/>
    <n v="81.260000000000005"/>
    <n v="0.2"/>
    <n v="39.119999999999997"/>
    <x v="263"/>
    <n v="273.83999999999997"/>
    <n v="181.21600000000007"/>
    <n v="0.39822791041102645"/>
  </r>
  <r>
    <n v="1128"/>
    <d v="2026-04-17T00:00:00"/>
    <n v="2026"/>
    <x v="1"/>
    <n v="4"/>
    <x v="3"/>
    <x v="3"/>
    <x v="13"/>
    <x v="3"/>
    <s v="Returning"/>
    <x v="1"/>
    <x v="1"/>
    <n v="9"/>
    <n v="153.38999999999999"/>
    <n v="0.15"/>
    <n v="78.59"/>
    <x v="209"/>
    <n v="707.31000000000006"/>
    <n v="466.12349999999981"/>
    <n v="0.39723043529948637"/>
  </r>
  <r>
    <n v="1148"/>
    <d v="2026-04-17T00:00:00"/>
    <n v="2026"/>
    <x v="1"/>
    <n v="4"/>
    <x v="3"/>
    <x v="1"/>
    <x v="2"/>
    <x v="3"/>
    <s v="Returning"/>
    <x v="2"/>
    <x v="6"/>
    <n v="11"/>
    <n v="194.35"/>
    <n v="0.05"/>
    <n v="104.22"/>
    <x v="264"/>
    <n v="1146.42"/>
    <n v="884.53749999999968"/>
    <n v="0.43552733132032539"/>
  </r>
  <r>
    <n v="1224"/>
    <d v="2026-04-17T00:00:00"/>
    <n v="2026"/>
    <x v="1"/>
    <n v="4"/>
    <x v="3"/>
    <x v="0"/>
    <x v="0"/>
    <x v="3"/>
    <s v="Business"/>
    <x v="1"/>
    <x v="1"/>
    <n v="10"/>
    <n v="153.38999999999999"/>
    <n v="0"/>
    <n v="78.59"/>
    <x v="265"/>
    <n v="785.90000000000009"/>
    <n v="747.99999999999977"/>
    <n v="0.48764587000456344"/>
  </r>
  <r>
    <n v="1432"/>
    <d v="2026-04-17T00:00:00"/>
    <n v="2026"/>
    <x v="1"/>
    <n v="4"/>
    <x v="3"/>
    <x v="1"/>
    <x v="12"/>
    <x v="0"/>
    <s v="Business"/>
    <x v="2"/>
    <x v="15"/>
    <n v="15"/>
    <n v="41.22"/>
    <n v="0.1"/>
    <n v="16.64"/>
    <x v="266"/>
    <n v="249.60000000000002"/>
    <n v="306.87"/>
    <n v="0.55145829963879456"/>
  </r>
  <r>
    <n v="1142"/>
    <d v="2026-04-18T00:00:00"/>
    <n v="2026"/>
    <x v="1"/>
    <n v="4"/>
    <x v="3"/>
    <x v="1"/>
    <x v="3"/>
    <x v="1"/>
    <s v="New"/>
    <x v="0"/>
    <x v="10"/>
    <n v="8"/>
    <n v="28.5"/>
    <n v="0.05"/>
    <n v="12.8"/>
    <x v="267"/>
    <n v="102.4"/>
    <n v="114.19999999999999"/>
    <n v="0.52723915050784853"/>
  </r>
  <r>
    <n v="1156"/>
    <d v="2026-04-18T00:00:00"/>
    <n v="2026"/>
    <x v="1"/>
    <n v="4"/>
    <x v="3"/>
    <x v="0"/>
    <x v="5"/>
    <x v="3"/>
    <s v="Business"/>
    <x v="1"/>
    <x v="1"/>
    <n v="5"/>
    <n v="153.38999999999999"/>
    <n v="0.2"/>
    <n v="78.59"/>
    <x v="268"/>
    <n v="392.95000000000005"/>
    <n v="220.6099999999999"/>
    <n v="0.35955733750570429"/>
  </r>
  <r>
    <n v="1192"/>
    <d v="2026-04-18T00:00:00"/>
    <n v="2026"/>
    <x v="1"/>
    <n v="4"/>
    <x v="3"/>
    <x v="0"/>
    <x v="9"/>
    <x v="1"/>
    <s v="Business"/>
    <x v="0"/>
    <x v="10"/>
    <n v="10"/>
    <n v="28.5"/>
    <n v="0.15"/>
    <n v="12.8"/>
    <x v="269"/>
    <n v="128"/>
    <n v="114.25"/>
    <n v="0.47162022703818368"/>
  </r>
  <r>
    <n v="1240"/>
    <d v="2026-04-18T00:00:00"/>
    <n v="2026"/>
    <x v="1"/>
    <n v="4"/>
    <x v="3"/>
    <x v="3"/>
    <x v="7"/>
    <x v="0"/>
    <s v="Business"/>
    <x v="1"/>
    <x v="5"/>
    <n v="9"/>
    <n v="54.75"/>
    <n v="0.15"/>
    <n v="24.3"/>
    <x v="8"/>
    <n v="218.70000000000002"/>
    <n v="200.13749999999996"/>
    <n v="0.47784045124899266"/>
  </r>
  <r>
    <n v="1041"/>
    <d v="2026-04-19T00:00:00"/>
    <n v="2026"/>
    <x v="1"/>
    <n v="4"/>
    <x v="3"/>
    <x v="2"/>
    <x v="14"/>
    <x v="3"/>
    <s v="Returning"/>
    <x v="0"/>
    <x v="17"/>
    <n v="13"/>
    <n v="100.12"/>
    <n v="0"/>
    <n v="49.67"/>
    <x v="270"/>
    <n v="645.71"/>
    <n v="655.84999999999991"/>
    <n v="0.50389532560926886"/>
  </r>
  <r>
    <n v="1164"/>
    <d v="2026-04-20T00:00:00"/>
    <n v="2026"/>
    <x v="1"/>
    <n v="4"/>
    <x v="3"/>
    <x v="0"/>
    <x v="0"/>
    <x v="3"/>
    <s v="Returning"/>
    <x v="4"/>
    <x v="11"/>
    <n v="7"/>
    <n v="36.72"/>
    <n v="0"/>
    <n v="13.76"/>
    <x v="62"/>
    <n v="96.32"/>
    <n v="160.71999999999997"/>
    <n v="0.62527233115468406"/>
  </r>
  <r>
    <n v="1416"/>
    <d v="2026-04-20T00:00:00"/>
    <n v="2026"/>
    <x v="1"/>
    <n v="4"/>
    <x v="3"/>
    <x v="1"/>
    <x v="2"/>
    <x v="1"/>
    <s v="Returning"/>
    <x v="3"/>
    <x v="4"/>
    <n v="4"/>
    <n v="32.99"/>
    <n v="0"/>
    <n v="12.5"/>
    <x v="199"/>
    <n v="50"/>
    <n v="81.960000000000008"/>
    <n v="0.6210973022127918"/>
  </r>
  <r>
    <n v="1052"/>
    <d v="2026-04-21T00:00:00"/>
    <n v="2026"/>
    <x v="1"/>
    <n v="4"/>
    <x v="3"/>
    <x v="1"/>
    <x v="3"/>
    <x v="3"/>
    <s v="Business"/>
    <x v="4"/>
    <x v="7"/>
    <n v="11"/>
    <n v="29.95"/>
    <n v="0"/>
    <n v="11.5"/>
    <x v="271"/>
    <n v="126.5"/>
    <n v="202.95"/>
    <n v="0.61602671118530883"/>
  </r>
  <r>
    <n v="1079"/>
    <d v="2026-04-21T00:00:00"/>
    <n v="2026"/>
    <x v="1"/>
    <n v="4"/>
    <x v="3"/>
    <x v="2"/>
    <x v="10"/>
    <x v="3"/>
    <s v="Business"/>
    <x v="1"/>
    <x v="5"/>
    <n v="3"/>
    <n v="54.75"/>
    <n v="0.2"/>
    <n v="24.3"/>
    <x v="272"/>
    <n v="72.900000000000006"/>
    <n v="58.5"/>
    <n v="0.4452054794520548"/>
  </r>
  <r>
    <n v="1162"/>
    <d v="2026-04-21T00:00:00"/>
    <n v="2026"/>
    <x v="1"/>
    <n v="4"/>
    <x v="3"/>
    <x v="3"/>
    <x v="13"/>
    <x v="3"/>
    <s v="Returning"/>
    <x v="2"/>
    <x v="15"/>
    <n v="9"/>
    <n v="41.22"/>
    <n v="0.15"/>
    <n v="16.64"/>
    <x v="273"/>
    <n v="149.76"/>
    <n v="165.57300000000004"/>
    <n v="0.5250734937351943"/>
  </r>
  <r>
    <n v="1311"/>
    <d v="2026-04-21T00:00:00"/>
    <n v="2026"/>
    <x v="1"/>
    <n v="4"/>
    <x v="3"/>
    <x v="3"/>
    <x v="11"/>
    <x v="2"/>
    <s v="New"/>
    <x v="4"/>
    <x v="16"/>
    <n v="8"/>
    <n v="46.99"/>
    <n v="0.05"/>
    <n v="18.11"/>
    <x v="240"/>
    <n v="144.88"/>
    <n v="212.24400000000003"/>
    <n v="0.59431457980981395"/>
  </r>
  <r>
    <n v="1489"/>
    <d v="2026-04-21T00:00:00"/>
    <n v="2026"/>
    <x v="1"/>
    <n v="4"/>
    <x v="3"/>
    <x v="0"/>
    <x v="1"/>
    <x v="1"/>
    <s v="New"/>
    <x v="3"/>
    <x v="19"/>
    <n v="12"/>
    <n v="124.97"/>
    <n v="0"/>
    <n v="67.36"/>
    <x v="274"/>
    <n v="808.31999999999994"/>
    <n v="691.31999999999994"/>
    <n v="0.46099063775306071"/>
  </r>
  <r>
    <n v="1102"/>
    <d v="2026-04-22T00:00:00"/>
    <n v="2026"/>
    <x v="1"/>
    <n v="4"/>
    <x v="3"/>
    <x v="0"/>
    <x v="9"/>
    <x v="3"/>
    <s v="Business"/>
    <x v="2"/>
    <x v="6"/>
    <n v="7"/>
    <n v="194.35"/>
    <n v="0.05"/>
    <n v="104.22"/>
    <x v="98"/>
    <n v="729.54"/>
    <n v="562.88750000000005"/>
    <n v="0.43552733132032556"/>
  </r>
  <r>
    <n v="1205"/>
    <d v="2026-04-22T00:00:00"/>
    <n v="2026"/>
    <x v="1"/>
    <n v="4"/>
    <x v="3"/>
    <x v="2"/>
    <x v="14"/>
    <x v="2"/>
    <s v="Returning"/>
    <x v="0"/>
    <x v="10"/>
    <n v="6"/>
    <n v="28.5"/>
    <n v="0.15"/>
    <n v="12.8"/>
    <x v="275"/>
    <n v="76.800000000000011"/>
    <n v="68.549999999999983"/>
    <n v="0.47162022703818357"/>
  </r>
  <r>
    <n v="1127"/>
    <d v="2026-04-23T00:00:00"/>
    <n v="2026"/>
    <x v="1"/>
    <n v="4"/>
    <x v="3"/>
    <x v="1"/>
    <x v="3"/>
    <x v="3"/>
    <s v="Business"/>
    <x v="4"/>
    <x v="16"/>
    <n v="2"/>
    <n v="46.99"/>
    <n v="0.05"/>
    <n v="18.11"/>
    <x v="276"/>
    <n v="36.22"/>
    <n v="53.061000000000007"/>
    <n v="0.59431457980981395"/>
  </r>
  <r>
    <n v="1201"/>
    <d v="2026-04-23T00:00:00"/>
    <n v="2026"/>
    <x v="1"/>
    <n v="4"/>
    <x v="3"/>
    <x v="0"/>
    <x v="5"/>
    <x v="3"/>
    <s v="Business"/>
    <x v="1"/>
    <x v="5"/>
    <n v="12"/>
    <n v="54.75"/>
    <n v="0.1"/>
    <n v="24.3"/>
    <x v="277"/>
    <n v="291.60000000000002"/>
    <n v="299.70000000000005"/>
    <n v="0.50684931506849318"/>
  </r>
  <r>
    <n v="1273"/>
    <d v="2026-04-23T00:00:00"/>
    <n v="2026"/>
    <x v="1"/>
    <n v="4"/>
    <x v="3"/>
    <x v="3"/>
    <x v="13"/>
    <x v="2"/>
    <s v="Business"/>
    <x v="0"/>
    <x v="0"/>
    <n v="9"/>
    <n v="49.6"/>
    <n v="0.05"/>
    <n v="23.05"/>
    <x v="0"/>
    <n v="207.45000000000002"/>
    <n v="216.63000000000002"/>
    <n v="0.51082342954159599"/>
  </r>
  <r>
    <n v="1476"/>
    <d v="2026-04-23T00:00:00"/>
    <n v="2026"/>
    <x v="1"/>
    <n v="4"/>
    <x v="3"/>
    <x v="1"/>
    <x v="12"/>
    <x v="2"/>
    <s v="Business"/>
    <x v="4"/>
    <x v="7"/>
    <n v="1"/>
    <n v="29.95"/>
    <n v="0.2"/>
    <n v="11.5"/>
    <x v="278"/>
    <n v="11.5"/>
    <n v="12.46"/>
    <n v="0.52003338898163609"/>
  </r>
  <r>
    <n v="1042"/>
    <d v="2026-04-24T00:00:00"/>
    <n v="2026"/>
    <x v="1"/>
    <n v="4"/>
    <x v="3"/>
    <x v="0"/>
    <x v="9"/>
    <x v="2"/>
    <s v="Business"/>
    <x v="0"/>
    <x v="3"/>
    <n v="15"/>
    <n v="82.06"/>
    <n v="0.2"/>
    <n v="42.94"/>
    <x v="279"/>
    <n v="644.09999999999991"/>
    <n v="340.62000000000023"/>
    <n v="0.34590543504752641"/>
  </r>
  <r>
    <n v="1106"/>
    <d v="2026-04-24T00:00:00"/>
    <n v="2026"/>
    <x v="1"/>
    <n v="4"/>
    <x v="3"/>
    <x v="1"/>
    <x v="12"/>
    <x v="0"/>
    <s v="Business"/>
    <x v="4"/>
    <x v="16"/>
    <n v="15"/>
    <n v="46.99"/>
    <n v="0.05"/>
    <n v="18.11"/>
    <x v="280"/>
    <n v="271.64999999999998"/>
    <n v="397.95749999999998"/>
    <n v="0.59431457980981395"/>
  </r>
  <r>
    <n v="1136"/>
    <d v="2026-04-24T00:00:00"/>
    <n v="2026"/>
    <x v="1"/>
    <n v="4"/>
    <x v="3"/>
    <x v="0"/>
    <x v="1"/>
    <x v="3"/>
    <s v="Returning"/>
    <x v="4"/>
    <x v="11"/>
    <n v="11"/>
    <n v="36.72"/>
    <n v="0.05"/>
    <n v="13.76"/>
    <x v="281"/>
    <n v="151.35999999999999"/>
    <n v="232.36399999999995"/>
    <n v="0.60554982226808851"/>
  </r>
  <r>
    <n v="1316"/>
    <d v="2026-04-25T00:00:00"/>
    <n v="2026"/>
    <x v="1"/>
    <n v="4"/>
    <x v="3"/>
    <x v="0"/>
    <x v="0"/>
    <x v="3"/>
    <s v="Business"/>
    <x v="3"/>
    <x v="4"/>
    <n v="9"/>
    <n v="32.99"/>
    <n v="0"/>
    <n v="12.5"/>
    <x v="282"/>
    <n v="112.5"/>
    <n v="184.41000000000003"/>
    <n v="0.6210973022127918"/>
  </r>
  <r>
    <n v="1500"/>
    <d v="2026-04-25T00:00:00"/>
    <n v="2026"/>
    <x v="1"/>
    <n v="4"/>
    <x v="3"/>
    <x v="3"/>
    <x v="6"/>
    <x v="1"/>
    <s v="New"/>
    <x v="1"/>
    <x v="14"/>
    <n v="12"/>
    <n v="143.66999999999999"/>
    <n v="0.15"/>
    <n v="81.22"/>
    <x v="283"/>
    <n v="974.64"/>
    <n v="490.79399999999998"/>
    <n v="0.33491375251290745"/>
  </r>
  <r>
    <n v="1081"/>
    <d v="2026-04-26T00:00:00"/>
    <n v="2026"/>
    <x v="1"/>
    <n v="4"/>
    <x v="3"/>
    <x v="3"/>
    <x v="7"/>
    <x v="0"/>
    <s v="New"/>
    <x v="3"/>
    <x v="4"/>
    <n v="6"/>
    <n v="32.99"/>
    <n v="0"/>
    <n v="12.5"/>
    <x v="101"/>
    <n v="75"/>
    <n v="122.94"/>
    <n v="0.6210973022127918"/>
  </r>
  <r>
    <n v="1386"/>
    <d v="2026-04-26T00:00:00"/>
    <n v="2026"/>
    <x v="1"/>
    <n v="4"/>
    <x v="3"/>
    <x v="3"/>
    <x v="6"/>
    <x v="1"/>
    <s v="Returning"/>
    <x v="2"/>
    <x v="9"/>
    <n v="13"/>
    <n v="347.51"/>
    <n v="0"/>
    <n v="190.16"/>
    <x v="284"/>
    <n v="2472.08"/>
    <n v="2045.5500000000002"/>
    <n v="0.45279272538919746"/>
  </r>
  <r>
    <n v="1491"/>
    <d v="2026-04-26T00:00:00"/>
    <n v="2026"/>
    <x v="1"/>
    <n v="4"/>
    <x v="3"/>
    <x v="3"/>
    <x v="13"/>
    <x v="3"/>
    <s v="Business"/>
    <x v="2"/>
    <x v="6"/>
    <n v="14"/>
    <n v="194.35"/>
    <n v="0.2"/>
    <n v="104.22"/>
    <x v="285"/>
    <n v="1459.08"/>
    <n v="717.64000000000033"/>
    <n v="0.32968870594288668"/>
  </r>
  <r>
    <n v="1264"/>
    <d v="2026-04-27T00:00:00"/>
    <n v="2026"/>
    <x v="1"/>
    <n v="4"/>
    <x v="3"/>
    <x v="3"/>
    <x v="7"/>
    <x v="3"/>
    <s v="Business"/>
    <x v="2"/>
    <x v="9"/>
    <n v="9"/>
    <n v="347.51"/>
    <n v="0.1"/>
    <n v="190.16"/>
    <x v="286"/>
    <n v="1711.44"/>
    <n v="1103.3910000000001"/>
    <n v="0.39199191709910824"/>
  </r>
  <r>
    <n v="1435"/>
    <d v="2026-04-27T00:00:00"/>
    <n v="2026"/>
    <x v="1"/>
    <n v="4"/>
    <x v="3"/>
    <x v="1"/>
    <x v="2"/>
    <x v="0"/>
    <s v="Business"/>
    <x v="1"/>
    <x v="1"/>
    <n v="6"/>
    <n v="153.38999999999999"/>
    <n v="0.1"/>
    <n v="78.59"/>
    <x v="68"/>
    <n v="471.54"/>
    <n v="356.76599999999991"/>
    <n v="0.43071763333840385"/>
  </r>
  <r>
    <n v="1458"/>
    <d v="2026-04-27T00:00:00"/>
    <n v="2026"/>
    <x v="1"/>
    <n v="4"/>
    <x v="3"/>
    <x v="2"/>
    <x v="10"/>
    <x v="3"/>
    <s v="Returning"/>
    <x v="1"/>
    <x v="1"/>
    <n v="15"/>
    <n v="153.38999999999999"/>
    <n v="0.1"/>
    <n v="78.59"/>
    <x v="287"/>
    <n v="1178.8500000000001"/>
    <n v="891.91499999999974"/>
    <n v="0.43071763333840385"/>
  </r>
  <r>
    <n v="1198"/>
    <d v="2026-04-28T00:00:00"/>
    <n v="2026"/>
    <x v="1"/>
    <n v="4"/>
    <x v="3"/>
    <x v="1"/>
    <x v="2"/>
    <x v="1"/>
    <s v="New"/>
    <x v="1"/>
    <x v="8"/>
    <n v="13"/>
    <n v="94.18"/>
    <n v="0"/>
    <n v="45.03"/>
    <x v="288"/>
    <n v="585.39"/>
    <n v="638.95000000000016"/>
    <n v="0.52187300913145052"/>
  </r>
  <r>
    <n v="1329"/>
    <d v="2026-04-28T00:00:00"/>
    <n v="2026"/>
    <x v="1"/>
    <n v="4"/>
    <x v="3"/>
    <x v="3"/>
    <x v="11"/>
    <x v="3"/>
    <s v="Returning"/>
    <x v="3"/>
    <x v="12"/>
    <n v="11"/>
    <n v="40.6"/>
    <n v="0"/>
    <n v="15.04"/>
    <x v="289"/>
    <n v="165.44"/>
    <n v="281.16000000000003"/>
    <n v="0.62955665024630547"/>
  </r>
  <r>
    <n v="1452"/>
    <d v="2026-04-28T00:00:00"/>
    <n v="2026"/>
    <x v="1"/>
    <n v="4"/>
    <x v="3"/>
    <x v="3"/>
    <x v="11"/>
    <x v="2"/>
    <s v="New"/>
    <x v="1"/>
    <x v="8"/>
    <n v="8"/>
    <n v="94.18"/>
    <n v="0.05"/>
    <n v="45.03"/>
    <x v="290"/>
    <n v="360.24"/>
    <n v="355.52800000000002"/>
    <n v="0.49670843066468467"/>
  </r>
  <r>
    <n v="1028"/>
    <d v="2026-04-29T00:00:00"/>
    <n v="2026"/>
    <x v="1"/>
    <n v="4"/>
    <x v="3"/>
    <x v="3"/>
    <x v="6"/>
    <x v="1"/>
    <s v="Returning"/>
    <x v="2"/>
    <x v="9"/>
    <n v="1"/>
    <n v="347.51"/>
    <n v="0.2"/>
    <n v="190.16"/>
    <x v="291"/>
    <n v="190.16"/>
    <n v="87.847999999999985"/>
    <n v="0.31599090673649677"/>
  </r>
  <r>
    <n v="1061"/>
    <d v="2026-04-29T00:00:00"/>
    <n v="2026"/>
    <x v="1"/>
    <n v="4"/>
    <x v="3"/>
    <x v="2"/>
    <x v="10"/>
    <x v="0"/>
    <s v="Returning"/>
    <x v="3"/>
    <x v="4"/>
    <n v="14"/>
    <n v="32.99"/>
    <n v="0.15"/>
    <n v="12.5"/>
    <x v="126"/>
    <n v="175"/>
    <n v="217.58100000000002"/>
    <n v="0.5542321202503433"/>
  </r>
  <r>
    <n v="1314"/>
    <d v="2026-04-29T00:00:00"/>
    <n v="2026"/>
    <x v="1"/>
    <n v="4"/>
    <x v="3"/>
    <x v="3"/>
    <x v="7"/>
    <x v="0"/>
    <s v="Returning"/>
    <x v="4"/>
    <x v="11"/>
    <n v="14"/>
    <n v="36.72"/>
    <n v="0.1"/>
    <n v="13.76"/>
    <x v="233"/>
    <n v="192.64"/>
    <n v="270.03199999999998"/>
    <n v="0.58363592350520455"/>
  </r>
  <r>
    <n v="1072"/>
    <d v="2026-05-01T00:00:00"/>
    <n v="2026"/>
    <x v="1"/>
    <n v="5"/>
    <x v="4"/>
    <x v="1"/>
    <x v="3"/>
    <x v="1"/>
    <s v="Business"/>
    <x v="3"/>
    <x v="12"/>
    <n v="6"/>
    <n v="40.6"/>
    <n v="0"/>
    <n v="15.04"/>
    <x v="292"/>
    <n v="90.24"/>
    <n v="153.36000000000001"/>
    <n v="0.62955665024630547"/>
  </r>
  <r>
    <n v="1190"/>
    <d v="2026-05-01T00:00:00"/>
    <n v="2026"/>
    <x v="1"/>
    <n v="5"/>
    <x v="4"/>
    <x v="0"/>
    <x v="9"/>
    <x v="2"/>
    <s v="Business"/>
    <x v="0"/>
    <x v="3"/>
    <n v="5"/>
    <n v="82.06"/>
    <n v="0"/>
    <n v="42.94"/>
    <x v="293"/>
    <n v="214.7"/>
    <n v="195.60000000000002"/>
    <n v="0.476724348038021"/>
  </r>
  <r>
    <n v="1195"/>
    <d v="2026-05-01T00:00:00"/>
    <n v="2026"/>
    <x v="1"/>
    <n v="5"/>
    <x v="4"/>
    <x v="1"/>
    <x v="3"/>
    <x v="1"/>
    <s v="New"/>
    <x v="2"/>
    <x v="6"/>
    <n v="5"/>
    <n v="194.35"/>
    <n v="0.2"/>
    <n v="104.22"/>
    <x v="294"/>
    <n v="521.1"/>
    <n v="256.30000000000007"/>
    <n v="0.32968870594288657"/>
  </r>
  <r>
    <n v="1025"/>
    <d v="2026-05-02T00:00:00"/>
    <n v="2026"/>
    <x v="1"/>
    <n v="5"/>
    <x v="4"/>
    <x v="0"/>
    <x v="1"/>
    <x v="3"/>
    <s v="New"/>
    <x v="0"/>
    <x v="3"/>
    <n v="11"/>
    <n v="82.06"/>
    <n v="0.1"/>
    <n v="42.94"/>
    <x v="295"/>
    <n v="472.34"/>
    <n v="340.05400000000014"/>
    <n v="0.41858260893113453"/>
  </r>
  <r>
    <n v="1062"/>
    <d v="2026-05-02T00:00:00"/>
    <n v="2026"/>
    <x v="1"/>
    <n v="5"/>
    <x v="4"/>
    <x v="0"/>
    <x v="5"/>
    <x v="0"/>
    <s v="Business"/>
    <x v="1"/>
    <x v="1"/>
    <n v="13"/>
    <n v="153.38999999999999"/>
    <n v="0.15"/>
    <n v="78.59"/>
    <x v="296"/>
    <n v="1021.6700000000001"/>
    <n v="673.28949999999963"/>
    <n v="0.39723043529948637"/>
  </r>
  <r>
    <n v="1074"/>
    <d v="2026-05-02T00:00:00"/>
    <n v="2026"/>
    <x v="1"/>
    <n v="5"/>
    <x v="4"/>
    <x v="1"/>
    <x v="3"/>
    <x v="3"/>
    <s v="Returning"/>
    <x v="1"/>
    <x v="5"/>
    <n v="12"/>
    <n v="54.75"/>
    <n v="0.05"/>
    <n v="24.3"/>
    <x v="187"/>
    <n v="291.60000000000002"/>
    <n v="332.54999999999995"/>
    <n v="0.53280461427541448"/>
  </r>
  <r>
    <n v="1084"/>
    <d v="2026-05-02T00:00:00"/>
    <n v="2026"/>
    <x v="1"/>
    <n v="5"/>
    <x v="4"/>
    <x v="0"/>
    <x v="0"/>
    <x v="0"/>
    <s v="Business"/>
    <x v="0"/>
    <x v="3"/>
    <n v="5"/>
    <n v="82.06"/>
    <n v="0"/>
    <n v="42.94"/>
    <x v="293"/>
    <n v="214.7"/>
    <n v="195.60000000000002"/>
    <n v="0.476724348038021"/>
  </r>
  <r>
    <n v="1238"/>
    <d v="2026-05-02T00:00:00"/>
    <n v="2026"/>
    <x v="1"/>
    <n v="5"/>
    <x v="4"/>
    <x v="2"/>
    <x v="8"/>
    <x v="0"/>
    <s v="Returning"/>
    <x v="0"/>
    <x v="10"/>
    <n v="3"/>
    <n v="28.5"/>
    <n v="0.15"/>
    <n v="12.8"/>
    <x v="297"/>
    <n v="38.400000000000006"/>
    <n v="34.274999999999991"/>
    <n v="0.47162022703818357"/>
  </r>
  <r>
    <n v="1322"/>
    <d v="2026-05-02T00:00:00"/>
    <n v="2026"/>
    <x v="1"/>
    <n v="5"/>
    <x v="4"/>
    <x v="1"/>
    <x v="2"/>
    <x v="1"/>
    <s v="Business"/>
    <x v="2"/>
    <x v="6"/>
    <n v="2"/>
    <n v="194.35"/>
    <n v="0.05"/>
    <n v="104.22"/>
    <x v="298"/>
    <n v="208.44"/>
    <n v="160.82499999999999"/>
    <n v="0.43552733132032551"/>
  </r>
  <r>
    <n v="1430"/>
    <d v="2026-05-02T00:00:00"/>
    <n v="2026"/>
    <x v="1"/>
    <n v="5"/>
    <x v="4"/>
    <x v="2"/>
    <x v="4"/>
    <x v="3"/>
    <s v="New"/>
    <x v="0"/>
    <x v="17"/>
    <n v="14"/>
    <n v="100.12"/>
    <n v="0.05"/>
    <n v="49.67"/>
    <x v="299"/>
    <n v="695.38"/>
    <n v="636.21600000000001"/>
    <n v="0.47778455327291464"/>
  </r>
  <r>
    <n v="1091"/>
    <d v="2026-05-03T00:00:00"/>
    <n v="2026"/>
    <x v="1"/>
    <n v="5"/>
    <x v="4"/>
    <x v="1"/>
    <x v="12"/>
    <x v="1"/>
    <s v="Returning"/>
    <x v="2"/>
    <x v="2"/>
    <n v="2"/>
    <n v="81.260000000000005"/>
    <n v="0.15"/>
    <n v="39.119999999999997"/>
    <x v="300"/>
    <n v="78.239999999999995"/>
    <n v="59.902000000000001"/>
    <n v="0.43362626862214243"/>
  </r>
  <r>
    <n v="1144"/>
    <d v="2026-05-03T00:00:00"/>
    <n v="2026"/>
    <x v="1"/>
    <n v="5"/>
    <x v="4"/>
    <x v="0"/>
    <x v="0"/>
    <x v="1"/>
    <s v="Returning"/>
    <x v="0"/>
    <x v="10"/>
    <n v="12"/>
    <n v="28.5"/>
    <n v="0.1"/>
    <n v="12.8"/>
    <x v="301"/>
    <n v="153.60000000000002"/>
    <n v="154.19999999999999"/>
    <n v="0.50097465886939563"/>
  </r>
  <r>
    <n v="1260"/>
    <d v="2026-05-03T00:00:00"/>
    <n v="2026"/>
    <x v="1"/>
    <n v="5"/>
    <x v="4"/>
    <x v="3"/>
    <x v="7"/>
    <x v="0"/>
    <s v="Business"/>
    <x v="3"/>
    <x v="18"/>
    <n v="7"/>
    <n v="35.78"/>
    <n v="0.2"/>
    <n v="13.84"/>
    <x v="302"/>
    <n v="96.88"/>
    <n v="103.48800000000003"/>
    <n v="0.51648965902738964"/>
  </r>
  <r>
    <n v="1473"/>
    <d v="2026-05-03T00:00:00"/>
    <n v="2026"/>
    <x v="1"/>
    <n v="5"/>
    <x v="4"/>
    <x v="0"/>
    <x v="1"/>
    <x v="1"/>
    <s v="Returning"/>
    <x v="0"/>
    <x v="0"/>
    <n v="12"/>
    <n v="49.6"/>
    <n v="0.2"/>
    <n v="23.05"/>
    <x v="303"/>
    <n v="276.60000000000002"/>
    <n v="199.56000000000006"/>
    <n v="0.41910282258064524"/>
  </r>
  <r>
    <n v="1243"/>
    <d v="2026-05-04T00:00:00"/>
    <n v="2026"/>
    <x v="1"/>
    <n v="5"/>
    <x v="4"/>
    <x v="3"/>
    <x v="13"/>
    <x v="3"/>
    <s v="Business"/>
    <x v="4"/>
    <x v="7"/>
    <n v="4"/>
    <n v="29.95"/>
    <n v="0.05"/>
    <n v="11.5"/>
    <x v="304"/>
    <n v="46"/>
    <n v="67.809999999999988"/>
    <n v="0.59581759072137774"/>
  </r>
  <r>
    <n v="1107"/>
    <d v="2026-05-05T00:00:00"/>
    <n v="2026"/>
    <x v="1"/>
    <n v="5"/>
    <x v="4"/>
    <x v="1"/>
    <x v="12"/>
    <x v="3"/>
    <s v="Business"/>
    <x v="3"/>
    <x v="19"/>
    <n v="12"/>
    <n v="124.97"/>
    <n v="0"/>
    <n v="67.36"/>
    <x v="274"/>
    <n v="808.31999999999994"/>
    <n v="691.31999999999994"/>
    <n v="0.46099063775306071"/>
  </r>
  <r>
    <n v="1290"/>
    <d v="2026-05-05T00:00:00"/>
    <n v="2026"/>
    <x v="1"/>
    <n v="5"/>
    <x v="4"/>
    <x v="1"/>
    <x v="12"/>
    <x v="3"/>
    <s v="Business"/>
    <x v="3"/>
    <x v="4"/>
    <n v="1"/>
    <n v="32.99"/>
    <n v="0"/>
    <n v="12.5"/>
    <x v="177"/>
    <n v="12.5"/>
    <n v="20.490000000000002"/>
    <n v="0.6210973022127918"/>
  </r>
  <r>
    <n v="1328"/>
    <d v="2026-05-06T00:00:00"/>
    <n v="2026"/>
    <x v="1"/>
    <n v="5"/>
    <x v="4"/>
    <x v="2"/>
    <x v="10"/>
    <x v="3"/>
    <s v="New"/>
    <x v="3"/>
    <x v="4"/>
    <n v="10"/>
    <n v="32.99"/>
    <n v="0"/>
    <n v="12.5"/>
    <x v="305"/>
    <n v="125"/>
    <n v="204.90000000000003"/>
    <n v="0.6210973022127918"/>
  </r>
  <r>
    <n v="1431"/>
    <d v="2026-05-06T00:00:00"/>
    <n v="2026"/>
    <x v="1"/>
    <n v="5"/>
    <x v="4"/>
    <x v="1"/>
    <x v="12"/>
    <x v="3"/>
    <s v="New"/>
    <x v="1"/>
    <x v="1"/>
    <n v="12"/>
    <n v="153.38999999999999"/>
    <n v="0.1"/>
    <n v="78.59"/>
    <x v="306"/>
    <n v="943.08"/>
    <n v="713.53199999999981"/>
    <n v="0.43071763333840385"/>
  </r>
  <r>
    <n v="1479"/>
    <d v="2026-05-06T00:00:00"/>
    <n v="2026"/>
    <x v="1"/>
    <n v="5"/>
    <x v="4"/>
    <x v="2"/>
    <x v="8"/>
    <x v="2"/>
    <s v="Business"/>
    <x v="4"/>
    <x v="7"/>
    <n v="1"/>
    <n v="29.95"/>
    <n v="0.15"/>
    <n v="11.5"/>
    <x v="307"/>
    <n v="11.5"/>
    <n v="13.9575"/>
    <n v="0.54826671904153979"/>
  </r>
  <r>
    <n v="1214"/>
    <d v="2026-05-07T00:00:00"/>
    <n v="2026"/>
    <x v="1"/>
    <n v="5"/>
    <x v="4"/>
    <x v="1"/>
    <x v="2"/>
    <x v="2"/>
    <s v="Business"/>
    <x v="3"/>
    <x v="18"/>
    <n v="8"/>
    <n v="35.78"/>
    <n v="0.15"/>
    <n v="13.84"/>
    <x v="308"/>
    <n v="110.72"/>
    <n v="132.584"/>
    <n v="0.5449314437904843"/>
  </r>
  <r>
    <n v="1276"/>
    <d v="2026-05-07T00:00:00"/>
    <n v="2026"/>
    <x v="1"/>
    <n v="5"/>
    <x v="4"/>
    <x v="1"/>
    <x v="2"/>
    <x v="0"/>
    <s v="Returning"/>
    <x v="2"/>
    <x v="6"/>
    <n v="12"/>
    <n v="194.35"/>
    <n v="0.1"/>
    <n v="104.22"/>
    <x v="156"/>
    <n v="1250.6399999999999"/>
    <n v="848.34000000000015"/>
    <n v="0.40416773861589922"/>
  </r>
  <r>
    <n v="1486"/>
    <d v="2026-05-07T00:00:00"/>
    <n v="2026"/>
    <x v="1"/>
    <n v="5"/>
    <x v="4"/>
    <x v="3"/>
    <x v="7"/>
    <x v="2"/>
    <s v="Returning"/>
    <x v="0"/>
    <x v="17"/>
    <n v="10"/>
    <n v="100.12"/>
    <n v="0"/>
    <n v="49.67"/>
    <x v="309"/>
    <n v="496.70000000000005"/>
    <n v="504.5"/>
    <n v="0.50389532560926886"/>
  </r>
  <r>
    <n v="1481"/>
    <d v="2026-05-08T00:00:00"/>
    <n v="2026"/>
    <x v="1"/>
    <n v="5"/>
    <x v="4"/>
    <x v="0"/>
    <x v="5"/>
    <x v="1"/>
    <s v="Returning"/>
    <x v="0"/>
    <x v="10"/>
    <n v="12"/>
    <n v="28.5"/>
    <n v="0.2"/>
    <n v="12.8"/>
    <x v="310"/>
    <n v="153.60000000000002"/>
    <n v="120"/>
    <n v="0.43859649122807015"/>
  </r>
  <r>
    <n v="1143"/>
    <d v="2026-05-09T00:00:00"/>
    <n v="2026"/>
    <x v="1"/>
    <n v="5"/>
    <x v="4"/>
    <x v="3"/>
    <x v="6"/>
    <x v="1"/>
    <s v="Returning"/>
    <x v="3"/>
    <x v="18"/>
    <n v="8"/>
    <n v="35.78"/>
    <n v="0.2"/>
    <n v="13.84"/>
    <x v="311"/>
    <n v="110.72"/>
    <n v="118.27200000000002"/>
    <n v="0.51648965902738964"/>
  </r>
  <r>
    <n v="1003"/>
    <d v="2026-05-10T00:00:00"/>
    <n v="2026"/>
    <x v="1"/>
    <n v="5"/>
    <x v="4"/>
    <x v="1"/>
    <x v="3"/>
    <x v="3"/>
    <s v="Returning"/>
    <x v="1"/>
    <x v="5"/>
    <n v="4"/>
    <n v="54.75"/>
    <n v="0.1"/>
    <n v="24.3"/>
    <x v="312"/>
    <n v="97.2"/>
    <n v="99.899999999999991"/>
    <n v="0.50684931506849307"/>
  </r>
  <r>
    <n v="1229"/>
    <d v="2026-05-10T00:00:00"/>
    <n v="2026"/>
    <x v="1"/>
    <n v="5"/>
    <x v="4"/>
    <x v="0"/>
    <x v="1"/>
    <x v="3"/>
    <s v="New"/>
    <x v="1"/>
    <x v="1"/>
    <n v="1"/>
    <n v="153.38999999999999"/>
    <n v="0"/>
    <n v="78.59"/>
    <x v="313"/>
    <n v="78.59"/>
    <n v="74.799999999999983"/>
    <n v="0.48764587000456344"/>
  </r>
  <r>
    <n v="1319"/>
    <d v="2026-05-11T00:00:00"/>
    <n v="2026"/>
    <x v="1"/>
    <n v="5"/>
    <x v="4"/>
    <x v="3"/>
    <x v="7"/>
    <x v="2"/>
    <s v="New"/>
    <x v="4"/>
    <x v="13"/>
    <n v="8"/>
    <n v="89.99"/>
    <n v="0.2"/>
    <n v="42.25"/>
    <x v="314"/>
    <n v="338"/>
    <n v="237.93600000000004"/>
    <n v="0.41312923658184247"/>
  </r>
  <r>
    <n v="1336"/>
    <d v="2026-05-11T00:00:00"/>
    <n v="2026"/>
    <x v="1"/>
    <n v="5"/>
    <x v="4"/>
    <x v="1"/>
    <x v="3"/>
    <x v="3"/>
    <s v="Business"/>
    <x v="0"/>
    <x v="17"/>
    <n v="13"/>
    <n v="100.12"/>
    <n v="0.15"/>
    <n v="49.67"/>
    <x v="31"/>
    <n v="645.71"/>
    <n v="460.61599999999999"/>
    <n v="0.41634744189325751"/>
  </r>
  <r>
    <n v="1024"/>
    <d v="2026-05-12T00:00:00"/>
    <n v="2026"/>
    <x v="1"/>
    <n v="5"/>
    <x v="4"/>
    <x v="3"/>
    <x v="11"/>
    <x v="0"/>
    <s v="Returning"/>
    <x v="2"/>
    <x v="15"/>
    <n v="9"/>
    <n v="41.22"/>
    <n v="0"/>
    <n v="16.64"/>
    <x v="315"/>
    <n v="149.76"/>
    <n v="221.22000000000003"/>
    <n v="0.59631246967491514"/>
  </r>
  <r>
    <n v="1193"/>
    <d v="2026-05-12T00:00:00"/>
    <n v="2026"/>
    <x v="1"/>
    <n v="5"/>
    <x v="4"/>
    <x v="3"/>
    <x v="13"/>
    <x v="3"/>
    <s v="Returning"/>
    <x v="4"/>
    <x v="13"/>
    <n v="1"/>
    <n v="89.99"/>
    <n v="0.15"/>
    <n v="42.25"/>
    <x v="316"/>
    <n v="42.25"/>
    <n v="34.241499999999988"/>
    <n v="0.44765104619467516"/>
  </r>
  <r>
    <n v="1344"/>
    <d v="2026-05-12T00:00:00"/>
    <n v="2026"/>
    <x v="1"/>
    <n v="5"/>
    <x v="4"/>
    <x v="2"/>
    <x v="4"/>
    <x v="1"/>
    <s v="Business"/>
    <x v="2"/>
    <x v="2"/>
    <n v="6"/>
    <n v="81.260000000000005"/>
    <n v="0.15"/>
    <n v="39.119999999999997"/>
    <x v="317"/>
    <n v="234.71999999999997"/>
    <n v="179.70600000000007"/>
    <n v="0.43362626862214254"/>
  </r>
  <r>
    <n v="1186"/>
    <d v="2026-05-13T00:00:00"/>
    <n v="2026"/>
    <x v="1"/>
    <n v="5"/>
    <x v="4"/>
    <x v="1"/>
    <x v="2"/>
    <x v="2"/>
    <s v="New"/>
    <x v="0"/>
    <x v="0"/>
    <n v="5"/>
    <n v="49.6"/>
    <n v="0.1"/>
    <n v="23.05"/>
    <x v="318"/>
    <n v="115.25"/>
    <n v="107.95000000000002"/>
    <n v="0.48364695340501795"/>
  </r>
  <r>
    <n v="1235"/>
    <d v="2026-05-13T00:00:00"/>
    <n v="2026"/>
    <x v="1"/>
    <n v="5"/>
    <x v="4"/>
    <x v="0"/>
    <x v="1"/>
    <x v="3"/>
    <s v="Returning"/>
    <x v="3"/>
    <x v="19"/>
    <n v="6"/>
    <n v="124.97"/>
    <n v="0.15"/>
    <n v="67.36"/>
    <x v="319"/>
    <n v="404.15999999999997"/>
    <n v="233.18700000000001"/>
    <n v="0.36587133853301268"/>
  </r>
  <r>
    <n v="1307"/>
    <d v="2026-05-14T00:00:00"/>
    <n v="2026"/>
    <x v="1"/>
    <n v="5"/>
    <x v="4"/>
    <x v="3"/>
    <x v="7"/>
    <x v="3"/>
    <s v="New"/>
    <x v="1"/>
    <x v="14"/>
    <n v="5"/>
    <n v="143.66999999999999"/>
    <n v="0.05"/>
    <n v="81.22"/>
    <x v="320"/>
    <n v="406.1"/>
    <n v="276.33249999999987"/>
    <n v="0.40492283119575917"/>
  </r>
  <r>
    <n v="1426"/>
    <d v="2026-05-14T00:00:00"/>
    <n v="2026"/>
    <x v="1"/>
    <n v="5"/>
    <x v="4"/>
    <x v="0"/>
    <x v="9"/>
    <x v="2"/>
    <s v="Returning"/>
    <x v="3"/>
    <x v="4"/>
    <n v="2"/>
    <n v="32.99"/>
    <n v="0.1"/>
    <n v="12.5"/>
    <x v="321"/>
    <n v="25"/>
    <n v="34.382000000000005"/>
    <n v="0.57899700245865759"/>
  </r>
  <r>
    <n v="1400"/>
    <d v="2026-05-15T00:00:00"/>
    <n v="2026"/>
    <x v="1"/>
    <n v="5"/>
    <x v="4"/>
    <x v="0"/>
    <x v="9"/>
    <x v="3"/>
    <s v="Business"/>
    <x v="4"/>
    <x v="16"/>
    <n v="13"/>
    <n v="46.99"/>
    <n v="0"/>
    <n v="18.11"/>
    <x v="322"/>
    <n v="235.43"/>
    <n v="375.44"/>
    <n v="0.61459885081932331"/>
  </r>
  <r>
    <n v="1402"/>
    <d v="2026-05-15T00:00:00"/>
    <n v="2026"/>
    <x v="1"/>
    <n v="5"/>
    <x v="4"/>
    <x v="2"/>
    <x v="14"/>
    <x v="3"/>
    <s v="New"/>
    <x v="4"/>
    <x v="13"/>
    <n v="10"/>
    <n v="89.99"/>
    <n v="0"/>
    <n v="42.25"/>
    <x v="323"/>
    <n v="422.5"/>
    <n v="477.4"/>
    <n v="0.53050338926547391"/>
  </r>
  <r>
    <n v="1434"/>
    <d v="2026-05-15T00:00:00"/>
    <n v="2026"/>
    <x v="1"/>
    <n v="5"/>
    <x v="4"/>
    <x v="1"/>
    <x v="12"/>
    <x v="2"/>
    <s v="Returning"/>
    <x v="1"/>
    <x v="14"/>
    <n v="14"/>
    <n v="143.66999999999999"/>
    <n v="0"/>
    <n v="81.22"/>
    <x v="22"/>
    <n v="1137.08"/>
    <n v="874.3"/>
    <n v="0.43467668963597134"/>
  </r>
  <r>
    <n v="1018"/>
    <d v="2026-05-16T00:00:00"/>
    <n v="2026"/>
    <x v="1"/>
    <n v="5"/>
    <x v="4"/>
    <x v="1"/>
    <x v="3"/>
    <x v="3"/>
    <s v="New"/>
    <x v="4"/>
    <x v="13"/>
    <n v="1"/>
    <n v="89.99"/>
    <n v="0"/>
    <n v="42.25"/>
    <x v="324"/>
    <n v="42.25"/>
    <n v="47.739999999999995"/>
    <n v="0.53050338926547391"/>
  </r>
  <r>
    <n v="1354"/>
    <d v="2026-05-16T00:00:00"/>
    <n v="2026"/>
    <x v="1"/>
    <n v="5"/>
    <x v="4"/>
    <x v="1"/>
    <x v="3"/>
    <x v="2"/>
    <s v="Business"/>
    <x v="1"/>
    <x v="5"/>
    <n v="6"/>
    <n v="54.75"/>
    <n v="0.2"/>
    <n v="24.3"/>
    <x v="41"/>
    <n v="145.80000000000001"/>
    <n v="117"/>
    <n v="0.4452054794520548"/>
  </r>
  <r>
    <n v="1020"/>
    <d v="2026-05-17T00:00:00"/>
    <n v="2026"/>
    <x v="1"/>
    <n v="5"/>
    <x v="4"/>
    <x v="3"/>
    <x v="13"/>
    <x v="0"/>
    <s v="Returning"/>
    <x v="2"/>
    <x v="15"/>
    <n v="5"/>
    <n v="41.22"/>
    <n v="0.15"/>
    <n v="16.64"/>
    <x v="325"/>
    <n v="83.2"/>
    <n v="91.984999999999999"/>
    <n v="0.52507349373519419"/>
  </r>
  <r>
    <n v="1494"/>
    <d v="2026-05-17T00:00:00"/>
    <n v="2026"/>
    <x v="1"/>
    <n v="5"/>
    <x v="4"/>
    <x v="2"/>
    <x v="10"/>
    <x v="2"/>
    <s v="Returning"/>
    <x v="0"/>
    <x v="3"/>
    <n v="1"/>
    <n v="82.06"/>
    <n v="0.1"/>
    <n v="42.94"/>
    <x v="326"/>
    <n v="42.94"/>
    <n v="30.914000000000001"/>
    <n v="0.41858260893113441"/>
  </r>
  <r>
    <n v="1016"/>
    <d v="2026-05-18T00:00:00"/>
    <n v="2026"/>
    <x v="1"/>
    <n v="5"/>
    <x v="4"/>
    <x v="2"/>
    <x v="4"/>
    <x v="0"/>
    <s v="Returning"/>
    <x v="0"/>
    <x v="17"/>
    <n v="7"/>
    <n v="100.12"/>
    <n v="0"/>
    <n v="49.67"/>
    <x v="327"/>
    <n v="347.69"/>
    <n v="353.15000000000003"/>
    <n v="0.50389532560926886"/>
  </r>
  <r>
    <n v="1049"/>
    <d v="2026-05-18T00:00:00"/>
    <n v="2026"/>
    <x v="1"/>
    <n v="5"/>
    <x v="4"/>
    <x v="2"/>
    <x v="14"/>
    <x v="3"/>
    <s v="Returning"/>
    <x v="0"/>
    <x v="17"/>
    <n v="3"/>
    <n v="100.12"/>
    <n v="0.15"/>
    <n v="49.67"/>
    <x v="328"/>
    <n v="149.01"/>
    <n v="106.29600000000002"/>
    <n v="0.41634744189325756"/>
  </r>
  <r>
    <n v="1080"/>
    <d v="2026-05-18T00:00:00"/>
    <n v="2026"/>
    <x v="1"/>
    <n v="5"/>
    <x v="4"/>
    <x v="0"/>
    <x v="0"/>
    <x v="1"/>
    <s v="New"/>
    <x v="2"/>
    <x v="6"/>
    <n v="6"/>
    <n v="194.35"/>
    <n v="0"/>
    <n v="104.22"/>
    <x v="329"/>
    <n v="625.31999999999994"/>
    <n v="540.78"/>
    <n v="0.46375096475430927"/>
  </r>
  <r>
    <n v="1269"/>
    <d v="2026-05-18T00:00:00"/>
    <n v="2026"/>
    <x v="1"/>
    <n v="5"/>
    <x v="4"/>
    <x v="0"/>
    <x v="1"/>
    <x v="3"/>
    <s v="New"/>
    <x v="1"/>
    <x v="8"/>
    <n v="13"/>
    <n v="94.18"/>
    <n v="0"/>
    <n v="45.03"/>
    <x v="288"/>
    <n v="585.39"/>
    <n v="638.95000000000016"/>
    <n v="0.52187300913145052"/>
  </r>
  <r>
    <n v="1280"/>
    <d v="2026-05-18T00:00:00"/>
    <n v="2026"/>
    <x v="1"/>
    <n v="5"/>
    <x v="4"/>
    <x v="3"/>
    <x v="6"/>
    <x v="1"/>
    <s v="Returning"/>
    <x v="4"/>
    <x v="13"/>
    <n v="11"/>
    <n v="89.99"/>
    <n v="0.15"/>
    <n v="42.25"/>
    <x v="330"/>
    <n v="464.75"/>
    <n v="376.65649999999994"/>
    <n v="0.44765104619467516"/>
  </r>
  <r>
    <n v="1317"/>
    <d v="2026-05-18T00:00:00"/>
    <n v="2026"/>
    <x v="1"/>
    <n v="5"/>
    <x v="4"/>
    <x v="1"/>
    <x v="12"/>
    <x v="1"/>
    <s v="Business"/>
    <x v="1"/>
    <x v="1"/>
    <n v="3"/>
    <n v="153.38999999999999"/>
    <n v="0.2"/>
    <n v="78.59"/>
    <x v="331"/>
    <n v="235.77"/>
    <n v="132.36599999999996"/>
    <n v="0.35955733750570434"/>
  </r>
  <r>
    <n v="1383"/>
    <d v="2026-05-18T00:00:00"/>
    <n v="2026"/>
    <x v="1"/>
    <n v="5"/>
    <x v="4"/>
    <x v="2"/>
    <x v="8"/>
    <x v="1"/>
    <s v="Returning"/>
    <x v="2"/>
    <x v="6"/>
    <n v="8"/>
    <n v="194.35"/>
    <n v="0.05"/>
    <n v="104.22"/>
    <x v="332"/>
    <n v="833.76"/>
    <n v="643.29999999999995"/>
    <n v="0.43552733132032551"/>
  </r>
  <r>
    <n v="1021"/>
    <d v="2026-05-19T00:00:00"/>
    <n v="2026"/>
    <x v="1"/>
    <n v="5"/>
    <x v="4"/>
    <x v="3"/>
    <x v="11"/>
    <x v="0"/>
    <s v="Returning"/>
    <x v="2"/>
    <x v="6"/>
    <n v="8"/>
    <n v="194.35"/>
    <n v="0.15"/>
    <n v="104.22"/>
    <x v="333"/>
    <n v="833.76"/>
    <n v="487.81999999999994"/>
    <n v="0.3691187820638932"/>
  </r>
  <r>
    <n v="1064"/>
    <d v="2026-05-19T00:00:00"/>
    <n v="2026"/>
    <x v="1"/>
    <n v="5"/>
    <x v="4"/>
    <x v="1"/>
    <x v="12"/>
    <x v="2"/>
    <s v="Business"/>
    <x v="1"/>
    <x v="14"/>
    <n v="7"/>
    <n v="143.66999999999999"/>
    <n v="0.2"/>
    <n v="81.22"/>
    <x v="334"/>
    <n v="568.54"/>
    <n v="236.01200000000006"/>
    <n v="0.29334586204496421"/>
  </r>
  <r>
    <n v="1002"/>
    <d v="2026-05-20T00:00:00"/>
    <n v="2026"/>
    <x v="1"/>
    <n v="5"/>
    <x v="4"/>
    <x v="1"/>
    <x v="3"/>
    <x v="2"/>
    <s v="Returning"/>
    <x v="2"/>
    <x v="9"/>
    <n v="1"/>
    <n v="347.51"/>
    <n v="0"/>
    <n v="190.16"/>
    <x v="335"/>
    <n v="190.16"/>
    <n v="157.35"/>
    <n v="0.4527927253891974"/>
  </r>
  <r>
    <n v="1112"/>
    <d v="2026-05-22T00:00:00"/>
    <n v="2026"/>
    <x v="1"/>
    <n v="5"/>
    <x v="4"/>
    <x v="0"/>
    <x v="0"/>
    <x v="0"/>
    <s v="Returning"/>
    <x v="4"/>
    <x v="16"/>
    <n v="12"/>
    <n v="46.99"/>
    <n v="0"/>
    <n v="18.11"/>
    <x v="29"/>
    <n v="217.32"/>
    <n v="346.56"/>
    <n v="0.61459885081932331"/>
  </r>
  <r>
    <n v="1139"/>
    <d v="2026-05-22T00:00:00"/>
    <n v="2026"/>
    <x v="1"/>
    <n v="5"/>
    <x v="4"/>
    <x v="3"/>
    <x v="13"/>
    <x v="1"/>
    <s v="New"/>
    <x v="1"/>
    <x v="1"/>
    <n v="13"/>
    <n v="153.38999999999999"/>
    <n v="0"/>
    <n v="78.59"/>
    <x v="336"/>
    <n v="1021.6700000000001"/>
    <n v="972.39999999999964"/>
    <n v="0.48764587000456344"/>
  </r>
  <r>
    <n v="1217"/>
    <d v="2026-05-22T00:00:00"/>
    <n v="2026"/>
    <x v="1"/>
    <n v="5"/>
    <x v="4"/>
    <x v="3"/>
    <x v="13"/>
    <x v="2"/>
    <s v="New"/>
    <x v="2"/>
    <x v="9"/>
    <n v="14"/>
    <n v="347.51"/>
    <n v="0"/>
    <n v="190.16"/>
    <x v="337"/>
    <n v="2662.24"/>
    <n v="2202.8999999999996"/>
    <n v="0.4527927253891974"/>
  </r>
  <r>
    <n v="1232"/>
    <d v="2026-05-22T00:00:00"/>
    <n v="2026"/>
    <x v="1"/>
    <n v="5"/>
    <x v="4"/>
    <x v="2"/>
    <x v="14"/>
    <x v="3"/>
    <s v="Business"/>
    <x v="2"/>
    <x v="2"/>
    <n v="13"/>
    <n v="81.260000000000005"/>
    <n v="0.15"/>
    <n v="39.119999999999997"/>
    <x v="106"/>
    <n v="508.55999999999995"/>
    <n v="389.36300000000017"/>
    <n v="0.43362626862214254"/>
  </r>
  <r>
    <n v="1371"/>
    <d v="2026-05-22T00:00:00"/>
    <n v="2026"/>
    <x v="1"/>
    <n v="5"/>
    <x v="4"/>
    <x v="0"/>
    <x v="1"/>
    <x v="3"/>
    <s v="New"/>
    <x v="4"/>
    <x v="16"/>
    <n v="7"/>
    <n v="46.99"/>
    <n v="0.2"/>
    <n v="18.11"/>
    <x v="338"/>
    <n v="126.77"/>
    <n v="136.37400000000002"/>
    <n v="0.51824856352415416"/>
  </r>
  <r>
    <n v="1492"/>
    <d v="2026-05-22T00:00:00"/>
    <n v="2026"/>
    <x v="1"/>
    <n v="5"/>
    <x v="4"/>
    <x v="3"/>
    <x v="13"/>
    <x v="2"/>
    <s v="Business"/>
    <x v="1"/>
    <x v="1"/>
    <n v="11"/>
    <n v="153.38999999999999"/>
    <n v="0.05"/>
    <n v="78.59"/>
    <x v="339"/>
    <n v="864.49"/>
    <n v="738.43549999999982"/>
    <n v="0.46067986316269838"/>
  </r>
  <r>
    <n v="1478"/>
    <d v="2026-05-23T00:00:00"/>
    <n v="2026"/>
    <x v="1"/>
    <n v="5"/>
    <x v="4"/>
    <x v="1"/>
    <x v="12"/>
    <x v="2"/>
    <s v="Returning"/>
    <x v="1"/>
    <x v="5"/>
    <n v="14"/>
    <n v="54.75"/>
    <n v="0.1"/>
    <n v="24.3"/>
    <x v="171"/>
    <n v="340.2"/>
    <n v="349.65000000000003"/>
    <n v="0.50684931506849318"/>
  </r>
  <r>
    <n v="1404"/>
    <d v="2026-05-24T00:00:00"/>
    <n v="2026"/>
    <x v="1"/>
    <n v="5"/>
    <x v="4"/>
    <x v="2"/>
    <x v="8"/>
    <x v="3"/>
    <s v="Returning"/>
    <x v="3"/>
    <x v="19"/>
    <n v="7"/>
    <n v="124.97"/>
    <n v="0.05"/>
    <n v="67.36"/>
    <x v="340"/>
    <n v="471.52"/>
    <n v="359.53049999999996"/>
    <n v="0.43262172395059023"/>
  </r>
  <r>
    <n v="1448"/>
    <d v="2026-05-24T00:00:00"/>
    <n v="2026"/>
    <x v="1"/>
    <n v="5"/>
    <x v="4"/>
    <x v="3"/>
    <x v="11"/>
    <x v="3"/>
    <s v="New"/>
    <x v="0"/>
    <x v="0"/>
    <n v="6"/>
    <n v="49.6"/>
    <n v="0"/>
    <n v="23.05"/>
    <x v="341"/>
    <n v="138.30000000000001"/>
    <n v="159.30000000000001"/>
    <n v="0.53528225806451613"/>
  </r>
  <r>
    <n v="1483"/>
    <d v="2026-05-24T00:00:00"/>
    <n v="2026"/>
    <x v="1"/>
    <n v="5"/>
    <x v="4"/>
    <x v="3"/>
    <x v="7"/>
    <x v="2"/>
    <s v="New"/>
    <x v="4"/>
    <x v="7"/>
    <n v="14"/>
    <n v="29.95"/>
    <n v="0"/>
    <n v="11.5"/>
    <x v="253"/>
    <n v="161"/>
    <n v="258.3"/>
    <n v="0.61602671118530883"/>
  </r>
  <r>
    <n v="1170"/>
    <d v="2026-05-25T00:00:00"/>
    <n v="2026"/>
    <x v="1"/>
    <n v="5"/>
    <x v="4"/>
    <x v="2"/>
    <x v="4"/>
    <x v="0"/>
    <s v="Business"/>
    <x v="1"/>
    <x v="5"/>
    <n v="2"/>
    <n v="54.75"/>
    <n v="0.1"/>
    <n v="24.3"/>
    <x v="342"/>
    <n v="48.6"/>
    <n v="49.949999999999996"/>
    <n v="0.50684931506849307"/>
  </r>
  <r>
    <n v="1262"/>
    <d v="2026-05-25T00:00:00"/>
    <n v="2026"/>
    <x v="1"/>
    <n v="5"/>
    <x v="4"/>
    <x v="1"/>
    <x v="12"/>
    <x v="2"/>
    <s v="Returning"/>
    <x v="3"/>
    <x v="19"/>
    <n v="10"/>
    <n v="124.97"/>
    <n v="0.15"/>
    <n v="67.36"/>
    <x v="343"/>
    <n v="673.6"/>
    <n v="388.6450000000001"/>
    <n v="0.36587133853301268"/>
  </r>
  <r>
    <n v="1293"/>
    <d v="2026-05-25T00:00:00"/>
    <n v="2026"/>
    <x v="1"/>
    <n v="5"/>
    <x v="4"/>
    <x v="3"/>
    <x v="13"/>
    <x v="1"/>
    <s v="Returning"/>
    <x v="4"/>
    <x v="11"/>
    <n v="11"/>
    <n v="36.72"/>
    <n v="0.2"/>
    <n v="13.76"/>
    <x v="344"/>
    <n v="151.35999999999999"/>
    <n v="171.77599999999998"/>
    <n v="0.53159041394335516"/>
  </r>
  <r>
    <n v="1420"/>
    <d v="2026-05-25T00:00:00"/>
    <n v="2026"/>
    <x v="1"/>
    <n v="5"/>
    <x v="4"/>
    <x v="1"/>
    <x v="12"/>
    <x v="0"/>
    <s v="Business"/>
    <x v="0"/>
    <x v="3"/>
    <n v="11"/>
    <n v="82.06"/>
    <n v="0.05"/>
    <n v="42.94"/>
    <x v="150"/>
    <n v="472.34"/>
    <n v="385.18700000000007"/>
    <n v="0.44918352425054842"/>
  </r>
  <r>
    <n v="1340"/>
    <d v="2026-05-26T00:00:00"/>
    <n v="2026"/>
    <x v="1"/>
    <n v="5"/>
    <x v="4"/>
    <x v="2"/>
    <x v="4"/>
    <x v="3"/>
    <s v="New"/>
    <x v="3"/>
    <x v="19"/>
    <n v="6"/>
    <n v="124.97"/>
    <n v="0.2"/>
    <n v="67.36"/>
    <x v="138"/>
    <n v="404.15999999999997"/>
    <n v="195.69600000000003"/>
    <n v="0.32623829719132597"/>
  </r>
  <r>
    <n v="1427"/>
    <d v="2026-05-26T00:00:00"/>
    <n v="2026"/>
    <x v="1"/>
    <n v="5"/>
    <x v="4"/>
    <x v="1"/>
    <x v="12"/>
    <x v="3"/>
    <s v="New"/>
    <x v="3"/>
    <x v="12"/>
    <n v="13"/>
    <n v="40.6"/>
    <n v="0.05"/>
    <n v="15.04"/>
    <x v="345"/>
    <n v="195.51999999999998"/>
    <n v="305.89000000000004"/>
    <n v="0.61005963183821632"/>
  </r>
  <r>
    <n v="1090"/>
    <d v="2026-05-27T00:00:00"/>
    <n v="2026"/>
    <x v="1"/>
    <n v="5"/>
    <x v="4"/>
    <x v="2"/>
    <x v="10"/>
    <x v="1"/>
    <s v="New"/>
    <x v="2"/>
    <x v="2"/>
    <n v="6"/>
    <n v="81.260000000000005"/>
    <n v="0"/>
    <n v="39.119999999999997"/>
    <x v="346"/>
    <n v="234.71999999999997"/>
    <n v="252.84000000000009"/>
    <n v="0.51858232832882123"/>
  </r>
  <r>
    <n v="1194"/>
    <d v="2026-05-27T00:00:00"/>
    <n v="2026"/>
    <x v="1"/>
    <n v="5"/>
    <x v="4"/>
    <x v="0"/>
    <x v="1"/>
    <x v="1"/>
    <s v="New"/>
    <x v="0"/>
    <x v="17"/>
    <n v="2"/>
    <n v="100.12"/>
    <n v="0.15"/>
    <n v="49.67"/>
    <x v="347"/>
    <n v="99.34"/>
    <n v="70.864000000000004"/>
    <n v="0.41634744189325751"/>
  </r>
  <r>
    <n v="1208"/>
    <d v="2026-05-27T00:00:00"/>
    <n v="2026"/>
    <x v="1"/>
    <n v="5"/>
    <x v="4"/>
    <x v="3"/>
    <x v="11"/>
    <x v="2"/>
    <s v="Returning"/>
    <x v="2"/>
    <x v="6"/>
    <n v="11"/>
    <n v="194.35"/>
    <n v="0.05"/>
    <n v="104.22"/>
    <x v="264"/>
    <n v="1146.42"/>
    <n v="884.53749999999968"/>
    <n v="0.43552733132032539"/>
  </r>
  <r>
    <n v="1341"/>
    <d v="2026-05-27T00:00:00"/>
    <n v="2026"/>
    <x v="1"/>
    <n v="5"/>
    <x v="4"/>
    <x v="2"/>
    <x v="14"/>
    <x v="3"/>
    <s v="Business"/>
    <x v="1"/>
    <x v="5"/>
    <n v="15"/>
    <n v="54.75"/>
    <n v="0"/>
    <n v="24.3"/>
    <x v="348"/>
    <n v="364.5"/>
    <n v="456.75"/>
    <n v="0.55616438356164388"/>
  </r>
  <r>
    <n v="1423"/>
    <d v="2026-05-27T00:00:00"/>
    <n v="2026"/>
    <x v="1"/>
    <n v="5"/>
    <x v="4"/>
    <x v="3"/>
    <x v="6"/>
    <x v="2"/>
    <s v="Returning"/>
    <x v="2"/>
    <x v="15"/>
    <n v="3"/>
    <n v="41.22"/>
    <n v="0"/>
    <n v="16.64"/>
    <x v="349"/>
    <n v="49.92"/>
    <n v="73.739999999999995"/>
    <n v="0.59631246967491502"/>
  </r>
  <r>
    <n v="1446"/>
    <d v="2026-05-27T00:00:00"/>
    <n v="2026"/>
    <x v="1"/>
    <n v="5"/>
    <x v="4"/>
    <x v="3"/>
    <x v="11"/>
    <x v="3"/>
    <s v="Business"/>
    <x v="1"/>
    <x v="5"/>
    <n v="15"/>
    <n v="54.75"/>
    <n v="0.2"/>
    <n v="24.3"/>
    <x v="350"/>
    <n v="364.5"/>
    <n v="292.5"/>
    <n v="0.4452054794520548"/>
  </r>
  <r>
    <n v="1051"/>
    <d v="2026-05-28T00:00:00"/>
    <n v="2026"/>
    <x v="1"/>
    <n v="5"/>
    <x v="4"/>
    <x v="3"/>
    <x v="11"/>
    <x v="2"/>
    <s v="New"/>
    <x v="0"/>
    <x v="10"/>
    <n v="1"/>
    <n v="28.5"/>
    <n v="0.15"/>
    <n v="12.8"/>
    <x v="351"/>
    <n v="12.8"/>
    <n v="11.424999999999997"/>
    <n v="0.47162022703818363"/>
  </r>
  <r>
    <n v="1274"/>
    <d v="2026-05-28T00:00:00"/>
    <n v="2026"/>
    <x v="1"/>
    <n v="5"/>
    <x v="4"/>
    <x v="2"/>
    <x v="4"/>
    <x v="2"/>
    <s v="New"/>
    <x v="1"/>
    <x v="1"/>
    <n v="15"/>
    <n v="153.38999999999999"/>
    <n v="0"/>
    <n v="78.59"/>
    <x v="352"/>
    <n v="1178.8500000000001"/>
    <n v="1121.9999999999998"/>
    <n v="0.48764587000456344"/>
  </r>
  <r>
    <n v="1368"/>
    <d v="2026-05-28T00:00:00"/>
    <n v="2026"/>
    <x v="1"/>
    <n v="5"/>
    <x v="4"/>
    <x v="1"/>
    <x v="2"/>
    <x v="2"/>
    <s v="New"/>
    <x v="2"/>
    <x v="6"/>
    <n v="1"/>
    <n v="194.35"/>
    <n v="0.1"/>
    <n v="104.22"/>
    <x v="353"/>
    <n v="104.22"/>
    <n v="70.694999999999993"/>
    <n v="0.40416773861589911"/>
  </r>
  <r>
    <n v="1397"/>
    <d v="2026-05-28T00:00:00"/>
    <n v="2026"/>
    <x v="1"/>
    <n v="5"/>
    <x v="4"/>
    <x v="0"/>
    <x v="5"/>
    <x v="3"/>
    <s v="Business"/>
    <x v="1"/>
    <x v="14"/>
    <n v="4"/>
    <n v="143.66999999999999"/>
    <n v="0.15"/>
    <n v="81.22"/>
    <x v="354"/>
    <n v="324.88"/>
    <n v="163.59799999999996"/>
    <n v="0.33491375251290739"/>
  </r>
  <r>
    <n v="1173"/>
    <d v="2026-05-29T00:00:00"/>
    <n v="2026"/>
    <x v="1"/>
    <n v="5"/>
    <x v="4"/>
    <x v="1"/>
    <x v="2"/>
    <x v="0"/>
    <s v="Business"/>
    <x v="3"/>
    <x v="19"/>
    <n v="6"/>
    <n v="124.97"/>
    <n v="0.15"/>
    <n v="67.36"/>
    <x v="319"/>
    <n v="404.15999999999997"/>
    <n v="233.18700000000001"/>
    <n v="0.36587133853301268"/>
  </r>
  <r>
    <n v="1220"/>
    <d v="2026-05-29T00:00:00"/>
    <n v="2026"/>
    <x v="1"/>
    <n v="5"/>
    <x v="4"/>
    <x v="3"/>
    <x v="13"/>
    <x v="1"/>
    <s v="Returning"/>
    <x v="3"/>
    <x v="18"/>
    <n v="14"/>
    <n v="35.78"/>
    <n v="0.15"/>
    <n v="13.84"/>
    <x v="355"/>
    <n v="193.76"/>
    <n v="232.02199999999999"/>
    <n v="0.5449314437904843"/>
  </r>
  <r>
    <n v="1013"/>
    <d v="2026-05-30T00:00:00"/>
    <n v="2026"/>
    <x v="1"/>
    <n v="5"/>
    <x v="4"/>
    <x v="0"/>
    <x v="0"/>
    <x v="0"/>
    <s v="Returning"/>
    <x v="4"/>
    <x v="16"/>
    <n v="3"/>
    <n v="46.99"/>
    <n v="0.15"/>
    <n v="18.11"/>
    <x v="356"/>
    <n v="54.33"/>
    <n v="65.494500000000002"/>
    <n v="0.5465868833168509"/>
  </r>
  <r>
    <n v="1032"/>
    <d v="2026-05-30T00:00:00"/>
    <n v="2026"/>
    <x v="1"/>
    <n v="5"/>
    <x v="4"/>
    <x v="0"/>
    <x v="1"/>
    <x v="1"/>
    <s v="Business"/>
    <x v="0"/>
    <x v="3"/>
    <n v="14"/>
    <n v="82.06"/>
    <n v="0"/>
    <n v="42.94"/>
    <x v="357"/>
    <n v="601.16"/>
    <n v="547.68000000000018"/>
    <n v="0.47672434803802105"/>
  </r>
  <r>
    <n v="1121"/>
    <d v="2026-05-30T00:00:00"/>
    <n v="2026"/>
    <x v="1"/>
    <n v="5"/>
    <x v="4"/>
    <x v="3"/>
    <x v="13"/>
    <x v="1"/>
    <s v="New"/>
    <x v="2"/>
    <x v="6"/>
    <n v="8"/>
    <n v="194.35"/>
    <n v="0.05"/>
    <n v="104.22"/>
    <x v="332"/>
    <n v="833.76"/>
    <n v="643.29999999999995"/>
    <n v="0.43552733132032551"/>
  </r>
  <r>
    <n v="1166"/>
    <d v="2026-05-31T00:00:00"/>
    <n v="2026"/>
    <x v="1"/>
    <n v="5"/>
    <x v="4"/>
    <x v="0"/>
    <x v="9"/>
    <x v="2"/>
    <s v="New"/>
    <x v="2"/>
    <x v="6"/>
    <n v="12"/>
    <n v="194.35"/>
    <n v="0.05"/>
    <n v="104.22"/>
    <x v="358"/>
    <n v="1250.6399999999999"/>
    <n v="964.94999999999982"/>
    <n v="0.43552733132032551"/>
  </r>
  <r>
    <n v="1339"/>
    <d v="2026-05-31T00:00:00"/>
    <n v="2026"/>
    <x v="1"/>
    <n v="5"/>
    <x v="4"/>
    <x v="2"/>
    <x v="10"/>
    <x v="2"/>
    <s v="Returning"/>
    <x v="1"/>
    <x v="14"/>
    <n v="13"/>
    <n v="143.66999999999999"/>
    <n v="0"/>
    <n v="81.22"/>
    <x v="359"/>
    <n v="1055.8599999999999"/>
    <n v="811.84999999999991"/>
    <n v="0.43467668963597134"/>
  </r>
  <r>
    <n v="1356"/>
    <d v="2026-05-31T00:00:00"/>
    <n v="2026"/>
    <x v="1"/>
    <n v="5"/>
    <x v="4"/>
    <x v="0"/>
    <x v="5"/>
    <x v="2"/>
    <s v="New"/>
    <x v="2"/>
    <x v="6"/>
    <n v="13"/>
    <n v="194.35"/>
    <n v="0"/>
    <n v="104.22"/>
    <x v="7"/>
    <n v="1354.86"/>
    <n v="1171.6899999999998"/>
    <n v="0.46375096475430921"/>
  </r>
  <r>
    <n v="1361"/>
    <d v="2026-05-31T00:00:00"/>
    <n v="2026"/>
    <x v="1"/>
    <n v="5"/>
    <x v="4"/>
    <x v="1"/>
    <x v="12"/>
    <x v="0"/>
    <s v="Business"/>
    <x v="4"/>
    <x v="16"/>
    <n v="1"/>
    <n v="46.99"/>
    <n v="0"/>
    <n v="18.11"/>
    <x v="360"/>
    <n v="18.11"/>
    <n v="28.880000000000003"/>
    <n v="0.61459885081932331"/>
  </r>
  <r>
    <n v="1364"/>
    <d v="2026-05-31T00:00:00"/>
    <n v="2026"/>
    <x v="1"/>
    <n v="5"/>
    <x v="4"/>
    <x v="1"/>
    <x v="2"/>
    <x v="1"/>
    <s v="New"/>
    <x v="2"/>
    <x v="15"/>
    <n v="1"/>
    <n v="41.22"/>
    <n v="0"/>
    <n v="16.64"/>
    <x v="361"/>
    <n v="16.64"/>
    <n v="24.58"/>
    <n v="0.59631246967491502"/>
  </r>
  <r>
    <n v="1388"/>
    <d v="2026-05-31T00:00:00"/>
    <n v="2026"/>
    <x v="1"/>
    <n v="5"/>
    <x v="4"/>
    <x v="2"/>
    <x v="14"/>
    <x v="0"/>
    <s v="Returning"/>
    <x v="0"/>
    <x v="3"/>
    <n v="4"/>
    <n v="82.06"/>
    <n v="0.2"/>
    <n v="42.94"/>
    <x v="362"/>
    <n v="171.76"/>
    <n v="90.83200000000005"/>
    <n v="0.34590543504752636"/>
  </r>
  <r>
    <n v="1437"/>
    <d v="2026-05-31T00:00:00"/>
    <n v="2026"/>
    <x v="1"/>
    <n v="5"/>
    <x v="4"/>
    <x v="2"/>
    <x v="4"/>
    <x v="1"/>
    <s v="New"/>
    <x v="1"/>
    <x v="1"/>
    <n v="12"/>
    <n v="153.38999999999999"/>
    <n v="0.2"/>
    <n v="78.59"/>
    <x v="363"/>
    <n v="943.08"/>
    <n v="529.46399999999983"/>
    <n v="0.35955733750570434"/>
  </r>
  <r>
    <n v="1326"/>
    <d v="2026-06-01T00:00:00"/>
    <n v="2026"/>
    <x v="1"/>
    <n v="6"/>
    <x v="5"/>
    <x v="0"/>
    <x v="0"/>
    <x v="1"/>
    <s v="Business"/>
    <x v="0"/>
    <x v="0"/>
    <n v="4"/>
    <n v="49.6"/>
    <n v="0.05"/>
    <n v="23.05"/>
    <x v="364"/>
    <n v="92.2"/>
    <n v="96.279999999999987"/>
    <n v="0.51082342954159587"/>
  </r>
  <r>
    <n v="1015"/>
    <d v="2026-06-02T00:00:00"/>
    <n v="2026"/>
    <x v="1"/>
    <n v="6"/>
    <x v="5"/>
    <x v="0"/>
    <x v="5"/>
    <x v="1"/>
    <s v="Business"/>
    <x v="3"/>
    <x v="12"/>
    <n v="11"/>
    <n v="40.6"/>
    <n v="0.2"/>
    <n v="15.04"/>
    <x v="365"/>
    <n v="165.44"/>
    <n v="191.84000000000003"/>
    <n v="0.53694581280788178"/>
  </r>
  <r>
    <n v="1146"/>
    <d v="2026-06-02T00:00:00"/>
    <n v="2026"/>
    <x v="1"/>
    <n v="6"/>
    <x v="5"/>
    <x v="2"/>
    <x v="10"/>
    <x v="1"/>
    <s v="Business"/>
    <x v="3"/>
    <x v="4"/>
    <n v="2"/>
    <n v="32.99"/>
    <n v="0.2"/>
    <n v="12.5"/>
    <x v="366"/>
    <n v="25"/>
    <n v="27.784000000000006"/>
    <n v="0.52637162776598978"/>
  </r>
  <r>
    <n v="1157"/>
    <d v="2026-06-02T00:00:00"/>
    <n v="2026"/>
    <x v="1"/>
    <n v="6"/>
    <x v="5"/>
    <x v="1"/>
    <x v="12"/>
    <x v="1"/>
    <s v="Business"/>
    <x v="1"/>
    <x v="14"/>
    <n v="13"/>
    <n v="143.66999999999999"/>
    <n v="0.15"/>
    <n v="81.22"/>
    <x v="367"/>
    <n v="1055.8599999999999"/>
    <n v="531.69349999999986"/>
    <n v="0.33491375251290739"/>
  </r>
  <r>
    <n v="1230"/>
    <d v="2026-06-02T00:00:00"/>
    <n v="2026"/>
    <x v="1"/>
    <n v="6"/>
    <x v="5"/>
    <x v="0"/>
    <x v="5"/>
    <x v="0"/>
    <s v="Returning"/>
    <x v="3"/>
    <x v="12"/>
    <n v="14"/>
    <n v="40.6"/>
    <n v="0"/>
    <n v="15.04"/>
    <x v="258"/>
    <n v="210.56"/>
    <n v="357.84"/>
    <n v="0.62955665024630536"/>
  </r>
  <r>
    <n v="1272"/>
    <d v="2026-06-02T00:00:00"/>
    <n v="2026"/>
    <x v="1"/>
    <n v="6"/>
    <x v="5"/>
    <x v="1"/>
    <x v="2"/>
    <x v="1"/>
    <s v="New"/>
    <x v="3"/>
    <x v="12"/>
    <n v="4"/>
    <n v="40.6"/>
    <n v="0.2"/>
    <n v="15.04"/>
    <x v="110"/>
    <n v="60.16"/>
    <n v="69.760000000000019"/>
    <n v="0.53694581280788189"/>
  </r>
  <r>
    <n v="1331"/>
    <d v="2026-06-02T00:00:00"/>
    <n v="2026"/>
    <x v="1"/>
    <n v="6"/>
    <x v="5"/>
    <x v="3"/>
    <x v="7"/>
    <x v="2"/>
    <s v="Business"/>
    <x v="2"/>
    <x v="15"/>
    <n v="8"/>
    <n v="41.22"/>
    <n v="0.2"/>
    <n v="16.64"/>
    <x v="368"/>
    <n v="133.12"/>
    <n v="130.68799999999999"/>
    <n v="0.49539058709364381"/>
  </r>
  <r>
    <n v="1204"/>
    <d v="2026-06-04T00:00:00"/>
    <n v="2026"/>
    <x v="1"/>
    <n v="6"/>
    <x v="5"/>
    <x v="0"/>
    <x v="1"/>
    <x v="3"/>
    <s v="Business"/>
    <x v="2"/>
    <x v="6"/>
    <n v="8"/>
    <n v="194.35"/>
    <n v="0"/>
    <n v="104.22"/>
    <x v="109"/>
    <n v="833.76"/>
    <n v="721.04"/>
    <n v="0.46375096475430921"/>
  </r>
  <r>
    <n v="1406"/>
    <d v="2026-06-04T00:00:00"/>
    <n v="2026"/>
    <x v="1"/>
    <n v="6"/>
    <x v="5"/>
    <x v="2"/>
    <x v="8"/>
    <x v="2"/>
    <s v="New"/>
    <x v="3"/>
    <x v="12"/>
    <n v="15"/>
    <n v="40.6"/>
    <n v="0.1"/>
    <n v="15.04"/>
    <x v="115"/>
    <n v="225.6"/>
    <n v="322.5"/>
    <n v="0.58839627805145045"/>
  </r>
  <r>
    <n v="1075"/>
    <d v="2026-06-05T00:00:00"/>
    <n v="2026"/>
    <x v="1"/>
    <n v="6"/>
    <x v="5"/>
    <x v="1"/>
    <x v="12"/>
    <x v="3"/>
    <s v="Business"/>
    <x v="4"/>
    <x v="11"/>
    <n v="10"/>
    <n v="36.72"/>
    <n v="0"/>
    <n v="13.76"/>
    <x v="369"/>
    <n v="137.6"/>
    <n v="229.6"/>
    <n v="0.62527233115468406"/>
  </r>
  <r>
    <n v="1191"/>
    <d v="2026-06-05T00:00:00"/>
    <n v="2026"/>
    <x v="1"/>
    <n v="6"/>
    <x v="5"/>
    <x v="0"/>
    <x v="9"/>
    <x v="1"/>
    <s v="Returning"/>
    <x v="4"/>
    <x v="16"/>
    <n v="5"/>
    <n v="46.99"/>
    <n v="0"/>
    <n v="18.11"/>
    <x v="81"/>
    <n v="90.55"/>
    <n v="144.40000000000003"/>
    <n v="0.61459885081932331"/>
  </r>
  <r>
    <n v="1464"/>
    <d v="2026-06-05T00:00:00"/>
    <n v="2026"/>
    <x v="1"/>
    <n v="6"/>
    <x v="5"/>
    <x v="3"/>
    <x v="7"/>
    <x v="1"/>
    <s v="New"/>
    <x v="0"/>
    <x v="3"/>
    <n v="5"/>
    <n v="82.06"/>
    <n v="0"/>
    <n v="42.94"/>
    <x v="293"/>
    <n v="214.7"/>
    <n v="195.60000000000002"/>
    <n v="0.476724348038021"/>
  </r>
  <r>
    <n v="1058"/>
    <d v="2026-06-06T00:00:00"/>
    <n v="2026"/>
    <x v="1"/>
    <n v="6"/>
    <x v="5"/>
    <x v="1"/>
    <x v="2"/>
    <x v="0"/>
    <s v="New"/>
    <x v="2"/>
    <x v="15"/>
    <n v="12"/>
    <n v="41.22"/>
    <n v="0.2"/>
    <n v="16.64"/>
    <x v="370"/>
    <n v="199.68"/>
    <n v="196.03199999999998"/>
    <n v="0.49539058709364381"/>
  </r>
  <r>
    <n v="1183"/>
    <d v="2026-06-06T00:00:00"/>
    <n v="2026"/>
    <x v="1"/>
    <n v="6"/>
    <x v="5"/>
    <x v="2"/>
    <x v="10"/>
    <x v="2"/>
    <s v="New"/>
    <x v="1"/>
    <x v="14"/>
    <n v="5"/>
    <n v="143.66999999999999"/>
    <n v="0.1"/>
    <n v="81.22"/>
    <x v="371"/>
    <n v="406.1"/>
    <n v="240.41499999999996"/>
    <n v="0.37186298848441252"/>
  </r>
  <r>
    <n v="1475"/>
    <d v="2026-06-06T00:00:00"/>
    <n v="2026"/>
    <x v="1"/>
    <n v="6"/>
    <x v="5"/>
    <x v="1"/>
    <x v="3"/>
    <x v="1"/>
    <s v="New"/>
    <x v="1"/>
    <x v="5"/>
    <n v="15"/>
    <n v="54.75"/>
    <n v="0.1"/>
    <n v="24.3"/>
    <x v="372"/>
    <n v="364.5"/>
    <n v="374.625"/>
    <n v="0.50684931506849318"/>
  </r>
  <r>
    <n v="1132"/>
    <d v="2026-06-08T00:00:00"/>
    <n v="2026"/>
    <x v="1"/>
    <n v="6"/>
    <x v="5"/>
    <x v="2"/>
    <x v="8"/>
    <x v="3"/>
    <s v="Business"/>
    <x v="0"/>
    <x v="10"/>
    <n v="15"/>
    <n v="28.5"/>
    <n v="0.2"/>
    <n v="12.8"/>
    <x v="162"/>
    <n v="192"/>
    <n v="150"/>
    <n v="0.43859649122807015"/>
  </r>
  <r>
    <n v="1165"/>
    <d v="2026-06-08T00:00:00"/>
    <n v="2026"/>
    <x v="1"/>
    <n v="6"/>
    <x v="5"/>
    <x v="0"/>
    <x v="5"/>
    <x v="2"/>
    <s v="New"/>
    <x v="0"/>
    <x v="10"/>
    <n v="14"/>
    <n v="28.5"/>
    <n v="0"/>
    <n v="12.8"/>
    <x v="373"/>
    <n v="179.20000000000002"/>
    <n v="219.79999999999998"/>
    <n v="0.55087719298245608"/>
  </r>
  <r>
    <n v="1499"/>
    <d v="2026-06-08T00:00:00"/>
    <n v="2026"/>
    <x v="1"/>
    <n v="6"/>
    <x v="5"/>
    <x v="0"/>
    <x v="1"/>
    <x v="2"/>
    <s v="New"/>
    <x v="4"/>
    <x v="16"/>
    <n v="13"/>
    <n v="46.99"/>
    <n v="0.2"/>
    <n v="18.11"/>
    <x v="374"/>
    <n v="235.43"/>
    <n v="253.26600000000002"/>
    <n v="0.51824856352415405"/>
  </r>
  <r>
    <n v="1036"/>
    <d v="2026-06-09T00:00:00"/>
    <n v="2026"/>
    <x v="1"/>
    <n v="6"/>
    <x v="5"/>
    <x v="1"/>
    <x v="12"/>
    <x v="2"/>
    <s v="New"/>
    <x v="3"/>
    <x v="19"/>
    <n v="9"/>
    <n v="124.97"/>
    <n v="0.05"/>
    <n v="67.36"/>
    <x v="375"/>
    <n v="606.24"/>
    <n v="462.25350000000003"/>
    <n v="0.43262172395059029"/>
  </r>
  <r>
    <n v="1461"/>
    <d v="2026-06-09T00:00:00"/>
    <n v="2026"/>
    <x v="1"/>
    <n v="6"/>
    <x v="5"/>
    <x v="1"/>
    <x v="3"/>
    <x v="1"/>
    <s v="Business"/>
    <x v="0"/>
    <x v="3"/>
    <n v="11"/>
    <n v="82.06"/>
    <n v="0"/>
    <n v="42.94"/>
    <x v="376"/>
    <n v="472.34"/>
    <n v="430.32000000000011"/>
    <n v="0.47672434803802105"/>
  </r>
  <r>
    <n v="1097"/>
    <d v="2026-06-10T00:00:00"/>
    <n v="2026"/>
    <x v="1"/>
    <n v="6"/>
    <x v="5"/>
    <x v="3"/>
    <x v="7"/>
    <x v="3"/>
    <s v="Returning"/>
    <x v="0"/>
    <x v="0"/>
    <n v="11"/>
    <n v="49.6"/>
    <n v="0"/>
    <n v="23.05"/>
    <x v="377"/>
    <n v="253.55"/>
    <n v="292.05"/>
    <n v="0.53528225806451613"/>
  </r>
  <r>
    <n v="1118"/>
    <d v="2026-06-12T00:00:00"/>
    <n v="2026"/>
    <x v="1"/>
    <n v="6"/>
    <x v="5"/>
    <x v="1"/>
    <x v="2"/>
    <x v="1"/>
    <s v="New"/>
    <x v="1"/>
    <x v="1"/>
    <n v="15"/>
    <n v="153.38999999999999"/>
    <n v="0"/>
    <n v="78.59"/>
    <x v="352"/>
    <n v="1178.8500000000001"/>
    <n v="1121.9999999999998"/>
    <n v="0.48764587000456344"/>
  </r>
  <r>
    <n v="1126"/>
    <d v="2026-06-12T00:00:00"/>
    <n v="2026"/>
    <x v="1"/>
    <n v="6"/>
    <x v="5"/>
    <x v="3"/>
    <x v="11"/>
    <x v="1"/>
    <s v="New"/>
    <x v="1"/>
    <x v="8"/>
    <n v="15"/>
    <n v="94.18"/>
    <n v="0.2"/>
    <n v="45.03"/>
    <x v="378"/>
    <n v="675.45"/>
    <n v="454.71000000000004"/>
    <n v="0.40234126141431303"/>
  </r>
  <r>
    <n v="1315"/>
    <d v="2026-06-12T00:00:00"/>
    <n v="2026"/>
    <x v="1"/>
    <n v="6"/>
    <x v="5"/>
    <x v="2"/>
    <x v="8"/>
    <x v="0"/>
    <s v="Returning"/>
    <x v="4"/>
    <x v="16"/>
    <n v="12"/>
    <n v="46.99"/>
    <n v="0.1"/>
    <n v="18.11"/>
    <x v="379"/>
    <n v="217.32"/>
    <n v="290.17200000000003"/>
    <n v="0.57177650091035925"/>
  </r>
  <r>
    <n v="1450"/>
    <d v="2026-06-12T00:00:00"/>
    <n v="2026"/>
    <x v="1"/>
    <n v="6"/>
    <x v="5"/>
    <x v="1"/>
    <x v="2"/>
    <x v="0"/>
    <s v="Business"/>
    <x v="1"/>
    <x v="8"/>
    <n v="14"/>
    <n v="94.18"/>
    <n v="0.2"/>
    <n v="45.03"/>
    <x v="380"/>
    <n v="630.42000000000007"/>
    <n v="424.39599999999996"/>
    <n v="0.40234126141431298"/>
  </r>
  <r>
    <n v="1453"/>
    <d v="2026-06-12T00:00:00"/>
    <n v="2026"/>
    <x v="1"/>
    <n v="6"/>
    <x v="5"/>
    <x v="1"/>
    <x v="12"/>
    <x v="2"/>
    <s v="New"/>
    <x v="2"/>
    <x v="6"/>
    <n v="4"/>
    <n v="194.35"/>
    <n v="0"/>
    <n v="104.22"/>
    <x v="381"/>
    <n v="416.88"/>
    <n v="360.52"/>
    <n v="0.46375096475430921"/>
  </r>
  <r>
    <n v="1001"/>
    <d v="2026-06-13T00:00:00"/>
    <n v="2026"/>
    <x v="1"/>
    <n v="6"/>
    <x v="5"/>
    <x v="1"/>
    <x v="12"/>
    <x v="1"/>
    <s v="Business"/>
    <x v="4"/>
    <x v="16"/>
    <n v="4"/>
    <n v="46.99"/>
    <n v="0"/>
    <n v="18.11"/>
    <x v="139"/>
    <n v="72.44"/>
    <n v="115.52000000000001"/>
    <n v="0.61459885081932331"/>
  </r>
  <r>
    <n v="1010"/>
    <d v="2026-06-13T00:00:00"/>
    <n v="2026"/>
    <x v="1"/>
    <n v="6"/>
    <x v="5"/>
    <x v="3"/>
    <x v="11"/>
    <x v="3"/>
    <s v="New"/>
    <x v="0"/>
    <x v="0"/>
    <n v="14"/>
    <n v="49.6"/>
    <n v="0"/>
    <n v="23.05"/>
    <x v="178"/>
    <n v="322.7"/>
    <n v="371.7"/>
    <n v="0.53528225806451613"/>
  </r>
  <r>
    <n v="1138"/>
    <d v="2026-06-13T00:00:00"/>
    <n v="2026"/>
    <x v="1"/>
    <n v="6"/>
    <x v="5"/>
    <x v="1"/>
    <x v="12"/>
    <x v="2"/>
    <s v="Returning"/>
    <x v="4"/>
    <x v="16"/>
    <n v="3"/>
    <n v="46.99"/>
    <n v="0.15"/>
    <n v="18.11"/>
    <x v="356"/>
    <n v="54.33"/>
    <n v="65.494500000000002"/>
    <n v="0.5465868833168509"/>
  </r>
  <r>
    <n v="1222"/>
    <d v="2026-06-13T00:00:00"/>
    <n v="2026"/>
    <x v="1"/>
    <n v="6"/>
    <x v="5"/>
    <x v="1"/>
    <x v="2"/>
    <x v="0"/>
    <s v="Returning"/>
    <x v="3"/>
    <x v="18"/>
    <n v="11"/>
    <n v="35.78"/>
    <n v="0.05"/>
    <n v="13.84"/>
    <x v="143"/>
    <n v="152.24"/>
    <n v="221.661"/>
    <n v="0.59283339707569649"/>
  </r>
  <r>
    <n v="1012"/>
    <d v="2026-06-14T00:00:00"/>
    <n v="2026"/>
    <x v="1"/>
    <n v="6"/>
    <x v="5"/>
    <x v="0"/>
    <x v="1"/>
    <x v="3"/>
    <s v="Business"/>
    <x v="4"/>
    <x v="16"/>
    <n v="4"/>
    <n v="46.99"/>
    <n v="0.2"/>
    <n v="18.11"/>
    <x v="382"/>
    <n v="72.44"/>
    <n v="77.928000000000026"/>
    <n v="0.51824856352415416"/>
  </r>
  <r>
    <n v="1070"/>
    <d v="2026-06-14T00:00:00"/>
    <n v="2026"/>
    <x v="1"/>
    <n v="6"/>
    <x v="5"/>
    <x v="0"/>
    <x v="1"/>
    <x v="0"/>
    <s v="New"/>
    <x v="2"/>
    <x v="15"/>
    <n v="1"/>
    <n v="41.22"/>
    <n v="0.05"/>
    <n v="16.64"/>
    <x v="26"/>
    <n v="16.64"/>
    <n v="22.518999999999998"/>
    <n v="0.57506575755254219"/>
  </r>
  <r>
    <n v="1253"/>
    <d v="2026-06-14T00:00:00"/>
    <n v="2026"/>
    <x v="1"/>
    <n v="6"/>
    <x v="5"/>
    <x v="0"/>
    <x v="1"/>
    <x v="1"/>
    <s v="New"/>
    <x v="3"/>
    <x v="4"/>
    <n v="5"/>
    <n v="32.99"/>
    <n v="0"/>
    <n v="12.5"/>
    <x v="220"/>
    <n v="62.5"/>
    <n v="102.45000000000002"/>
    <n v="0.6210973022127918"/>
  </r>
  <r>
    <n v="1480"/>
    <d v="2026-06-14T00:00:00"/>
    <n v="2026"/>
    <x v="1"/>
    <n v="6"/>
    <x v="5"/>
    <x v="0"/>
    <x v="0"/>
    <x v="0"/>
    <s v="Returning"/>
    <x v="1"/>
    <x v="8"/>
    <n v="8"/>
    <n v="94.18"/>
    <n v="0.1"/>
    <n v="45.03"/>
    <x v="383"/>
    <n v="360.24"/>
    <n v="317.85600000000011"/>
    <n v="0.46874778792383387"/>
  </r>
  <r>
    <n v="1168"/>
    <d v="2026-06-15T00:00:00"/>
    <n v="2026"/>
    <x v="1"/>
    <n v="6"/>
    <x v="5"/>
    <x v="3"/>
    <x v="13"/>
    <x v="2"/>
    <s v="Business"/>
    <x v="0"/>
    <x v="0"/>
    <n v="5"/>
    <n v="49.6"/>
    <n v="0"/>
    <n v="23.05"/>
    <x v="227"/>
    <n v="115.25"/>
    <n v="132.75"/>
    <n v="0.53528225806451613"/>
  </r>
  <r>
    <n v="1318"/>
    <d v="2026-06-15T00:00:00"/>
    <n v="2026"/>
    <x v="1"/>
    <n v="6"/>
    <x v="5"/>
    <x v="0"/>
    <x v="5"/>
    <x v="3"/>
    <s v="Returning"/>
    <x v="2"/>
    <x v="9"/>
    <n v="1"/>
    <n v="347.51"/>
    <n v="0"/>
    <n v="190.16"/>
    <x v="335"/>
    <n v="190.16"/>
    <n v="157.35"/>
    <n v="0.4527927253891974"/>
  </r>
  <r>
    <n v="1357"/>
    <d v="2026-06-15T00:00:00"/>
    <n v="2026"/>
    <x v="1"/>
    <n v="6"/>
    <x v="5"/>
    <x v="1"/>
    <x v="12"/>
    <x v="1"/>
    <s v="Business"/>
    <x v="3"/>
    <x v="18"/>
    <n v="13"/>
    <n v="35.78"/>
    <n v="0.2"/>
    <n v="13.84"/>
    <x v="384"/>
    <n v="179.92"/>
    <n v="192.19200000000004"/>
    <n v="0.51648965902738964"/>
  </r>
  <r>
    <n v="1147"/>
    <d v="2026-06-16T00:00:00"/>
    <n v="2026"/>
    <x v="1"/>
    <n v="6"/>
    <x v="5"/>
    <x v="3"/>
    <x v="7"/>
    <x v="0"/>
    <s v="New"/>
    <x v="2"/>
    <x v="15"/>
    <n v="7"/>
    <n v="41.22"/>
    <n v="0.05"/>
    <n v="16.64"/>
    <x v="385"/>
    <n v="116.48"/>
    <n v="157.63299999999992"/>
    <n v="0.57506575755254208"/>
  </r>
  <r>
    <n v="1189"/>
    <d v="2026-06-16T00:00:00"/>
    <n v="2026"/>
    <x v="1"/>
    <n v="6"/>
    <x v="5"/>
    <x v="2"/>
    <x v="8"/>
    <x v="2"/>
    <s v="Business"/>
    <x v="1"/>
    <x v="8"/>
    <n v="5"/>
    <n v="94.18"/>
    <n v="0.1"/>
    <n v="45.03"/>
    <x v="386"/>
    <n v="225.15"/>
    <n v="198.66000000000005"/>
    <n v="0.46874778792383387"/>
  </r>
  <r>
    <n v="1493"/>
    <d v="2026-06-16T00:00:00"/>
    <n v="2026"/>
    <x v="1"/>
    <n v="6"/>
    <x v="5"/>
    <x v="3"/>
    <x v="11"/>
    <x v="0"/>
    <s v="Business"/>
    <x v="0"/>
    <x v="17"/>
    <n v="9"/>
    <n v="100.12"/>
    <n v="0.1"/>
    <n v="49.67"/>
    <x v="387"/>
    <n v="447.03000000000003"/>
    <n v="363.94200000000006"/>
    <n v="0.44877258401029879"/>
  </r>
  <r>
    <n v="1038"/>
    <d v="2026-06-17T00:00:00"/>
    <n v="2026"/>
    <x v="1"/>
    <n v="6"/>
    <x v="5"/>
    <x v="1"/>
    <x v="3"/>
    <x v="1"/>
    <s v="Returning"/>
    <x v="3"/>
    <x v="18"/>
    <n v="15"/>
    <n v="35.78"/>
    <n v="0.2"/>
    <n v="13.84"/>
    <x v="388"/>
    <n v="207.6"/>
    <n v="221.76000000000008"/>
    <n v="0.51648965902738975"/>
  </r>
  <r>
    <n v="1258"/>
    <d v="2026-06-17T00:00:00"/>
    <n v="2026"/>
    <x v="1"/>
    <n v="6"/>
    <x v="5"/>
    <x v="2"/>
    <x v="8"/>
    <x v="2"/>
    <s v="New"/>
    <x v="0"/>
    <x v="3"/>
    <n v="8"/>
    <n v="82.06"/>
    <n v="0.05"/>
    <n v="42.94"/>
    <x v="389"/>
    <n v="343.52"/>
    <n v="280.13599999999997"/>
    <n v="0.44918352425054836"/>
  </r>
  <r>
    <n v="1152"/>
    <d v="2026-06-18T00:00:00"/>
    <n v="2026"/>
    <x v="1"/>
    <n v="6"/>
    <x v="5"/>
    <x v="0"/>
    <x v="1"/>
    <x v="3"/>
    <s v="Returning"/>
    <x v="0"/>
    <x v="17"/>
    <n v="14"/>
    <n v="100.12"/>
    <n v="0.15"/>
    <n v="49.67"/>
    <x v="390"/>
    <n v="695.38"/>
    <n v="496.04800000000012"/>
    <n v="0.41634744189325756"/>
  </r>
  <r>
    <n v="1155"/>
    <d v="2026-06-18T00:00:00"/>
    <n v="2026"/>
    <x v="1"/>
    <n v="6"/>
    <x v="5"/>
    <x v="0"/>
    <x v="9"/>
    <x v="2"/>
    <s v="New"/>
    <x v="1"/>
    <x v="8"/>
    <n v="2"/>
    <n v="94.18"/>
    <n v="0.2"/>
    <n v="45.03"/>
    <x v="391"/>
    <n v="90.06"/>
    <n v="60.628000000000014"/>
    <n v="0.40234126141431309"/>
  </r>
  <r>
    <n v="1490"/>
    <d v="2026-06-18T00:00:00"/>
    <n v="2026"/>
    <x v="1"/>
    <n v="6"/>
    <x v="5"/>
    <x v="2"/>
    <x v="10"/>
    <x v="3"/>
    <s v="New"/>
    <x v="2"/>
    <x v="15"/>
    <n v="5"/>
    <n v="41.22"/>
    <n v="0.1"/>
    <n v="16.64"/>
    <x v="392"/>
    <n v="83.2"/>
    <n v="102.29"/>
    <n v="0.55145829963879456"/>
  </r>
  <r>
    <n v="1380"/>
    <d v="2026-06-19T00:00:00"/>
    <n v="2026"/>
    <x v="1"/>
    <n v="6"/>
    <x v="5"/>
    <x v="3"/>
    <x v="13"/>
    <x v="0"/>
    <s v="Business"/>
    <x v="4"/>
    <x v="7"/>
    <n v="14"/>
    <n v="29.95"/>
    <n v="0.05"/>
    <n v="11.5"/>
    <x v="393"/>
    <n v="161"/>
    <n v="237.33499999999998"/>
    <n v="0.59581759072137774"/>
  </r>
  <r>
    <n v="1418"/>
    <d v="2026-06-19T00:00:00"/>
    <n v="2026"/>
    <x v="1"/>
    <n v="6"/>
    <x v="5"/>
    <x v="2"/>
    <x v="14"/>
    <x v="0"/>
    <s v="New"/>
    <x v="3"/>
    <x v="4"/>
    <n v="3"/>
    <n v="32.99"/>
    <n v="0.05"/>
    <n v="12.5"/>
    <x v="394"/>
    <n v="37.5"/>
    <n v="56.521499999999989"/>
    <n v="0.60115505496083343"/>
  </r>
  <r>
    <n v="1471"/>
    <d v="2026-06-19T00:00:00"/>
    <n v="2026"/>
    <x v="1"/>
    <n v="6"/>
    <x v="5"/>
    <x v="3"/>
    <x v="11"/>
    <x v="1"/>
    <s v="New"/>
    <x v="4"/>
    <x v="13"/>
    <n v="10"/>
    <n v="89.99"/>
    <n v="0.05"/>
    <n v="42.25"/>
    <x v="395"/>
    <n v="422.5"/>
    <n v="432.40499999999997"/>
    <n v="0.50579304133207781"/>
  </r>
  <r>
    <n v="1054"/>
    <d v="2026-06-20T00:00:00"/>
    <n v="2026"/>
    <x v="1"/>
    <n v="6"/>
    <x v="5"/>
    <x v="0"/>
    <x v="1"/>
    <x v="1"/>
    <s v="New"/>
    <x v="3"/>
    <x v="18"/>
    <n v="7"/>
    <n v="35.78"/>
    <n v="0.15"/>
    <n v="13.84"/>
    <x v="396"/>
    <n v="96.88"/>
    <n v="116.011"/>
    <n v="0.5449314437904843"/>
  </r>
  <r>
    <n v="1151"/>
    <d v="2026-06-20T00:00:00"/>
    <n v="2026"/>
    <x v="1"/>
    <n v="6"/>
    <x v="5"/>
    <x v="0"/>
    <x v="9"/>
    <x v="2"/>
    <s v="Returning"/>
    <x v="4"/>
    <x v="7"/>
    <n v="6"/>
    <n v="29.95"/>
    <n v="0"/>
    <n v="11.5"/>
    <x v="27"/>
    <n v="69"/>
    <n v="110.69999999999999"/>
    <n v="0.61602671118530883"/>
  </r>
  <r>
    <n v="1160"/>
    <d v="2026-06-20T00:00:00"/>
    <n v="2026"/>
    <x v="1"/>
    <n v="6"/>
    <x v="5"/>
    <x v="2"/>
    <x v="14"/>
    <x v="1"/>
    <s v="Returning"/>
    <x v="1"/>
    <x v="5"/>
    <n v="10"/>
    <n v="54.75"/>
    <n v="0"/>
    <n v="24.3"/>
    <x v="36"/>
    <n v="243"/>
    <n v="304.5"/>
    <n v="0.55616438356164388"/>
  </r>
  <r>
    <n v="1261"/>
    <d v="2026-06-20T00:00:00"/>
    <n v="2026"/>
    <x v="1"/>
    <n v="6"/>
    <x v="5"/>
    <x v="3"/>
    <x v="13"/>
    <x v="3"/>
    <s v="Returning"/>
    <x v="3"/>
    <x v="12"/>
    <n v="9"/>
    <n v="40.6"/>
    <n v="0.1"/>
    <n v="15.04"/>
    <x v="397"/>
    <n v="135.35999999999999"/>
    <n v="193.50000000000003"/>
    <n v="0.58839627805145056"/>
  </r>
  <r>
    <n v="1046"/>
    <d v="2026-06-21T00:00:00"/>
    <n v="2026"/>
    <x v="1"/>
    <n v="6"/>
    <x v="5"/>
    <x v="3"/>
    <x v="11"/>
    <x v="0"/>
    <s v="Returning"/>
    <x v="1"/>
    <x v="8"/>
    <n v="7"/>
    <n v="94.18"/>
    <n v="0"/>
    <n v="45.03"/>
    <x v="398"/>
    <n v="315.21000000000004"/>
    <n v="344.04999999999995"/>
    <n v="0.5218730091314504"/>
  </r>
  <r>
    <n v="1495"/>
    <d v="2026-06-21T00:00:00"/>
    <n v="2026"/>
    <x v="1"/>
    <n v="6"/>
    <x v="5"/>
    <x v="1"/>
    <x v="12"/>
    <x v="3"/>
    <s v="Returning"/>
    <x v="4"/>
    <x v="16"/>
    <n v="5"/>
    <n v="46.99"/>
    <n v="0.2"/>
    <n v="18.11"/>
    <x v="399"/>
    <n v="90.55"/>
    <n v="97.410000000000039"/>
    <n v="0.51824856352415416"/>
  </r>
  <r>
    <n v="1255"/>
    <d v="2026-06-22T00:00:00"/>
    <n v="2026"/>
    <x v="1"/>
    <n v="6"/>
    <x v="5"/>
    <x v="3"/>
    <x v="13"/>
    <x v="3"/>
    <s v="Returning"/>
    <x v="3"/>
    <x v="4"/>
    <n v="14"/>
    <n v="32.99"/>
    <n v="0.1"/>
    <n v="12.5"/>
    <x v="400"/>
    <n v="175"/>
    <n v="240.67400000000004"/>
    <n v="0.57899700245865759"/>
  </r>
  <r>
    <n v="1270"/>
    <d v="2026-06-22T00:00:00"/>
    <n v="2026"/>
    <x v="1"/>
    <n v="6"/>
    <x v="5"/>
    <x v="0"/>
    <x v="0"/>
    <x v="2"/>
    <s v="New"/>
    <x v="1"/>
    <x v="14"/>
    <n v="8"/>
    <n v="143.66999999999999"/>
    <n v="0.05"/>
    <n v="81.22"/>
    <x v="401"/>
    <n v="649.76"/>
    <n v="442.13199999999983"/>
    <n v="0.40492283119575923"/>
  </r>
  <r>
    <n v="1488"/>
    <d v="2026-06-22T00:00:00"/>
    <n v="2026"/>
    <x v="1"/>
    <n v="6"/>
    <x v="5"/>
    <x v="1"/>
    <x v="2"/>
    <x v="1"/>
    <s v="Business"/>
    <x v="2"/>
    <x v="15"/>
    <n v="8"/>
    <n v="41.22"/>
    <n v="0"/>
    <n v="16.64"/>
    <x v="230"/>
    <n v="133.12"/>
    <n v="196.64"/>
    <n v="0.59631246967491502"/>
  </r>
  <r>
    <n v="1497"/>
    <d v="2026-06-22T00:00:00"/>
    <n v="2026"/>
    <x v="1"/>
    <n v="6"/>
    <x v="5"/>
    <x v="3"/>
    <x v="7"/>
    <x v="1"/>
    <s v="New"/>
    <x v="1"/>
    <x v="1"/>
    <n v="12"/>
    <n v="153.38999999999999"/>
    <n v="0.2"/>
    <n v="78.59"/>
    <x v="363"/>
    <n v="943.08"/>
    <n v="529.46399999999983"/>
    <n v="0.35955733750570434"/>
  </r>
  <r>
    <n v="1076"/>
    <d v="2026-06-23T00:00:00"/>
    <n v="2026"/>
    <x v="1"/>
    <n v="6"/>
    <x v="5"/>
    <x v="0"/>
    <x v="0"/>
    <x v="2"/>
    <s v="Returning"/>
    <x v="1"/>
    <x v="8"/>
    <n v="10"/>
    <n v="94.18"/>
    <n v="0.2"/>
    <n v="45.03"/>
    <x v="11"/>
    <n v="450.3"/>
    <n v="303.14000000000004"/>
    <n v="0.40234126141431303"/>
  </r>
  <r>
    <n v="1130"/>
    <d v="2026-06-23T00:00:00"/>
    <n v="2026"/>
    <x v="1"/>
    <n v="6"/>
    <x v="5"/>
    <x v="0"/>
    <x v="5"/>
    <x v="1"/>
    <s v="New"/>
    <x v="0"/>
    <x v="10"/>
    <n v="1"/>
    <n v="28.5"/>
    <n v="0.05"/>
    <n v="12.8"/>
    <x v="402"/>
    <n v="12.8"/>
    <n v="14.274999999999999"/>
    <n v="0.52723915050784853"/>
  </r>
  <r>
    <n v="1184"/>
    <d v="2026-06-23T00:00:00"/>
    <n v="2026"/>
    <x v="1"/>
    <n v="6"/>
    <x v="5"/>
    <x v="0"/>
    <x v="0"/>
    <x v="0"/>
    <s v="Returning"/>
    <x v="4"/>
    <x v="13"/>
    <n v="9"/>
    <n v="89.99"/>
    <n v="0.15"/>
    <n v="42.25"/>
    <x v="403"/>
    <n v="380.25"/>
    <n v="308.17349999999999"/>
    <n v="0.44765104619467522"/>
  </r>
  <r>
    <n v="1456"/>
    <d v="2026-06-23T00:00:00"/>
    <n v="2026"/>
    <x v="1"/>
    <n v="6"/>
    <x v="5"/>
    <x v="1"/>
    <x v="3"/>
    <x v="3"/>
    <s v="Returning"/>
    <x v="1"/>
    <x v="14"/>
    <n v="12"/>
    <n v="143.66999999999999"/>
    <n v="0.05"/>
    <n v="81.22"/>
    <x v="404"/>
    <n v="974.64"/>
    <n v="663.19799999999998"/>
    <n v="0.40492283119575928"/>
  </r>
  <r>
    <n v="1470"/>
    <d v="2026-06-23T00:00:00"/>
    <n v="2026"/>
    <x v="1"/>
    <n v="6"/>
    <x v="5"/>
    <x v="2"/>
    <x v="10"/>
    <x v="1"/>
    <s v="Returning"/>
    <x v="0"/>
    <x v="3"/>
    <n v="14"/>
    <n v="82.06"/>
    <n v="0"/>
    <n v="42.94"/>
    <x v="357"/>
    <n v="601.16"/>
    <n v="547.68000000000018"/>
    <n v="0.47672434803802105"/>
  </r>
  <r>
    <n v="1009"/>
    <d v="2026-06-24T00:00:00"/>
    <n v="2026"/>
    <x v="1"/>
    <n v="6"/>
    <x v="5"/>
    <x v="1"/>
    <x v="3"/>
    <x v="0"/>
    <s v="New"/>
    <x v="1"/>
    <x v="14"/>
    <n v="3"/>
    <n v="143.66999999999999"/>
    <n v="0.1"/>
    <n v="81.22"/>
    <x v="405"/>
    <n v="243.66"/>
    <n v="144.249"/>
    <n v="0.37186298848441257"/>
  </r>
  <r>
    <n v="1120"/>
    <d v="2026-06-24T00:00:00"/>
    <n v="2026"/>
    <x v="1"/>
    <n v="6"/>
    <x v="5"/>
    <x v="3"/>
    <x v="13"/>
    <x v="2"/>
    <s v="New"/>
    <x v="1"/>
    <x v="8"/>
    <n v="10"/>
    <n v="94.18"/>
    <n v="0.1"/>
    <n v="45.03"/>
    <x v="406"/>
    <n v="450.3"/>
    <n v="397.32000000000011"/>
    <n v="0.46874778792383387"/>
  </r>
  <r>
    <n v="1233"/>
    <d v="2026-06-24T00:00:00"/>
    <n v="2026"/>
    <x v="1"/>
    <n v="6"/>
    <x v="5"/>
    <x v="1"/>
    <x v="12"/>
    <x v="3"/>
    <s v="Returning"/>
    <x v="0"/>
    <x v="10"/>
    <n v="6"/>
    <n v="28.5"/>
    <n v="0.05"/>
    <n v="12.8"/>
    <x v="407"/>
    <n v="76.800000000000011"/>
    <n v="85.649999999999977"/>
    <n v="0.52723915050784842"/>
  </r>
  <r>
    <n v="1239"/>
    <d v="2026-06-24T00:00:00"/>
    <n v="2026"/>
    <x v="1"/>
    <n v="6"/>
    <x v="5"/>
    <x v="3"/>
    <x v="6"/>
    <x v="0"/>
    <s v="New"/>
    <x v="3"/>
    <x v="12"/>
    <n v="4"/>
    <n v="40.6"/>
    <n v="0"/>
    <n v="15.04"/>
    <x v="408"/>
    <n v="60.16"/>
    <n v="102.24000000000001"/>
    <n v="0.62955665024630547"/>
  </r>
  <r>
    <n v="1149"/>
    <d v="2026-06-25T00:00:00"/>
    <n v="2026"/>
    <x v="1"/>
    <n v="6"/>
    <x v="5"/>
    <x v="0"/>
    <x v="9"/>
    <x v="1"/>
    <s v="Business"/>
    <x v="0"/>
    <x v="3"/>
    <n v="2"/>
    <n v="82.06"/>
    <n v="0.1"/>
    <n v="42.94"/>
    <x v="409"/>
    <n v="85.88"/>
    <n v="61.828000000000003"/>
    <n v="0.41858260893113441"/>
  </r>
  <r>
    <n v="1223"/>
    <d v="2026-06-25T00:00:00"/>
    <n v="2026"/>
    <x v="1"/>
    <n v="6"/>
    <x v="5"/>
    <x v="0"/>
    <x v="5"/>
    <x v="2"/>
    <s v="New"/>
    <x v="2"/>
    <x v="9"/>
    <n v="12"/>
    <n v="347.51"/>
    <n v="0"/>
    <n v="190.16"/>
    <x v="410"/>
    <n v="2281.92"/>
    <n v="1888.1999999999998"/>
    <n v="0.4527927253891974"/>
  </r>
  <r>
    <n v="1259"/>
    <d v="2026-06-25T00:00:00"/>
    <n v="2026"/>
    <x v="1"/>
    <n v="6"/>
    <x v="5"/>
    <x v="2"/>
    <x v="14"/>
    <x v="2"/>
    <s v="Returning"/>
    <x v="4"/>
    <x v="7"/>
    <n v="10"/>
    <n v="29.95"/>
    <n v="0"/>
    <n v="11.5"/>
    <x v="411"/>
    <n v="115"/>
    <n v="184.5"/>
    <n v="0.61602671118530883"/>
  </r>
  <r>
    <n v="1334"/>
    <d v="2026-06-25T00:00:00"/>
    <n v="2026"/>
    <x v="1"/>
    <n v="6"/>
    <x v="5"/>
    <x v="0"/>
    <x v="0"/>
    <x v="1"/>
    <s v="Returning"/>
    <x v="2"/>
    <x v="2"/>
    <n v="3"/>
    <n v="81.260000000000005"/>
    <n v="0"/>
    <n v="39.119999999999997"/>
    <x v="412"/>
    <n v="117.35999999999999"/>
    <n v="126.42000000000004"/>
    <n v="0.51858232832882123"/>
  </r>
  <r>
    <n v="1116"/>
    <d v="2026-06-27T00:00:00"/>
    <n v="2026"/>
    <x v="1"/>
    <n v="6"/>
    <x v="5"/>
    <x v="0"/>
    <x v="9"/>
    <x v="0"/>
    <s v="Business"/>
    <x v="4"/>
    <x v="13"/>
    <n v="6"/>
    <n v="89.99"/>
    <n v="0.2"/>
    <n v="42.25"/>
    <x v="413"/>
    <n v="253.5"/>
    <n v="178.452"/>
    <n v="0.41312923658184242"/>
  </r>
  <r>
    <n v="1352"/>
    <d v="2026-06-27T00:00:00"/>
    <n v="2026"/>
    <x v="1"/>
    <n v="6"/>
    <x v="5"/>
    <x v="3"/>
    <x v="7"/>
    <x v="1"/>
    <s v="Returning"/>
    <x v="0"/>
    <x v="0"/>
    <n v="7"/>
    <n v="49.6"/>
    <n v="0"/>
    <n v="23.05"/>
    <x v="414"/>
    <n v="161.35"/>
    <n v="185.85"/>
    <n v="0.53528225806451613"/>
  </r>
  <r>
    <n v="1060"/>
    <d v="2026-06-28T00:00:00"/>
    <n v="2026"/>
    <x v="1"/>
    <n v="6"/>
    <x v="5"/>
    <x v="0"/>
    <x v="9"/>
    <x v="0"/>
    <s v="Returning"/>
    <x v="3"/>
    <x v="19"/>
    <n v="15"/>
    <n v="124.97"/>
    <n v="0"/>
    <n v="67.36"/>
    <x v="415"/>
    <n v="1010.4"/>
    <n v="864.15"/>
    <n v="0.46099063775306076"/>
  </r>
  <r>
    <n v="1077"/>
    <d v="2026-06-28T00:00:00"/>
    <n v="2026"/>
    <x v="1"/>
    <n v="6"/>
    <x v="5"/>
    <x v="2"/>
    <x v="14"/>
    <x v="0"/>
    <s v="Business"/>
    <x v="3"/>
    <x v="12"/>
    <n v="6"/>
    <n v="40.6"/>
    <n v="0.15"/>
    <n v="15.04"/>
    <x v="416"/>
    <n v="90.24"/>
    <n v="116.82000000000001"/>
    <n v="0.56418429440741813"/>
  </r>
  <r>
    <n v="1178"/>
    <d v="2026-06-28T00:00:00"/>
    <n v="2026"/>
    <x v="1"/>
    <n v="6"/>
    <x v="5"/>
    <x v="0"/>
    <x v="1"/>
    <x v="0"/>
    <s v="Business"/>
    <x v="3"/>
    <x v="12"/>
    <n v="5"/>
    <n v="40.6"/>
    <n v="0.15"/>
    <n v="15.04"/>
    <x v="417"/>
    <n v="75.199999999999989"/>
    <n v="97.35"/>
    <n v="0.56418429440741813"/>
  </r>
  <r>
    <n v="1247"/>
    <d v="2026-06-28T00:00:00"/>
    <n v="2026"/>
    <x v="1"/>
    <n v="6"/>
    <x v="5"/>
    <x v="2"/>
    <x v="8"/>
    <x v="2"/>
    <s v="Business"/>
    <x v="0"/>
    <x v="0"/>
    <n v="4"/>
    <n v="49.6"/>
    <n v="0"/>
    <n v="23.05"/>
    <x v="418"/>
    <n v="92.2"/>
    <n v="106.2"/>
    <n v="0.53528225806451613"/>
  </r>
  <r>
    <n v="1398"/>
    <d v="2026-06-28T00:00:00"/>
    <n v="2026"/>
    <x v="1"/>
    <n v="6"/>
    <x v="5"/>
    <x v="2"/>
    <x v="14"/>
    <x v="0"/>
    <s v="Business"/>
    <x v="4"/>
    <x v="16"/>
    <n v="10"/>
    <n v="46.99"/>
    <n v="0"/>
    <n v="18.11"/>
    <x v="419"/>
    <n v="181.1"/>
    <n v="288.80000000000007"/>
    <n v="0.61459885081932331"/>
  </r>
  <r>
    <n v="1086"/>
    <d v="2026-06-29T00:00:00"/>
    <n v="2026"/>
    <x v="1"/>
    <n v="6"/>
    <x v="5"/>
    <x v="0"/>
    <x v="5"/>
    <x v="2"/>
    <s v="New"/>
    <x v="4"/>
    <x v="7"/>
    <n v="4"/>
    <n v="29.95"/>
    <n v="0"/>
    <n v="11.5"/>
    <x v="420"/>
    <n v="46"/>
    <n v="73.8"/>
    <n v="0.61602671118530883"/>
  </r>
  <r>
    <n v="1213"/>
    <d v="2026-06-29T00:00:00"/>
    <n v="2026"/>
    <x v="1"/>
    <n v="6"/>
    <x v="5"/>
    <x v="3"/>
    <x v="11"/>
    <x v="2"/>
    <s v="Returning"/>
    <x v="3"/>
    <x v="19"/>
    <n v="2"/>
    <n v="124.97"/>
    <n v="0"/>
    <n v="67.36"/>
    <x v="421"/>
    <n v="134.72"/>
    <n v="115.22"/>
    <n v="0.46099063775306076"/>
  </r>
  <r>
    <n v="1350"/>
    <d v="2026-06-29T00:00:00"/>
    <n v="2026"/>
    <x v="1"/>
    <n v="6"/>
    <x v="5"/>
    <x v="3"/>
    <x v="7"/>
    <x v="0"/>
    <s v="Returning"/>
    <x v="0"/>
    <x v="3"/>
    <n v="1"/>
    <n v="82.06"/>
    <n v="0"/>
    <n v="42.94"/>
    <x v="206"/>
    <n v="42.94"/>
    <n v="39.120000000000005"/>
    <n v="0.47672434803802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640AAC-4D05-4D71-9883-5F2307C96D25}"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location ref="F8:G14" firstHeaderRow="1" firstDataRow="1" firstDataCol="1"/>
  <pivotFields count="20">
    <pivotField showAll="0"/>
    <pivotField numFmtId="14" showAll="0"/>
    <pivotField showAll="0"/>
    <pivotField showAll="0">
      <items count="3">
        <item x="0"/>
        <item x="1"/>
        <item t="default"/>
      </items>
    </pivotField>
    <pivotField showAll="0"/>
    <pivotField showAll="0">
      <items count="7">
        <item x="0"/>
        <item x="1"/>
        <item x="2"/>
        <item x="3"/>
        <item x="4"/>
        <item x="5"/>
        <item t="default"/>
      </items>
    </pivotField>
    <pivotField showAll="0"/>
    <pivotField axis="axisRow" showAll="0" measureFilter="1">
      <items count="16">
        <item x="1"/>
        <item x="14"/>
        <item x="9"/>
        <item x="11"/>
        <item x="7"/>
        <item x="10"/>
        <item x="0"/>
        <item x="13"/>
        <item x="3"/>
        <item x="8"/>
        <item x="2"/>
        <item x="12"/>
        <item x="6"/>
        <item x="5"/>
        <item x="4"/>
        <item t="default"/>
      </items>
    </pivotField>
    <pivotField showAll="0"/>
    <pivotField showAll="0"/>
    <pivotField showAll="0">
      <items count="6">
        <item x="2"/>
        <item x="0"/>
        <item x="3"/>
        <item x="1"/>
        <item x="4"/>
        <item t="default"/>
      </items>
    </pivotField>
    <pivotField showAll="0"/>
    <pivotField showAll="0"/>
    <pivotField numFmtId="164" showAll="0"/>
    <pivotField numFmtId="9" showAll="0"/>
    <pivotField numFmtId="164" showAll="0"/>
    <pivotField dataField="1" numFmtId="164" showAll="0">
      <items count="423">
        <item x="278"/>
        <item x="351"/>
        <item x="307"/>
        <item x="257"/>
        <item x="402"/>
        <item x="64"/>
        <item x="128"/>
        <item x="248"/>
        <item x="177"/>
        <item x="26"/>
        <item x="361"/>
        <item x="231"/>
        <item x="251"/>
        <item x="360"/>
        <item x="28"/>
        <item x="47"/>
        <item x="366"/>
        <item x="104"/>
        <item x="228"/>
        <item x="321"/>
        <item x="163"/>
        <item x="89"/>
        <item x="197"/>
        <item x="297"/>
        <item x="326"/>
        <item x="316"/>
        <item x="247"/>
        <item x="206"/>
        <item x="191"/>
        <item x="72"/>
        <item x="9"/>
        <item x="87"/>
        <item x="169"/>
        <item x="276"/>
        <item x="324"/>
        <item x="59"/>
        <item x="76"/>
        <item x="394"/>
        <item x="342"/>
        <item x="21"/>
        <item x="151"/>
        <item x="63"/>
        <item x="66"/>
        <item x="226"/>
        <item x="304"/>
        <item x="179"/>
        <item x="420"/>
        <item x="43"/>
        <item x="356"/>
        <item x="52"/>
        <item x="349"/>
        <item x="245"/>
        <item x="110"/>
        <item x="95"/>
        <item x="272"/>
        <item x="199"/>
        <item x="174"/>
        <item x="129"/>
        <item x="300"/>
        <item x="120"/>
        <item x="160"/>
        <item x="23"/>
        <item x="275"/>
        <item x="409"/>
        <item x="382"/>
        <item x="391"/>
        <item x="243"/>
        <item x="313"/>
        <item x="408"/>
        <item x="407"/>
        <item x="220"/>
        <item x="202"/>
        <item x="347"/>
        <item x="127"/>
        <item x="135"/>
        <item x="417"/>
        <item x="353"/>
        <item x="325"/>
        <item x="108"/>
        <item x="27"/>
        <item x="49"/>
        <item x="216"/>
        <item x="392"/>
        <item x="139"/>
        <item x="399"/>
        <item x="364"/>
        <item x="93"/>
        <item x="137"/>
        <item x="312"/>
        <item x="101"/>
        <item x="418"/>
        <item x="229"/>
        <item x="302"/>
        <item x="16"/>
        <item x="416"/>
        <item x="396"/>
        <item x="267"/>
        <item x="78"/>
        <item x="42"/>
        <item x="2"/>
        <item x="260"/>
        <item x="318"/>
        <item x="311"/>
        <item x="173"/>
        <item x="254"/>
        <item x="81"/>
        <item x="155"/>
        <item x="48"/>
        <item x="269"/>
        <item x="308"/>
        <item x="292"/>
        <item x="412"/>
        <item x="227"/>
        <item x="421"/>
        <item x="328"/>
        <item x="62"/>
        <item x="189"/>
        <item x="362"/>
        <item x="41"/>
        <item x="338"/>
        <item x="368"/>
        <item x="124"/>
        <item x="136"/>
        <item x="38"/>
        <item x="14"/>
        <item x="310"/>
        <item x="385"/>
        <item x="250"/>
        <item x="291"/>
        <item x="215"/>
        <item x="217"/>
        <item x="159"/>
        <item x="25"/>
        <item x="282"/>
        <item x="341"/>
        <item x="411"/>
        <item x="46"/>
        <item x="92"/>
        <item x="134"/>
        <item x="301"/>
        <item x="200"/>
        <item x="244"/>
        <item x="168"/>
        <item x="183"/>
        <item x="123"/>
        <item x="273"/>
        <item x="45"/>
        <item x="344"/>
        <item x="186"/>
        <item x="69"/>
        <item x="256"/>
        <item x="397"/>
        <item x="271"/>
        <item x="230"/>
        <item x="305"/>
        <item x="249"/>
        <item x="162"/>
        <item x="103"/>
        <item x="18"/>
        <item x="414"/>
        <item x="335"/>
        <item x="91"/>
        <item x="40"/>
        <item x="240"/>
        <item x="365"/>
        <item x="57"/>
        <item x="235"/>
        <item x="369"/>
        <item x="331"/>
        <item x="298"/>
        <item x="259"/>
        <item x="315"/>
        <item x="384"/>
        <item x="6"/>
        <item x="143"/>
        <item x="236"/>
        <item x="70"/>
        <item x="238"/>
        <item x="140"/>
        <item x="164"/>
        <item x="157"/>
        <item x="182"/>
        <item x="281"/>
        <item x="172"/>
        <item x="405"/>
        <item x="241"/>
        <item x="126"/>
        <item x="56"/>
        <item x="370"/>
        <item x="125"/>
        <item x="393"/>
        <item x="373"/>
        <item x="237"/>
        <item x="80"/>
        <item x="234"/>
        <item x="148"/>
        <item x="105"/>
        <item x="5"/>
        <item x="293"/>
        <item x="242"/>
        <item x="54"/>
        <item x="195"/>
        <item x="317"/>
        <item x="400"/>
        <item x="74"/>
        <item x="8"/>
        <item x="253"/>
        <item x="17"/>
        <item x="44"/>
        <item x="67"/>
        <item x="386"/>
        <item x="0"/>
        <item x="355"/>
        <item x="252"/>
        <item x="223"/>
        <item x="388"/>
        <item x="211"/>
        <item x="149"/>
        <item x="413"/>
        <item x="1"/>
        <item x="188"/>
        <item x="114"/>
        <item x="289"/>
        <item x="153"/>
        <item x="144"/>
        <item x="263"/>
        <item x="131"/>
        <item x="262"/>
        <item x="111"/>
        <item x="34"/>
        <item x="233"/>
        <item x="212"/>
        <item x="35"/>
        <item x="419"/>
        <item x="303"/>
        <item x="142"/>
        <item x="346"/>
        <item x="354"/>
        <item x="374"/>
        <item x="167"/>
        <item x="15"/>
        <item x="345"/>
        <item x="379"/>
        <item x="224"/>
        <item x="61"/>
        <item x="53"/>
        <item x="194"/>
        <item x="50"/>
        <item x="219"/>
        <item x="10"/>
        <item x="175"/>
        <item x="88"/>
        <item x="377"/>
        <item x="201"/>
        <item x="36"/>
        <item x="115"/>
        <item x="85"/>
        <item x="141"/>
        <item x="218"/>
        <item x="266"/>
        <item x="29"/>
        <item x="20"/>
        <item x="258"/>
        <item x="24"/>
        <item x="314"/>
        <item x="4"/>
        <item x="277"/>
        <item x="176"/>
        <item x="75"/>
        <item x="138"/>
        <item x="158"/>
        <item x="322"/>
        <item x="268"/>
        <item x="222"/>
        <item x="389"/>
        <item x="187"/>
        <item x="319"/>
        <item x="371"/>
        <item x="350"/>
        <item x="60"/>
        <item x="398"/>
        <item x="280"/>
        <item x="210"/>
        <item x="383"/>
        <item x="320"/>
        <item x="130"/>
        <item x="403"/>
        <item x="171"/>
        <item x="178"/>
        <item x="37"/>
        <item x="39"/>
        <item x="327"/>
        <item x="119"/>
        <item x="208"/>
        <item x="170"/>
        <item x="290"/>
        <item x="146"/>
        <item x="55"/>
        <item x="372"/>
        <item x="11"/>
        <item x="99"/>
        <item x="73"/>
        <item x="133"/>
        <item x="117"/>
        <item x="381"/>
        <item x="294"/>
        <item x="204"/>
        <item x="184"/>
        <item x="334"/>
        <item x="82"/>
        <item x="387"/>
        <item x="295"/>
        <item x="348"/>
        <item x="68"/>
        <item x="51"/>
        <item x="340"/>
        <item x="330"/>
        <item x="406"/>
        <item x="214"/>
        <item x="113"/>
        <item x="395"/>
        <item x="150"/>
        <item x="154"/>
        <item x="79"/>
        <item x="106"/>
        <item x="323"/>
        <item x="376"/>
        <item x="185"/>
        <item x="84"/>
        <item x="32"/>
        <item x="255"/>
        <item x="3"/>
        <item x="279"/>
        <item x="107"/>
        <item x="309"/>
        <item x="97"/>
        <item x="196"/>
        <item x="380"/>
        <item x="343"/>
        <item x="375"/>
        <item x="112"/>
        <item x="166"/>
        <item x="401"/>
        <item x="198"/>
        <item x="65"/>
        <item x="31"/>
        <item x="225"/>
        <item x="378"/>
        <item x="357"/>
        <item x="180"/>
        <item x="329"/>
        <item x="90"/>
        <item x="94"/>
        <item x="221"/>
        <item x="209"/>
        <item x="30"/>
        <item x="390"/>
        <item x="100"/>
        <item x="288"/>
        <item x="213"/>
        <item x="98"/>
        <item x="207"/>
        <item x="270"/>
        <item x="239"/>
        <item x="116"/>
        <item x="71"/>
        <item x="333"/>
        <item x="299"/>
        <item x="232"/>
        <item x="19"/>
        <item x="13"/>
        <item x="132"/>
        <item x="145"/>
        <item x="102"/>
        <item x="86"/>
        <item x="283"/>
        <item x="363"/>
        <item x="332"/>
        <item x="274"/>
        <item x="265"/>
        <item x="109"/>
        <item x="122"/>
        <item x="147"/>
        <item x="367"/>
        <item x="339"/>
        <item x="58"/>
        <item x="404"/>
        <item x="306"/>
        <item x="296"/>
        <item x="161"/>
        <item x="118"/>
        <item x="205"/>
        <item x="165"/>
        <item x="190"/>
        <item x="359"/>
        <item x="415"/>
        <item x="193"/>
        <item x="121"/>
        <item x="336"/>
        <item x="22"/>
        <item x="264"/>
        <item x="181"/>
        <item x="287"/>
        <item x="156"/>
        <item x="203"/>
        <item x="83"/>
        <item x="285"/>
        <item x="358"/>
        <item x="352"/>
        <item x="152"/>
        <item x="96"/>
        <item x="7"/>
        <item x="261"/>
        <item x="286"/>
        <item x="77"/>
        <item x="246"/>
        <item x="192"/>
        <item x="33"/>
        <item x="12"/>
        <item x="410"/>
        <item x="284"/>
        <item x="337"/>
        <item t="default"/>
      </items>
    </pivotField>
    <pivotField numFmtId="164" showAll="0"/>
    <pivotField numFmtId="164" showAll="0"/>
    <pivotField numFmtId="165" showAll="0"/>
  </pivotFields>
  <rowFields count="1">
    <field x="7"/>
  </rowFields>
  <rowItems count="6">
    <i>
      <x v="7"/>
    </i>
    <i>
      <x v="8"/>
    </i>
    <i>
      <x v="10"/>
    </i>
    <i>
      <x v="11"/>
    </i>
    <i>
      <x v="13"/>
    </i>
    <i t="grand">
      <x/>
    </i>
  </rowItems>
  <colItems count="1">
    <i/>
  </colItems>
  <dataFields count="1">
    <dataField name="TOTAL REVENUE" fld="16" baseField="5" baseItem="0"/>
  </dataFields>
  <formats count="18">
    <format dxfId="37">
      <pivotArea outline="0" collapsedLevelsAreSubtotals="1" fieldPosition="0"/>
    </format>
    <format dxfId="36">
      <pivotArea outline="0" collapsedLevelsAreSubtotals="1" fieldPosition="0"/>
    </format>
    <format dxfId="35">
      <pivotArea outline="0" collapsedLevelsAreSubtotals="1" fieldPosition="0"/>
    </format>
    <format dxfId="34">
      <pivotArea outline="0" collapsedLevelsAreSubtotals="1" fieldPosition="0"/>
    </format>
    <format dxfId="33">
      <pivotArea outline="0" collapsedLevelsAreSubtotals="1" fieldPosition="0"/>
    </format>
    <format dxfId="32">
      <pivotArea outline="0" collapsedLevelsAreSubtotals="1" fieldPosition="0"/>
    </format>
    <format dxfId="31">
      <pivotArea outline="0" collapsedLevelsAreSubtotals="1" fieldPosition="0"/>
    </format>
    <format dxfId="30">
      <pivotArea outline="0" collapsedLevelsAreSubtotals="1" fieldPosition="0"/>
    </format>
    <format dxfId="29">
      <pivotArea outline="0" collapsedLevelsAreSubtotals="1" fieldPosition="0"/>
    </format>
    <format dxfId="28">
      <pivotArea outline="0" collapsedLevelsAreSubtotals="1" fieldPosition="0"/>
    </format>
    <format dxfId="27">
      <pivotArea outline="0" collapsedLevelsAreSubtotals="1" fieldPosition="0"/>
    </format>
    <format dxfId="26">
      <pivotArea outline="0" collapsedLevelsAreSubtotals="1" fieldPosition="0"/>
    </format>
    <format dxfId="25">
      <pivotArea outline="0" collapsedLevelsAreSubtotals="1" fieldPosition="0"/>
    </format>
    <format dxfId="24">
      <pivotArea outline="0" collapsedLevelsAreSubtotals="1" fieldPosition="0"/>
    </format>
    <format dxfId="23">
      <pivotArea outline="0" collapsedLevelsAreSubtotals="1" fieldPosition="0"/>
    </format>
    <format dxfId="22">
      <pivotArea field="5" grandRow="1" outline="0" collapsedLevelsAreSubtotals="1">
        <references count="1">
          <reference field="4294967294" count="1" selected="0">
            <x v="0"/>
          </reference>
        </references>
      </pivotArea>
    </format>
    <format dxfId="21">
      <pivotArea grandRow="1" outline="0" collapsedLevelsAreSubtotals="1" fieldPosition="0"/>
    </format>
    <format dxfId="20">
      <pivotArea collapsedLevelsAreSubtotals="1" fieldPosition="0">
        <references count="1">
          <reference field="7" count="5">
            <x v="7"/>
            <x v="8"/>
            <x v="10"/>
            <x v="11"/>
            <x v="13"/>
          </reference>
        </references>
      </pivotArea>
    </format>
  </formats>
  <chartFormats count="4">
    <chartFormat chart="1" format="2"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ACDE59-53A4-405B-93FD-121392080088}" name="MONTHLY_PROFIT_REVENUE"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location ref="B8:D15" firstHeaderRow="0" firstDataRow="1" firstDataCol="1"/>
  <pivotFields count="20">
    <pivotField showAll="0"/>
    <pivotField numFmtId="14" showAll="0"/>
    <pivotField showAll="0"/>
    <pivotField showAll="0">
      <items count="3">
        <item x="0"/>
        <item x="1"/>
        <item t="default"/>
      </items>
    </pivotField>
    <pivotField showAll="0"/>
    <pivotField axis="axisRow" showAll="0">
      <items count="7">
        <item x="0"/>
        <item x="1"/>
        <item x="2"/>
        <item x="3"/>
        <item x="4"/>
        <item x="5"/>
        <item t="default"/>
      </items>
    </pivotField>
    <pivotField showAll="0"/>
    <pivotField showAll="0">
      <items count="16">
        <item x="1"/>
        <item x="14"/>
        <item x="9"/>
        <item x="11"/>
        <item x="7"/>
        <item x="10"/>
        <item x="0"/>
        <item x="13"/>
        <item x="3"/>
        <item x="8"/>
        <item x="2"/>
        <item x="12"/>
        <item x="6"/>
        <item x="5"/>
        <item x="4"/>
        <item t="default"/>
      </items>
    </pivotField>
    <pivotField showAll="0"/>
    <pivotField showAll="0"/>
    <pivotField showAll="0">
      <items count="6">
        <item x="2"/>
        <item x="0"/>
        <item x="3"/>
        <item x="1"/>
        <item x="4"/>
        <item t="default"/>
      </items>
    </pivotField>
    <pivotField showAll="0"/>
    <pivotField showAll="0"/>
    <pivotField numFmtId="164" showAll="0"/>
    <pivotField numFmtId="9" showAll="0"/>
    <pivotField numFmtId="164" showAll="0"/>
    <pivotField dataField="1" numFmtId="164" showAll="0">
      <items count="423">
        <item x="278"/>
        <item x="351"/>
        <item x="307"/>
        <item x="257"/>
        <item x="402"/>
        <item x="64"/>
        <item x="128"/>
        <item x="248"/>
        <item x="177"/>
        <item x="26"/>
        <item x="361"/>
        <item x="231"/>
        <item x="251"/>
        <item x="360"/>
        <item x="28"/>
        <item x="47"/>
        <item x="366"/>
        <item x="104"/>
        <item x="228"/>
        <item x="321"/>
        <item x="163"/>
        <item x="89"/>
        <item x="197"/>
        <item x="297"/>
        <item x="326"/>
        <item x="316"/>
        <item x="247"/>
        <item x="206"/>
        <item x="191"/>
        <item x="72"/>
        <item x="9"/>
        <item x="87"/>
        <item x="169"/>
        <item x="276"/>
        <item x="324"/>
        <item x="59"/>
        <item x="76"/>
        <item x="394"/>
        <item x="342"/>
        <item x="21"/>
        <item x="151"/>
        <item x="63"/>
        <item x="66"/>
        <item x="226"/>
        <item x="304"/>
        <item x="179"/>
        <item x="420"/>
        <item x="43"/>
        <item x="356"/>
        <item x="52"/>
        <item x="349"/>
        <item x="245"/>
        <item x="110"/>
        <item x="95"/>
        <item x="272"/>
        <item x="199"/>
        <item x="174"/>
        <item x="129"/>
        <item x="300"/>
        <item x="120"/>
        <item x="160"/>
        <item x="23"/>
        <item x="275"/>
        <item x="409"/>
        <item x="382"/>
        <item x="391"/>
        <item x="243"/>
        <item x="313"/>
        <item x="408"/>
        <item x="407"/>
        <item x="220"/>
        <item x="202"/>
        <item x="347"/>
        <item x="127"/>
        <item x="135"/>
        <item x="417"/>
        <item x="353"/>
        <item x="325"/>
        <item x="108"/>
        <item x="27"/>
        <item x="49"/>
        <item x="216"/>
        <item x="392"/>
        <item x="139"/>
        <item x="399"/>
        <item x="364"/>
        <item x="93"/>
        <item x="137"/>
        <item x="312"/>
        <item x="101"/>
        <item x="418"/>
        <item x="229"/>
        <item x="302"/>
        <item x="16"/>
        <item x="416"/>
        <item x="396"/>
        <item x="267"/>
        <item x="78"/>
        <item x="42"/>
        <item x="2"/>
        <item x="260"/>
        <item x="318"/>
        <item x="311"/>
        <item x="173"/>
        <item x="254"/>
        <item x="81"/>
        <item x="155"/>
        <item x="48"/>
        <item x="269"/>
        <item x="308"/>
        <item x="292"/>
        <item x="412"/>
        <item x="227"/>
        <item x="421"/>
        <item x="328"/>
        <item x="62"/>
        <item x="189"/>
        <item x="362"/>
        <item x="41"/>
        <item x="338"/>
        <item x="368"/>
        <item x="124"/>
        <item x="136"/>
        <item x="38"/>
        <item x="14"/>
        <item x="310"/>
        <item x="385"/>
        <item x="250"/>
        <item x="291"/>
        <item x="215"/>
        <item x="217"/>
        <item x="159"/>
        <item x="25"/>
        <item x="282"/>
        <item x="341"/>
        <item x="411"/>
        <item x="46"/>
        <item x="92"/>
        <item x="134"/>
        <item x="301"/>
        <item x="200"/>
        <item x="244"/>
        <item x="168"/>
        <item x="183"/>
        <item x="123"/>
        <item x="273"/>
        <item x="45"/>
        <item x="344"/>
        <item x="186"/>
        <item x="69"/>
        <item x="256"/>
        <item x="397"/>
        <item x="271"/>
        <item x="230"/>
        <item x="305"/>
        <item x="249"/>
        <item x="162"/>
        <item x="103"/>
        <item x="18"/>
        <item x="414"/>
        <item x="335"/>
        <item x="91"/>
        <item x="40"/>
        <item x="240"/>
        <item x="365"/>
        <item x="57"/>
        <item x="235"/>
        <item x="369"/>
        <item x="331"/>
        <item x="298"/>
        <item x="259"/>
        <item x="315"/>
        <item x="384"/>
        <item x="6"/>
        <item x="143"/>
        <item x="236"/>
        <item x="70"/>
        <item x="238"/>
        <item x="140"/>
        <item x="164"/>
        <item x="157"/>
        <item x="182"/>
        <item x="281"/>
        <item x="172"/>
        <item x="405"/>
        <item x="241"/>
        <item x="126"/>
        <item x="56"/>
        <item x="370"/>
        <item x="125"/>
        <item x="393"/>
        <item x="373"/>
        <item x="237"/>
        <item x="80"/>
        <item x="234"/>
        <item x="148"/>
        <item x="105"/>
        <item x="5"/>
        <item x="293"/>
        <item x="242"/>
        <item x="54"/>
        <item x="195"/>
        <item x="317"/>
        <item x="400"/>
        <item x="74"/>
        <item x="8"/>
        <item x="253"/>
        <item x="17"/>
        <item x="44"/>
        <item x="67"/>
        <item x="386"/>
        <item x="0"/>
        <item x="355"/>
        <item x="252"/>
        <item x="223"/>
        <item x="388"/>
        <item x="211"/>
        <item x="149"/>
        <item x="413"/>
        <item x="1"/>
        <item x="188"/>
        <item x="114"/>
        <item x="289"/>
        <item x="153"/>
        <item x="144"/>
        <item x="263"/>
        <item x="131"/>
        <item x="262"/>
        <item x="111"/>
        <item x="34"/>
        <item x="233"/>
        <item x="212"/>
        <item x="35"/>
        <item x="419"/>
        <item x="303"/>
        <item x="142"/>
        <item x="346"/>
        <item x="354"/>
        <item x="374"/>
        <item x="167"/>
        <item x="15"/>
        <item x="345"/>
        <item x="379"/>
        <item x="224"/>
        <item x="61"/>
        <item x="53"/>
        <item x="194"/>
        <item x="50"/>
        <item x="219"/>
        <item x="10"/>
        <item x="175"/>
        <item x="88"/>
        <item x="377"/>
        <item x="201"/>
        <item x="36"/>
        <item x="115"/>
        <item x="85"/>
        <item x="141"/>
        <item x="218"/>
        <item x="266"/>
        <item x="29"/>
        <item x="20"/>
        <item x="258"/>
        <item x="24"/>
        <item x="314"/>
        <item x="4"/>
        <item x="277"/>
        <item x="176"/>
        <item x="75"/>
        <item x="138"/>
        <item x="158"/>
        <item x="322"/>
        <item x="268"/>
        <item x="222"/>
        <item x="389"/>
        <item x="187"/>
        <item x="319"/>
        <item x="371"/>
        <item x="350"/>
        <item x="60"/>
        <item x="398"/>
        <item x="280"/>
        <item x="210"/>
        <item x="383"/>
        <item x="320"/>
        <item x="130"/>
        <item x="403"/>
        <item x="171"/>
        <item x="178"/>
        <item x="37"/>
        <item x="39"/>
        <item x="327"/>
        <item x="119"/>
        <item x="208"/>
        <item x="170"/>
        <item x="290"/>
        <item x="146"/>
        <item x="55"/>
        <item x="372"/>
        <item x="11"/>
        <item x="99"/>
        <item x="73"/>
        <item x="133"/>
        <item x="117"/>
        <item x="381"/>
        <item x="294"/>
        <item x="204"/>
        <item x="184"/>
        <item x="334"/>
        <item x="82"/>
        <item x="387"/>
        <item x="295"/>
        <item x="348"/>
        <item x="68"/>
        <item x="51"/>
        <item x="340"/>
        <item x="330"/>
        <item x="406"/>
        <item x="214"/>
        <item x="113"/>
        <item x="395"/>
        <item x="150"/>
        <item x="154"/>
        <item x="79"/>
        <item x="106"/>
        <item x="323"/>
        <item x="376"/>
        <item x="185"/>
        <item x="84"/>
        <item x="32"/>
        <item x="255"/>
        <item x="3"/>
        <item x="279"/>
        <item x="107"/>
        <item x="309"/>
        <item x="97"/>
        <item x="196"/>
        <item x="380"/>
        <item x="343"/>
        <item x="375"/>
        <item x="112"/>
        <item x="166"/>
        <item x="401"/>
        <item x="198"/>
        <item x="65"/>
        <item x="31"/>
        <item x="225"/>
        <item x="378"/>
        <item x="357"/>
        <item x="180"/>
        <item x="329"/>
        <item x="90"/>
        <item x="94"/>
        <item x="221"/>
        <item x="209"/>
        <item x="30"/>
        <item x="390"/>
        <item x="100"/>
        <item x="288"/>
        <item x="213"/>
        <item x="98"/>
        <item x="207"/>
        <item x="270"/>
        <item x="239"/>
        <item x="116"/>
        <item x="71"/>
        <item x="333"/>
        <item x="299"/>
        <item x="232"/>
        <item x="19"/>
        <item x="13"/>
        <item x="132"/>
        <item x="145"/>
        <item x="102"/>
        <item x="86"/>
        <item x="283"/>
        <item x="363"/>
        <item x="332"/>
        <item x="274"/>
        <item x="265"/>
        <item x="109"/>
        <item x="122"/>
        <item x="147"/>
        <item x="367"/>
        <item x="339"/>
        <item x="58"/>
        <item x="404"/>
        <item x="306"/>
        <item x="296"/>
        <item x="161"/>
        <item x="118"/>
        <item x="205"/>
        <item x="165"/>
        <item x="190"/>
        <item x="359"/>
        <item x="415"/>
        <item x="193"/>
        <item x="121"/>
        <item x="336"/>
        <item x="22"/>
        <item x="264"/>
        <item x="181"/>
        <item x="287"/>
        <item x="156"/>
        <item x="203"/>
        <item x="83"/>
        <item x="285"/>
        <item x="358"/>
        <item x="352"/>
        <item x="152"/>
        <item x="96"/>
        <item x="7"/>
        <item x="261"/>
        <item x="286"/>
        <item x="77"/>
        <item x="246"/>
        <item x="192"/>
        <item x="33"/>
        <item x="12"/>
        <item x="410"/>
        <item x="284"/>
        <item x="337"/>
        <item t="default"/>
      </items>
    </pivotField>
    <pivotField numFmtId="164" showAll="0"/>
    <pivotField dataField="1" numFmtId="164" showAll="0"/>
    <pivotField numFmtId="165" showAll="0"/>
  </pivotFields>
  <rowFields count="1">
    <field x="5"/>
  </rowFields>
  <rowItems count="7">
    <i>
      <x/>
    </i>
    <i>
      <x v="1"/>
    </i>
    <i>
      <x v="2"/>
    </i>
    <i>
      <x v="3"/>
    </i>
    <i>
      <x v="4"/>
    </i>
    <i>
      <x v="5"/>
    </i>
    <i t="grand">
      <x/>
    </i>
  </rowItems>
  <colFields count="1">
    <field x="-2"/>
  </colFields>
  <colItems count="2">
    <i>
      <x/>
    </i>
    <i i="1">
      <x v="1"/>
    </i>
  </colItems>
  <dataFields count="2">
    <dataField name="TOTAL REVENUE" fld="16" baseField="5" baseItem="0"/>
    <dataField name="TOTAL GROSS PROFIT" fld="18" baseField="5" baseItem="0" numFmtId="167"/>
  </dataFields>
  <formats count="19">
    <format dxfId="56">
      <pivotArea outline="0" collapsedLevelsAreSubtotals="1" fieldPosition="0"/>
    </format>
    <format dxfId="55">
      <pivotArea outline="0" collapsedLevelsAreSubtotals="1" fieldPosition="0"/>
    </format>
    <format dxfId="54">
      <pivotArea outline="0" collapsedLevelsAreSubtotals="1" fieldPosition="0"/>
    </format>
    <format dxfId="53">
      <pivotArea outline="0" collapsedLevelsAreSubtotals="1" fieldPosition="0"/>
    </format>
    <format dxfId="52">
      <pivotArea outline="0" collapsedLevelsAreSubtotals="1" fieldPosition="0"/>
    </format>
    <format dxfId="51">
      <pivotArea outline="0" collapsedLevelsAreSubtotals="1" fieldPosition="0"/>
    </format>
    <format dxfId="50">
      <pivotArea outline="0" collapsedLevelsAreSubtotals="1" fieldPosition="0"/>
    </format>
    <format dxfId="49">
      <pivotArea outline="0" collapsedLevelsAreSubtotals="1" fieldPosition="0"/>
    </format>
    <format dxfId="48">
      <pivotArea outline="0" collapsedLevelsAreSubtotals="1" fieldPosition="0"/>
    </format>
    <format dxfId="47">
      <pivotArea outline="0" collapsedLevelsAreSubtotals="1" fieldPosition="0"/>
    </format>
    <format dxfId="46">
      <pivotArea outline="0" collapsedLevelsAreSubtotals="1" fieldPosition="0"/>
    </format>
    <format dxfId="45">
      <pivotArea outline="0" collapsedLevelsAreSubtotals="1" fieldPosition="0"/>
    </format>
    <format dxfId="44">
      <pivotArea outline="0" collapsedLevelsAreSubtotals="1" fieldPosition="0"/>
    </format>
    <format dxfId="43">
      <pivotArea outline="0" collapsedLevelsAreSubtotals="1" fieldPosition="0"/>
    </format>
    <format dxfId="42">
      <pivotArea outline="0" collapsedLevelsAreSubtotals="1" fieldPosition="0"/>
    </format>
    <format dxfId="41">
      <pivotArea collapsedLevelsAreSubtotals="1" fieldPosition="0">
        <references count="2">
          <reference field="4294967294" count="1" selected="0">
            <x v="0"/>
          </reference>
          <reference field="5" count="0"/>
        </references>
      </pivotArea>
    </format>
    <format dxfId="40">
      <pivotArea outline="0" collapsedLevelsAreSubtotals="1" fieldPosition="0">
        <references count="1">
          <reference field="4294967294" count="1" selected="0">
            <x v="1"/>
          </reference>
        </references>
      </pivotArea>
    </format>
    <format dxfId="39">
      <pivotArea field="5" grandRow="1" outline="0" collapsedLevelsAreSubtotals="1" axis="axisRow" fieldPosition="0">
        <references count="1">
          <reference field="4294967294" count="1" selected="0">
            <x v="0"/>
          </reference>
        </references>
      </pivotArea>
    </format>
    <format dxfId="38">
      <pivotArea field="5" grandRow="1" outline="0" collapsedLevelsAreSubtotals="1" axis="axisRow" fieldPosition="0">
        <references count="1">
          <reference field="4294967294" count="1" selected="0">
            <x v="1"/>
          </reference>
        </references>
      </pivotArea>
    </format>
  </formats>
  <chartFormats count="6">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s>
  <pivotTableStyleInfo name="PivotStyleMedium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85611F-EF20-46F6-8448-A233781F2928}" name="TOTAL_REVENUE"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3:B4" firstHeaderRow="1" firstDataRow="1" firstDataCol="0"/>
  <pivotFields count="20">
    <pivotField showAll="0"/>
    <pivotField numFmtId="14" showAll="0"/>
    <pivotField showAll="0"/>
    <pivotField showAll="0">
      <items count="3">
        <item x="0"/>
        <item x="1"/>
        <item t="default"/>
      </items>
    </pivotField>
    <pivotField showAll="0"/>
    <pivotField showAll="0"/>
    <pivotField showAll="0"/>
    <pivotField showAll="0">
      <items count="16">
        <item x="1"/>
        <item x="14"/>
        <item x="9"/>
        <item x="11"/>
        <item x="7"/>
        <item x="10"/>
        <item x="0"/>
        <item x="13"/>
        <item x="3"/>
        <item x="8"/>
        <item x="2"/>
        <item x="12"/>
        <item x="6"/>
        <item x="5"/>
        <item x="4"/>
        <item t="default"/>
      </items>
    </pivotField>
    <pivotField showAll="0"/>
    <pivotField showAll="0"/>
    <pivotField showAll="0">
      <items count="6">
        <item x="2"/>
        <item x="0"/>
        <item x="3"/>
        <item x="1"/>
        <item x="4"/>
        <item t="default"/>
      </items>
    </pivotField>
    <pivotField showAll="0"/>
    <pivotField showAll="0"/>
    <pivotField numFmtId="164" showAll="0"/>
    <pivotField numFmtId="9" showAll="0"/>
    <pivotField numFmtId="164" showAll="0"/>
    <pivotField dataField="1" numFmtId="164" showAll="0">
      <items count="423">
        <item x="278"/>
        <item x="351"/>
        <item x="307"/>
        <item x="257"/>
        <item x="402"/>
        <item x="64"/>
        <item x="128"/>
        <item x="248"/>
        <item x="177"/>
        <item x="26"/>
        <item x="361"/>
        <item x="231"/>
        <item x="251"/>
        <item x="360"/>
        <item x="28"/>
        <item x="47"/>
        <item x="366"/>
        <item x="104"/>
        <item x="228"/>
        <item x="321"/>
        <item x="163"/>
        <item x="89"/>
        <item x="197"/>
        <item x="297"/>
        <item x="326"/>
        <item x="316"/>
        <item x="247"/>
        <item x="206"/>
        <item x="191"/>
        <item x="72"/>
        <item x="9"/>
        <item x="87"/>
        <item x="169"/>
        <item x="276"/>
        <item x="324"/>
        <item x="59"/>
        <item x="76"/>
        <item x="394"/>
        <item x="342"/>
        <item x="21"/>
        <item x="151"/>
        <item x="63"/>
        <item x="66"/>
        <item x="226"/>
        <item x="304"/>
        <item x="179"/>
        <item x="420"/>
        <item x="43"/>
        <item x="356"/>
        <item x="52"/>
        <item x="349"/>
        <item x="245"/>
        <item x="110"/>
        <item x="95"/>
        <item x="272"/>
        <item x="199"/>
        <item x="174"/>
        <item x="129"/>
        <item x="300"/>
        <item x="120"/>
        <item x="160"/>
        <item x="23"/>
        <item x="275"/>
        <item x="409"/>
        <item x="382"/>
        <item x="391"/>
        <item x="243"/>
        <item x="313"/>
        <item x="408"/>
        <item x="407"/>
        <item x="220"/>
        <item x="202"/>
        <item x="347"/>
        <item x="127"/>
        <item x="135"/>
        <item x="417"/>
        <item x="353"/>
        <item x="325"/>
        <item x="108"/>
        <item x="27"/>
        <item x="49"/>
        <item x="216"/>
        <item x="392"/>
        <item x="139"/>
        <item x="399"/>
        <item x="364"/>
        <item x="93"/>
        <item x="137"/>
        <item x="312"/>
        <item x="101"/>
        <item x="418"/>
        <item x="229"/>
        <item x="302"/>
        <item x="16"/>
        <item x="416"/>
        <item x="396"/>
        <item x="267"/>
        <item x="78"/>
        <item x="42"/>
        <item x="2"/>
        <item x="260"/>
        <item x="318"/>
        <item x="311"/>
        <item x="173"/>
        <item x="254"/>
        <item x="81"/>
        <item x="155"/>
        <item x="48"/>
        <item x="269"/>
        <item x="308"/>
        <item x="292"/>
        <item x="412"/>
        <item x="227"/>
        <item x="421"/>
        <item x="328"/>
        <item x="62"/>
        <item x="189"/>
        <item x="362"/>
        <item x="41"/>
        <item x="338"/>
        <item x="368"/>
        <item x="124"/>
        <item x="136"/>
        <item x="38"/>
        <item x="14"/>
        <item x="310"/>
        <item x="385"/>
        <item x="250"/>
        <item x="291"/>
        <item x="215"/>
        <item x="217"/>
        <item x="159"/>
        <item x="25"/>
        <item x="282"/>
        <item x="341"/>
        <item x="411"/>
        <item x="46"/>
        <item x="92"/>
        <item x="134"/>
        <item x="301"/>
        <item x="200"/>
        <item x="244"/>
        <item x="168"/>
        <item x="183"/>
        <item x="123"/>
        <item x="273"/>
        <item x="45"/>
        <item x="344"/>
        <item x="186"/>
        <item x="69"/>
        <item x="256"/>
        <item x="397"/>
        <item x="271"/>
        <item x="230"/>
        <item x="305"/>
        <item x="249"/>
        <item x="162"/>
        <item x="103"/>
        <item x="18"/>
        <item x="414"/>
        <item x="335"/>
        <item x="91"/>
        <item x="40"/>
        <item x="240"/>
        <item x="365"/>
        <item x="57"/>
        <item x="235"/>
        <item x="369"/>
        <item x="331"/>
        <item x="298"/>
        <item x="259"/>
        <item x="315"/>
        <item x="384"/>
        <item x="6"/>
        <item x="143"/>
        <item x="236"/>
        <item x="70"/>
        <item x="238"/>
        <item x="140"/>
        <item x="164"/>
        <item x="157"/>
        <item x="182"/>
        <item x="281"/>
        <item x="172"/>
        <item x="405"/>
        <item x="241"/>
        <item x="126"/>
        <item x="56"/>
        <item x="370"/>
        <item x="125"/>
        <item x="393"/>
        <item x="373"/>
        <item x="237"/>
        <item x="80"/>
        <item x="234"/>
        <item x="148"/>
        <item x="105"/>
        <item x="5"/>
        <item x="293"/>
        <item x="242"/>
        <item x="54"/>
        <item x="195"/>
        <item x="317"/>
        <item x="400"/>
        <item x="74"/>
        <item x="8"/>
        <item x="253"/>
        <item x="17"/>
        <item x="44"/>
        <item x="67"/>
        <item x="386"/>
        <item x="0"/>
        <item x="355"/>
        <item x="252"/>
        <item x="223"/>
        <item x="388"/>
        <item x="211"/>
        <item x="149"/>
        <item x="413"/>
        <item x="1"/>
        <item x="188"/>
        <item x="114"/>
        <item x="289"/>
        <item x="153"/>
        <item x="144"/>
        <item x="263"/>
        <item x="131"/>
        <item x="262"/>
        <item x="111"/>
        <item x="34"/>
        <item x="233"/>
        <item x="212"/>
        <item x="35"/>
        <item x="419"/>
        <item x="303"/>
        <item x="142"/>
        <item x="346"/>
        <item x="354"/>
        <item x="374"/>
        <item x="167"/>
        <item x="15"/>
        <item x="345"/>
        <item x="379"/>
        <item x="224"/>
        <item x="61"/>
        <item x="53"/>
        <item x="194"/>
        <item x="50"/>
        <item x="219"/>
        <item x="10"/>
        <item x="175"/>
        <item x="88"/>
        <item x="377"/>
        <item x="201"/>
        <item x="36"/>
        <item x="115"/>
        <item x="85"/>
        <item x="141"/>
        <item x="218"/>
        <item x="266"/>
        <item x="29"/>
        <item x="20"/>
        <item x="258"/>
        <item x="24"/>
        <item x="314"/>
        <item x="4"/>
        <item x="277"/>
        <item x="176"/>
        <item x="75"/>
        <item x="138"/>
        <item x="158"/>
        <item x="322"/>
        <item x="268"/>
        <item x="222"/>
        <item x="389"/>
        <item x="187"/>
        <item x="319"/>
        <item x="371"/>
        <item x="350"/>
        <item x="60"/>
        <item x="398"/>
        <item x="280"/>
        <item x="210"/>
        <item x="383"/>
        <item x="320"/>
        <item x="130"/>
        <item x="403"/>
        <item x="171"/>
        <item x="178"/>
        <item x="37"/>
        <item x="39"/>
        <item x="327"/>
        <item x="119"/>
        <item x="208"/>
        <item x="170"/>
        <item x="290"/>
        <item x="146"/>
        <item x="55"/>
        <item x="372"/>
        <item x="11"/>
        <item x="99"/>
        <item x="73"/>
        <item x="133"/>
        <item x="117"/>
        <item x="381"/>
        <item x="294"/>
        <item x="204"/>
        <item x="184"/>
        <item x="334"/>
        <item x="82"/>
        <item x="387"/>
        <item x="295"/>
        <item x="348"/>
        <item x="68"/>
        <item x="51"/>
        <item x="340"/>
        <item x="330"/>
        <item x="406"/>
        <item x="214"/>
        <item x="113"/>
        <item x="395"/>
        <item x="150"/>
        <item x="154"/>
        <item x="79"/>
        <item x="106"/>
        <item x="323"/>
        <item x="376"/>
        <item x="185"/>
        <item x="84"/>
        <item x="32"/>
        <item x="255"/>
        <item x="3"/>
        <item x="279"/>
        <item x="107"/>
        <item x="309"/>
        <item x="97"/>
        <item x="196"/>
        <item x="380"/>
        <item x="343"/>
        <item x="375"/>
        <item x="112"/>
        <item x="166"/>
        <item x="401"/>
        <item x="198"/>
        <item x="65"/>
        <item x="31"/>
        <item x="225"/>
        <item x="378"/>
        <item x="357"/>
        <item x="180"/>
        <item x="329"/>
        <item x="90"/>
        <item x="94"/>
        <item x="221"/>
        <item x="209"/>
        <item x="30"/>
        <item x="390"/>
        <item x="100"/>
        <item x="288"/>
        <item x="213"/>
        <item x="98"/>
        <item x="207"/>
        <item x="270"/>
        <item x="239"/>
        <item x="116"/>
        <item x="71"/>
        <item x="333"/>
        <item x="299"/>
        <item x="232"/>
        <item x="19"/>
        <item x="13"/>
        <item x="132"/>
        <item x="145"/>
        <item x="102"/>
        <item x="86"/>
        <item x="283"/>
        <item x="363"/>
        <item x="332"/>
        <item x="274"/>
        <item x="265"/>
        <item x="109"/>
        <item x="122"/>
        <item x="147"/>
        <item x="367"/>
        <item x="339"/>
        <item x="58"/>
        <item x="404"/>
        <item x="306"/>
        <item x="296"/>
        <item x="161"/>
        <item x="118"/>
        <item x="205"/>
        <item x="165"/>
        <item x="190"/>
        <item x="359"/>
        <item x="415"/>
        <item x="193"/>
        <item x="121"/>
        <item x="336"/>
        <item x="22"/>
        <item x="264"/>
        <item x="181"/>
        <item x="287"/>
        <item x="156"/>
        <item x="203"/>
        <item x="83"/>
        <item x="285"/>
        <item x="358"/>
        <item x="352"/>
        <item x="152"/>
        <item x="96"/>
        <item x="7"/>
        <item x="261"/>
        <item x="286"/>
        <item x="77"/>
        <item x="246"/>
        <item x="192"/>
        <item x="33"/>
        <item x="12"/>
        <item x="410"/>
        <item x="284"/>
        <item x="337"/>
        <item t="default"/>
      </items>
    </pivotField>
    <pivotField numFmtId="164" showAll="0"/>
    <pivotField numFmtId="164" showAll="0"/>
    <pivotField numFmtId="165" showAll="0"/>
  </pivotFields>
  <rowItems count="1">
    <i/>
  </rowItems>
  <colItems count="1">
    <i/>
  </colItems>
  <dataFields count="1">
    <dataField name="Sum of Revenue" fld="16" baseField="0" baseItem="0" numFmtId="166"/>
  </dataFields>
  <formats count="17">
    <format dxfId="72">
      <pivotArea outline="0" collapsedLevelsAreSubtotals="1" fieldPosition="0"/>
    </format>
    <format dxfId="71">
      <pivotArea outline="0" collapsedLevelsAreSubtotals="1" fieldPosition="0"/>
    </format>
    <format dxfId="70">
      <pivotArea outline="0" collapsedLevelsAreSubtotals="1" fieldPosition="0"/>
    </format>
    <format dxfId="69">
      <pivotArea outline="0" collapsedLevelsAreSubtotals="1" fieldPosition="0"/>
    </format>
    <format dxfId="68">
      <pivotArea outline="0" collapsedLevelsAreSubtotals="1" fieldPosition="0"/>
    </format>
    <format dxfId="67">
      <pivotArea outline="0" collapsedLevelsAreSubtotals="1" fieldPosition="0"/>
    </format>
    <format dxfId="66">
      <pivotArea outline="0" collapsedLevelsAreSubtotals="1" fieldPosition="0"/>
    </format>
    <format dxfId="65">
      <pivotArea outline="0" collapsedLevelsAreSubtotals="1" fieldPosition="0"/>
    </format>
    <format dxfId="64">
      <pivotArea outline="0" collapsedLevelsAreSubtotals="1" fieldPosition="0"/>
    </format>
    <format dxfId="63">
      <pivotArea outline="0" collapsedLevelsAreSubtotals="1" fieldPosition="0"/>
    </format>
    <format dxfId="62">
      <pivotArea outline="0" collapsedLevelsAreSubtotals="1" fieldPosition="0"/>
    </format>
    <format dxfId="61">
      <pivotArea outline="0" collapsedLevelsAreSubtotals="1" fieldPosition="0"/>
    </format>
    <format dxfId="60">
      <pivotArea outline="0" collapsedLevelsAreSubtotals="1" fieldPosition="0"/>
    </format>
    <format dxfId="59">
      <pivotArea outline="0" collapsedLevelsAreSubtotals="1" fieldPosition="0"/>
    </format>
    <format dxfId="58">
      <pivotArea outline="0" collapsedLevelsAreSubtotals="1" fieldPosition="0"/>
    </format>
    <format dxfId="57">
      <pivotArea outline="0" collapsedLevelsAreSubtotals="1" fieldPosition="0"/>
    </format>
    <format dxfId="9">
      <pivotArea dataOnly="0" labelOnly="1" outline="0" axis="axisValues" fieldPosition="0"/>
    </format>
  </formats>
  <pivotTableStyleInfo name="PivotStyleMedium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433B43-D3B5-4562-A5F0-C20612D07906}" name="GROSS_PROFIT"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D3:D4" firstHeaderRow="1" firstDataRow="1" firstDataCol="0"/>
  <pivotFields count="20">
    <pivotField showAll="0"/>
    <pivotField numFmtId="14" showAll="0"/>
    <pivotField showAll="0"/>
    <pivotField showAll="0">
      <items count="3">
        <item x="0"/>
        <item x="1"/>
        <item t="default"/>
      </items>
    </pivotField>
    <pivotField showAll="0"/>
    <pivotField showAll="0"/>
    <pivotField showAll="0"/>
    <pivotField showAll="0">
      <items count="16">
        <item x="1"/>
        <item x="14"/>
        <item x="9"/>
        <item x="11"/>
        <item x="7"/>
        <item x="10"/>
        <item x="0"/>
        <item x="13"/>
        <item x="3"/>
        <item x="8"/>
        <item x="2"/>
        <item x="12"/>
        <item x="6"/>
        <item x="5"/>
        <item x="4"/>
        <item t="default"/>
      </items>
    </pivotField>
    <pivotField showAll="0"/>
    <pivotField showAll="0"/>
    <pivotField showAll="0">
      <items count="6">
        <item x="2"/>
        <item x="0"/>
        <item x="3"/>
        <item x="1"/>
        <item x="4"/>
        <item t="default"/>
      </items>
    </pivotField>
    <pivotField showAll="0"/>
    <pivotField showAll="0"/>
    <pivotField numFmtId="164" showAll="0"/>
    <pivotField numFmtId="9" showAll="0"/>
    <pivotField numFmtId="164" showAll="0"/>
    <pivotField numFmtId="164" showAll="0">
      <items count="423">
        <item x="278"/>
        <item x="351"/>
        <item x="307"/>
        <item x="257"/>
        <item x="402"/>
        <item x="64"/>
        <item x="128"/>
        <item x="248"/>
        <item x="177"/>
        <item x="26"/>
        <item x="361"/>
        <item x="231"/>
        <item x="251"/>
        <item x="360"/>
        <item x="28"/>
        <item x="47"/>
        <item x="366"/>
        <item x="104"/>
        <item x="228"/>
        <item x="321"/>
        <item x="163"/>
        <item x="89"/>
        <item x="197"/>
        <item x="297"/>
        <item x="326"/>
        <item x="316"/>
        <item x="247"/>
        <item x="206"/>
        <item x="191"/>
        <item x="72"/>
        <item x="9"/>
        <item x="87"/>
        <item x="169"/>
        <item x="276"/>
        <item x="324"/>
        <item x="59"/>
        <item x="76"/>
        <item x="394"/>
        <item x="342"/>
        <item x="21"/>
        <item x="151"/>
        <item x="63"/>
        <item x="66"/>
        <item x="226"/>
        <item x="304"/>
        <item x="179"/>
        <item x="420"/>
        <item x="43"/>
        <item x="356"/>
        <item x="52"/>
        <item x="349"/>
        <item x="245"/>
        <item x="110"/>
        <item x="95"/>
        <item x="272"/>
        <item x="199"/>
        <item x="174"/>
        <item x="129"/>
        <item x="300"/>
        <item x="120"/>
        <item x="160"/>
        <item x="23"/>
        <item x="275"/>
        <item x="409"/>
        <item x="382"/>
        <item x="391"/>
        <item x="243"/>
        <item x="313"/>
        <item x="408"/>
        <item x="407"/>
        <item x="220"/>
        <item x="202"/>
        <item x="347"/>
        <item x="127"/>
        <item x="135"/>
        <item x="417"/>
        <item x="353"/>
        <item x="325"/>
        <item x="108"/>
        <item x="27"/>
        <item x="49"/>
        <item x="216"/>
        <item x="392"/>
        <item x="139"/>
        <item x="399"/>
        <item x="364"/>
        <item x="93"/>
        <item x="137"/>
        <item x="312"/>
        <item x="101"/>
        <item x="418"/>
        <item x="229"/>
        <item x="302"/>
        <item x="16"/>
        <item x="416"/>
        <item x="396"/>
        <item x="267"/>
        <item x="78"/>
        <item x="42"/>
        <item x="2"/>
        <item x="260"/>
        <item x="318"/>
        <item x="311"/>
        <item x="173"/>
        <item x="254"/>
        <item x="81"/>
        <item x="155"/>
        <item x="48"/>
        <item x="269"/>
        <item x="308"/>
        <item x="292"/>
        <item x="412"/>
        <item x="227"/>
        <item x="421"/>
        <item x="328"/>
        <item x="62"/>
        <item x="189"/>
        <item x="362"/>
        <item x="41"/>
        <item x="338"/>
        <item x="368"/>
        <item x="124"/>
        <item x="136"/>
        <item x="38"/>
        <item x="14"/>
        <item x="310"/>
        <item x="385"/>
        <item x="250"/>
        <item x="291"/>
        <item x="215"/>
        <item x="217"/>
        <item x="159"/>
        <item x="25"/>
        <item x="282"/>
        <item x="341"/>
        <item x="411"/>
        <item x="46"/>
        <item x="92"/>
        <item x="134"/>
        <item x="301"/>
        <item x="200"/>
        <item x="244"/>
        <item x="168"/>
        <item x="183"/>
        <item x="123"/>
        <item x="273"/>
        <item x="45"/>
        <item x="344"/>
        <item x="186"/>
        <item x="69"/>
        <item x="256"/>
        <item x="397"/>
        <item x="271"/>
        <item x="230"/>
        <item x="305"/>
        <item x="249"/>
        <item x="162"/>
        <item x="103"/>
        <item x="18"/>
        <item x="414"/>
        <item x="335"/>
        <item x="91"/>
        <item x="40"/>
        <item x="240"/>
        <item x="365"/>
        <item x="57"/>
        <item x="235"/>
        <item x="369"/>
        <item x="331"/>
        <item x="298"/>
        <item x="259"/>
        <item x="315"/>
        <item x="384"/>
        <item x="6"/>
        <item x="143"/>
        <item x="236"/>
        <item x="70"/>
        <item x="238"/>
        <item x="140"/>
        <item x="164"/>
        <item x="157"/>
        <item x="182"/>
        <item x="281"/>
        <item x="172"/>
        <item x="405"/>
        <item x="241"/>
        <item x="126"/>
        <item x="56"/>
        <item x="370"/>
        <item x="125"/>
        <item x="393"/>
        <item x="373"/>
        <item x="237"/>
        <item x="80"/>
        <item x="234"/>
        <item x="148"/>
        <item x="105"/>
        <item x="5"/>
        <item x="293"/>
        <item x="242"/>
        <item x="54"/>
        <item x="195"/>
        <item x="317"/>
        <item x="400"/>
        <item x="74"/>
        <item x="8"/>
        <item x="253"/>
        <item x="17"/>
        <item x="44"/>
        <item x="67"/>
        <item x="386"/>
        <item x="0"/>
        <item x="355"/>
        <item x="252"/>
        <item x="223"/>
        <item x="388"/>
        <item x="211"/>
        <item x="149"/>
        <item x="413"/>
        <item x="1"/>
        <item x="188"/>
        <item x="114"/>
        <item x="289"/>
        <item x="153"/>
        <item x="144"/>
        <item x="263"/>
        <item x="131"/>
        <item x="262"/>
        <item x="111"/>
        <item x="34"/>
        <item x="233"/>
        <item x="212"/>
        <item x="35"/>
        <item x="419"/>
        <item x="303"/>
        <item x="142"/>
        <item x="346"/>
        <item x="354"/>
        <item x="374"/>
        <item x="167"/>
        <item x="15"/>
        <item x="345"/>
        <item x="379"/>
        <item x="224"/>
        <item x="61"/>
        <item x="53"/>
        <item x="194"/>
        <item x="50"/>
        <item x="219"/>
        <item x="10"/>
        <item x="175"/>
        <item x="88"/>
        <item x="377"/>
        <item x="201"/>
        <item x="36"/>
        <item x="115"/>
        <item x="85"/>
        <item x="141"/>
        <item x="218"/>
        <item x="266"/>
        <item x="29"/>
        <item x="20"/>
        <item x="258"/>
        <item x="24"/>
        <item x="314"/>
        <item x="4"/>
        <item x="277"/>
        <item x="176"/>
        <item x="75"/>
        <item x="138"/>
        <item x="158"/>
        <item x="322"/>
        <item x="268"/>
        <item x="222"/>
        <item x="389"/>
        <item x="187"/>
        <item x="319"/>
        <item x="371"/>
        <item x="350"/>
        <item x="60"/>
        <item x="398"/>
        <item x="280"/>
        <item x="210"/>
        <item x="383"/>
        <item x="320"/>
        <item x="130"/>
        <item x="403"/>
        <item x="171"/>
        <item x="178"/>
        <item x="37"/>
        <item x="39"/>
        <item x="327"/>
        <item x="119"/>
        <item x="208"/>
        <item x="170"/>
        <item x="290"/>
        <item x="146"/>
        <item x="55"/>
        <item x="372"/>
        <item x="11"/>
        <item x="99"/>
        <item x="73"/>
        <item x="133"/>
        <item x="117"/>
        <item x="381"/>
        <item x="294"/>
        <item x="204"/>
        <item x="184"/>
        <item x="334"/>
        <item x="82"/>
        <item x="387"/>
        <item x="295"/>
        <item x="348"/>
        <item x="68"/>
        <item x="51"/>
        <item x="340"/>
        <item x="330"/>
        <item x="406"/>
        <item x="214"/>
        <item x="113"/>
        <item x="395"/>
        <item x="150"/>
        <item x="154"/>
        <item x="79"/>
        <item x="106"/>
        <item x="323"/>
        <item x="376"/>
        <item x="185"/>
        <item x="84"/>
        <item x="32"/>
        <item x="255"/>
        <item x="3"/>
        <item x="279"/>
        <item x="107"/>
        <item x="309"/>
        <item x="97"/>
        <item x="196"/>
        <item x="380"/>
        <item x="343"/>
        <item x="375"/>
        <item x="112"/>
        <item x="166"/>
        <item x="401"/>
        <item x="198"/>
        <item x="65"/>
        <item x="31"/>
        <item x="225"/>
        <item x="378"/>
        <item x="357"/>
        <item x="180"/>
        <item x="329"/>
        <item x="90"/>
        <item x="94"/>
        <item x="221"/>
        <item x="209"/>
        <item x="30"/>
        <item x="390"/>
        <item x="100"/>
        <item x="288"/>
        <item x="213"/>
        <item x="98"/>
        <item x="207"/>
        <item x="270"/>
        <item x="239"/>
        <item x="116"/>
        <item x="71"/>
        <item x="333"/>
        <item x="299"/>
        <item x="232"/>
        <item x="19"/>
        <item x="13"/>
        <item x="132"/>
        <item x="145"/>
        <item x="102"/>
        <item x="86"/>
        <item x="283"/>
        <item x="363"/>
        <item x="332"/>
        <item x="274"/>
        <item x="265"/>
        <item x="109"/>
        <item x="122"/>
        <item x="147"/>
        <item x="367"/>
        <item x="339"/>
        <item x="58"/>
        <item x="404"/>
        <item x="306"/>
        <item x="296"/>
        <item x="161"/>
        <item x="118"/>
        <item x="205"/>
        <item x="165"/>
        <item x="190"/>
        <item x="359"/>
        <item x="415"/>
        <item x="193"/>
        <item x="121"/>
        <item x="336"/>
        <item x="22"/>
        <item x="264"/>
        <item x="181"/>
        <item x="287"/>
        <item x="156"/>
        <item x="203"/>
        <item x="83"/>
        <item x="285"/>
        <item x="358"/>
        <item x="352"/>
        <item x="152"/>
        <item x="96"/>
        <item x="7"/>
        <item x="261"/>
        <item x="286"/>
        <item x="77"/>
        <item x="246"/>
        <item x="192"/>
        <item x="33"/>
        <item x="12"/>
        <item x="410"/>
        <item x="284"/>
        <item x="337"/>
        <item t="default"/>
      </items>
    </pivotField>
    <pivotField numFmtId="164" showAll="0"/>
    <pivotField dataField="1" numFmtId="164" showAll="0"/>
    <pivotField numFmtId="165" showAll="0"/>
  </pivotFields>
  <rowItems count="1">
    <i/>
  </rowItems>
  <colItems count="1">
    <i/>
  </colItems>
  <dataFields count="1">
    <dataField name="Sum of Gross Profit" fld="18" baseField="0" baseItem="0" numFmtId="166"/>
  </dataFields>
  <formats count="2">
    <format dxfId="73">
      <pivotArea outline="0" collapsedLevelsAreSubtotals="1" fieldPosition="0"/>
    </format>
    <format dxfId="7">
      <pivotArea dataOnly="0" labelOnly="1" outline="0" axis="axisValues" fieldPosition="0"/>
    </format>
  </formats>
  <pivotTableStyleInfo name="PivotStyleDark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6B1E569-D4F5-4E9F-9975-C20F422B1AC9}" name="TOTAL_ORDERS"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J3:J4" firstHeaderRow="1" firstDataRow="1" firstDataCol="0"/>
  <pivotFields count="20">
    <pivotField dataField="1" showAll="0"/>
    <pivotField numFmtId="14" showAll="0"/>
    <pivotField showAll="0"/>
    <pivotField showAll="0">
      <items count="3">
        <item x="0"/>
        <item x="1"/>
        <item t="default"/>
      </items>
    </pivotField>
    <pivotField showAll="0"/>
    <pivotField showAll="0"/>
    <pivotField showAll="0"/>
    <pivotField showAll="0">
      <items count="16">
        <item x="1"/>
        <item x="14"/>
        <item x="9"/>
        <item x="11"/>
        <item x="7"/>
        <item x="10"/>
        <item x="0"/>
        <item x="13"/>
        <item x="3"/>
        <item x="8"/>
        <item x="2"/>
        <item x="12"/>
        <item x="6"/>
        <item x="5"/>
        <item x="4"/>
        <item t="default"/>
      </items>
    </pivotField>
    <pivotField showAll="0"/>
    <pivotField showAll="0"/>
    <pivotField showAll="0">
      <items count="6">
        <item x="2"/>
        <item x="0"/>
        <item x="3"/>
        <item x="1"/>
        <item x="4"/>
        <item t="default"/>
      </items>
    </pivotField>
    <pivotField showAll="0"/>
    <pivotField showAll="0"/>
    <pivotField numFmtId="164" showAll="0"/>
    <pivotField numFmtId="9" showAll="0"/>
    <pivotField numFmtId="164" showAll="0"/>
    <pivotField numFmtId="164" showAll="0">
      <items count="423">
        <item x="278"/>
        <item x="351"/>
        <item x="307"/>
        <item x="257"/>
        <item x="402"/>
        <item x="64"/>
        <item x="128"/>
        <item x="248"/>
        <item x="177"/>
        <item x="26"/>
        <item x="361"/>
        <item x="231"/>
        <item x="251"/>
        <item x="360"/>
        <item x="28"/>
        <item x="47"/>
        <item x="366"/>
        <item x="104"/>
        <item x="228"/>
        <item x="321"/>
        <item x="163"/>
        <item x="89"/>
        <item x="197"/>
        <item x="297"/>
        <item x="326"/>
        <item x="316"/>
        <item x="247"/>
        <item x="206"/>
        <item x="191"/>
        <item x="72"/>
        <item x="9"/>
        <item x="87"/>
        <item x="169"/>
        <item x="276"/>
        <item x="324"/>
        <item x="59"/>
        <item x="76"/>
        <item x="394"/>
        <item x="342"/>
        <item x="21"/>
        <item x="151"/>
        <item x="63"/>
        <item x="66"/>
        <item x="226"/>
        <item x="304"/>
        <item x="179"/>
        <item x="420"/>
        <item x="43"/>
        <item x="356"/>
        <item x="52"/>
        <item x="349"/>
        <item x="245"/>
        <item x="110"/>
        <item x="95"/>
        <item x="272"/>
        <item x="199"/>
        <item x="174"/>
        <item x="129"/>
        <item x="300"/>
        <item x="120"/>
        <item x="160"/>
        <item x="23"/>
        <item x="275"/>
        <item x="409"/>
        <item x="382"/>
        <item x="391"/>
        <item x="243"/>
        <item x="313"/>
        <item x="408"/>
        <item x="407"/>
        <item x="220"/>
        <item x="202"/>
        <item x="347"/>
        <item x="127"/>
        <item x="135"/>
        <item x="417"/>
        <item x="353"/>
        <item x="325"/>
        <item x="108"/>
        <item x="27"/>
        <item x="49"/>
        <item x="216"/>
        <item x="392"/>
        <item x="139"/>
        <item x="399"/>
        <item x="364"/>
        <item x="93"/>
        <item x="137"/>
        <item x="312"/>
        <item x="101"/>
        <item x="418"/>
        <item x="229"/>
        <item x="302"/>
        <item x="16"/>
        <item x="416"/>
        <item x="396"/>
        <item x="267"/>
        <item x="78"/>
        <item x="42"/>
        <item x="2"/>
        <item x="260"/>
        <item x="318"/>
        <item x="311"/>
        <item x="173"/>
        <item x="254"/>
        <item x="81"/>
        <item x="155"/>
        <item x="48"/>
        <item x="269"/>
        <item x="308"/>
        <item x="292"/>
        <item x="412"/>
        <item x="227"/>
        <item x="421"/>
        <item x="328"/>
        <item x="62"/>
        <item x="189"/>
        <item x="362"/>
        <item x="41"/>
        <item x="338"/>
        <item x="368"/>
        <item x="124"/>
        <item x="136"/>
        <item x="38"/>
        <item x="14"/>
        <item x="310"/>
        <item x="385"/>
        <item x="250"/>
        <item x="291"/>
        <item x="215"/>
        <item x="217"/>
        <item x="159"/>
        <item x="25"/>
        <item x="282"/>
        <item x="341"/>
        <item x="411"/>
        <item x="46"/>
        <item x="92"/>
        <item x="134"/>
        <item x="301"/>
        <item x="200"/>
        <item x="244"/>
        <item x="168"/>
        <item x="183"/>
        <item x="123"/>
        <item x="273"/>
        <item x="45"/>
        <item x="344"/>
        <item x="186"/>
        <item x="69"/>
        <item x="256"/>
        <item x="397"/>
        <item x="271"/>
        <item x="230"/>
        <item x="305"/>
        <item x="249"/>
        <item x="162"/>
        <item x="103"/>
        <item x="18"/>
        <item x="414"/>
        <item x="335"/>
        <item x="91"/>
        <item x="40"/>
        <item x="240"/>
        <item x="365"/>
        <item x="57"/>
        <item x="235"/>
        <item x="369"/>
        <item x="331"/>
        <item x="298"/>
        <item x="259"/>
        <item x="315"/>
        <item x="384"/>
        <item x="6"/>
        <item x="143"/>
        <item x="236"/>
        <item x="70"/>
        <item x="238"/>
        <item x="140"/>
        <item x="164"/>
        <item x="157"/>
        <item x="182"/>
        <item x="281"/>
        <item x="172"/>
        <item x="405"/>
        <item x="241"/>
        <item x="126"/>
        <item x="56"/>
        <item x="370"/>
        <item x="125"/>
        <item x="393"/>
        <item x="373"/>
        <item x="237"/>
        <item x="80"/>
        <item x="234"/>
        <item x="148"/>
        <item x="105"/>
        <item x="5"/>
        <item x="293"/>
        <item x="242"/>
        <item x="54"/>
        <item x="195"/>
        <item x="317"/>
        <item x="400"/>
        <item x="74"/>
        <item x="8"/>
        <item x="253"/>
        <item x="17"/>
        <item x="44"/>
        <item x="67"/>
        <item x="386"/>
        <item x="0"/>
        <item x="355"/>
        <item x="252"/>
        <item x="223"/>
        <item x="388"/>
        <item x="211"/>
        <item x="149"/>
        <item x="413"/>
        <item x="1"/>
        <item x="188"/>
        <item x="114"/>
        <item x="289"/>
        <item x="153"/>
        <item x="144"/>
        <item x="263"/>
        <item x="131"/>
        <item x="262"/>
        <item x="111"/>
        <item x="34"/>
        <item x="233"/>
        <item x="212"/>
        <item x="35"/>
        <item x="419"/>
        <item x="303"/>
        <item x="142"/>
        <item x="346"/>
        <item x="354"/>
        <item x="374"/>
        <item x="167"/>
        <item x="15"/>
        <item x="345"/>
        <item x="379"/>
        <item x="224"/>
        <item x="61"/>
        <item x="53"/>
        <item x="194"/>
        <item x="50"/>
        <item x="219"/>
        <item x="10"/>
        <item x="175"/>
        <item x="88"/>
        <item x="377"/>
        <item x="201"/>
        <item x="36"/>
        <item x="115"/>
        <item x="85"/>
        <item x="141"/>
        <item x="218"/>
        <item x="266"/>
        <item x="29"/>
        <item x="20"/>
        <item x="258"/>
        <item x="24"/>
        <item x="314"/>
        <item x="4"/>
        <item x="277"/>
        <item x="176"/>
        <item x="75"/>
        <item x="138"/>
        <item x="158"/>
        <item x="322"/>
        <item x="268"/>
        <item x="222"/>
        <item x="389"/>
        <item x="187"/>
        <item x="319"/>
        <item x="371"/>
        <item x="350"/>
        <item x="60"/>
        <item x="398"/>
        <item x="280"/>
        <item x="210"/>
        <item x="383"/>
        <item x="320"/>
        <item x="130"/>
        <item x="403"/>
        <item x="171"/>
        <item x="178"/>
        <item x="37"/>
        <item x="39"/>
        <item x="327"/>
        <item x="119"/>
        <item x="208"/>
        <item x="170"/>
        <item x="290"/>
        <item x="146"/>
        <item x="55"/>
        <item x="372"/>
        <item x="11"/>
        <item x="99"/>
        <item x="73"/>
        <item x="133"/>
        <item x="117"/>
        <item x="381"/>
        <item x="294"/>
        <item x="204"/>
        <item x="184"/>
        <item x="334"/>
        <item x="82"/>
        <item x="387"/>
        <item x="295"/>
        <item x="348"/>
        <item x="68"/>
        <item x="51"/>
        <item x="340"/>
        <item x="330"/>
        <item x="406"/>
        <item x="214"/>
        <item x="113"/>
        <item x="395"/>
        <item x="150"/>
        <item x="154"/>
        <item x="79"/>
        <item x="106"/>
        <item x="323"/>
        <item x="376"/>
        <item x="185"/>
        <item x="84"/>
        <item x="32"/>
        <item x="255"/>
        <item x="3"/>
        <item x="279"/>
        <item x="107"/>
        <item x="309"/>
        <item x="97"/>
        <item x="196"/>
        <item x="380"/>
        <item x="343"/>
        <item x="375"/>
        <item x="112"/>
        <item x="166"/>
        <item x="401"/>
        <item x="198"/>
        <item x="65"/>
        <item x="31"/>
        <item x="225"/>
        <item x="378"/>
        <item x="357"/>
        <item x="180"/>
        <item x="329"/>
        <item x="90"/>
        <item x="94"/>
        <item x="221"/>
        <item x="209"/>
        <item x="30"/>
        <item x="390"/>
        <item x="100"/>
        <item x="288"/>
        <item x="213"/>
        <item x="98"/>
        <item x="207"/>
        <item x="270"/>
        <item x="239"/>
        <item x="116"/>
        <item x="71"/>
        <item x="333"/>
        <item x="299"/>
        <item x="232"/>
        <item x="19"/>
        <item x="13"/>
        <item x="132"/>
        <item x="145"/>
        <item x="102"/>
        <item x="86"/>
        <item x="283"/>
        <item x="363"/>
        <item x="332"/>
        <item x="274"/>
        <item x="265"/>
        <item x="109"/>
        <item x="122"/>
        <item x="147"/>
        <item x="367"/>
        <item x="339"/>
        <item x="58"/>
        <item x="404"/>
        <item x="306"/>
        <item x="296"/>
        <item x="161"/>
        <item x="118"/>
        <item x="205"/>
        <item x="165"/>
        <item x="190"/>
        <item x="359"/>
        <item x="415"/>
        <item x="193"/>
        <item x="121"/>
        <item x="336"/>
        <item x="22"/>
        <item x="264"/>
        <item x="181"/>
        <item x="287"/>
        <item x="156"/>
        <item x="203"/>
        <item x="83"/>
        <item x="285"/>
        <item x="358"/>
        <item x="352"/>
        <item x="152"/>
        <item x="96"/>
        <item x="7"/>
        <item x="261"/>
        <item x="286"/>
        <item x="77"/>
        <item x="246"/>
        <item x="192"/>
        <item x="33"/>
        <item x="12"/>
        <item x="410"/>
        <item x="284"/>
        <item x="337"/>
        <item t="default"/>
      </items>
    </pivotField>
    <pivotField numFmtId="164" showAll="0"/>
    <pivotField numFmtId="164" showAll="0"/>
    <pivotField numFmtId="165" showAll="0"/>
  </pivotFields>
  <rowItems count="1">
    <i/>
  </rowItems>
  <colItems count="1">
    <i/>
  </colItems>
  <dataFields count="1">
    <dataField name="Count of ID" fld="0" subtotal="count" baseField="0" baseItem="0"/>
  </dataFields>
  <formats count="1">
    <format dxfId="5">
      <pivotArea dataOnly="0" labelOnly="1" outline="0" axis="axisValues" fieldPosition="0"/>
    </format>
  </formats>
  <pivotTableStyleInfo name="PivotStyleDark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060949A-C5CB-4168-B589-2E82D8CD15DD}" name="COUNTY_WISE_MAP"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location ref="O8:P24" firstHeaderRow="1" firstDataRow="1" firstDataCol="1"/>
  <pivotFields count="20">
    <pivotField showAll="0"/>
    <pivotField numFmtId="14" showAll="0"/>
    <pivotField showAll="0"/>
    <pivotField showAll="0">
      <items count="3">
        <item x="0"/>
        <item x="1"/>
        <item t="default"/>
      </items>
    </pivotField>
    <pivotField showAll="0"/>
    <pivotField showAll="0">
      <items count="7">
        <item x="0"/>
        <item x="1"/>
        <item x="2"/>
        <item x="3"/>
        <item x="4"/>
        <item x="5"/>
        <item t="default"/>
      </items>
    </pivotField>
    <pivotField showAll="0"/>
    <pivotField axis="axisRow" showAll="0">
      <items count="16">
        <item x="1"/>
        <item x="14"/>
        <item x="9"/>
        <item x="11"/>
        <item x="7"/>
        <item x="10"/>
        <item x="0"/>
        <item x="13"/>
        <item x="3"/>
        <item x="8"/>
        <item x="2"/>
        <item x="12"/>
        <item x="6"/>
        <item x="5"/>
        <item x="4"/>
        <item t="default"/>
      </items>
    </pivotField>
    <pivotField showAll="0"/>
    <pivotField showAll="0"/>
    <pivotField showAll="0">
      <items count="6">
        <item x="2"/>
        <item x="0"/>
        <item x="3"/>
        <item x="1"/>
        <item x="4"/>
        <item t="default"/>
      </items>
    </pivotField>
    <pivotField showAll="0"/>
    <pivotField showAll="0"/>
    <pivotField numFmtId="164" showAll="0"/>
    <pivotField numFmtId="9" showAll="0"/>
    <pivotField numFmtId="164" showAll="0"/>
    <pivotField dataField="1" numFmtId="164" showAll="0">
      <items count="423">
        <item x="278"/>
        <item x="351"/>
        <item x="307"/>
        <item x="257"/>
        <item x="402"/>
        <item x="64"/>
        <item x="128"/>
        <item x="248"/>
        <item x="177"/>
        <item x="26"/>
        <item x="361"/>
        <item x="231"/>
        <item x="251"/>
        <item x="360"/>
        <item x="28"/>
        <item x="47"/>
        <item x="366"/>
        <item x="104"/>
        <item x="228"/>
        <item x="321"/>
        <item x="163"/>
        <item x="89"/>
        <item x="197"/>
        <item x="297"/>
        <item x="326"/>
        <item x="316"/>
        <item x="247"/>
        <item x="206"/>
        <item x="191"/>
        <item x="72"/>
        <item x="9"/>
        <item x="87"/>
        <item x="169"/>
        <item x="276"/>
        <item x="324"/>
        <item x="59"/>
        <item x="76"/>
        <item x="394"/>
        <item x="342"/>
        <item x="21"/>
        <item x="151"/>
        <item x="63"/>
        <item x="66"/>
        <item x="226"/>
        <item x="304"/>
        <item x="179"/>
        <item x="420"/>
        <item x="43"/>
        <item x="356"/>
        <item x="52"/>
        <item x="349"/>
        <item x="245"/>
        <item x="110"/>
        <item x="95"/>
        <item x="272"/>
        <item x="199"/>
        <item x="174"/>
        <item x="129"/>
        <item x="300"/>
        <item x="120"/>
        <item x="160"/>
        <item x="23"/>
        <item x="275"/>
        <item x="409"/>
        <item x="382"/>
        <item x="391"/>
        <item x="243"/>
        <item x="313"/>
        <item x="408"/>
        <item x="407"/>
        <item x="220"/>
        <item x="202"/>
        <item x="347"/>
        <item x="127"/>
        <item x="135"/>
        <item x="417"/>
        <item x="353"/>
        <item x="325"/>
        <item x="108"/>
        <item x="27"/>
        <item x="49"/>
        <item x="216"/>
        <item x="392"/>
        <item x="139"/>
        <item x="399"/>
        <item x="364"/>
        <item x="93"/>
        <item x="137"/>
        <item x="312"/>
        <item x="101"/>
        <item x="418"/>
        <item x="229"/>
        <item x="302"/>
        <item x="16"/>
        <item x="416"/>
        <item x="396"/>
        <item x="267"/>
        <item x="78"/>
        <item x="42"/>
        <item x="2"/>
        <item x="260"/>
        <item x="318"/>
        <item x="311"/>
        <item x="173"/>
        <item x="254"/>
        <item x="81"/>
        <item x="155"/>
        <item x="48"/>
        <item x="269"/>
        <item x="308"/>
        <item x="292"/>
        <item x="412"/>
        <item x="227"/>
        <item x="421"/>
        <item x="328"/>
        <item x="62"/>
        <item x="189"/>
        <item x="362"/>
        <item x="41"/>
        <item x="338"/>
        <item x="368"/>
        <item x="124"/>
        <item x="136"/>
        <item x="38"/>
        <item x="14"/>
        <item x="310"/>
        <item x="385"/>
        <item x="250"/>
        <item x="291"/>
        <item x="215"/>
        <item x="217"/>
        <item x="159"/>
        <item x="25"/>
        <item x="282"/>
        <item x="341"/>
        <item x="411"/>
        <item x="46"/>
        <item x="92"/>
        <item x="134"/>
        <item x="301"/>
        <item x="200"/>
        <item x="244"/>
        <item x="168"/>
        <item x="183"/>
        <item x="123"/>
        <item x="273"/>
        <item x="45"/>
        <item x="344"/>
        <item x="186"/>
        <item x="69"/>
        <item x="256"/>
        <item x="397"/>
        <item x="271"/>
        <item x="230"/>
        <item x="305"/>
        <item x="249"/>
        <item x="162"/>
        <item x="103"/>
        <item x="18"/>
        <item x="414"/>
        <item x="335"/>
        <item x="91"/>
        <item x="40"/>
        <item x="240"/>
        <item x="365"/>
        <item x="57"/>
        <item x="235"/>
        <item x="369"/>
        <item x="331"/>
        <item x="298"/>
        <item x="259"/>
        <item x="315"/>
        <item x="384"/>
        <item x="6"/>
        <item x="143"/>
        <item x="236"/>
        <item x="70"/>
        <item x="238"/>
        <item x="140"/>
        <item x="164"/>
        <item x="157"/>
        <item x="182"/>
        <item x="281"/>
        <item x="172"/>
        <item x="405"/>
        <item x="241"/>
        <item x="126"/>
        <item x="56"/>
        <item x="370"/>
        <item x="125"/>
        <item x="393"/>
        <item x="373"/>
        <item x="237"/>
        <item x="80"/>
        <item x="234"/>
        <item x="148"/>
        <item x="105"/>
        <item x="5"/>
        <item x="293"/>
        <item x="242"/>
        <item x="54"/>
        <item x="195"/>
        <item x="317"/>
        <item x="400"/>
        <item x="74"/>
        <item x="8"/>
        <item x="253"/>
        <item x="17"/>
        <item x="44"/>
        <item x="67"/>
        <item x="386"/>
        <item x="0"/>
        <item x="355"/>
        <item x="252"/>
        <item x="223"/>
        <item x="388"/>
        <item x="211"/>
        <item x="149"/>
        <item x="413"/>
        <item x="1"/>
        <item x="188"/>
        <item x="114"/>
        <item x="289"/>
        <item x="153"/>
        <item x="144"/>
        <item x="263"/>
        <item x="131"/>
        <item x="262"/>
        <item x="111"/>
        <item x="34"/>
        <item x="233"/>
        <item x="212"/>
        <item x="35"/>
        <item x="419"/>
        <item x="303"/>
        <item x="142"/>
        <item x="346"/>
        <item x="354"/>
        <item x="374"/>
        <item x="167"/>
        <item x="15"/>
        <item x="345"/>
        <item x="379"/>
        <item x="224"/>
        <item x="61"/>
        <item x="53"/>
        <item x="194"/>
        <item x="50"/>
        <item x="219"/>
        <item x="10"/>
        <item x="175"/>
        <item x="88"/>
        <item x="377"/>
        <item x="201"/>
        <item x="36"/>
        <item x="115"/>
        <item x="85"/>
        <item x="141"/>
        <item x="218"/>
        <item x="266"/>
        <item x="29"/>
        <item x="20"/>
        <item x="258"/>
        <item x="24"/>
        <item x="314"/>
        <item x="4"/>
        <item x="277"/>
        <item x="176"/>
        <item x="75"/>
        <item x="138"/>
        <item x="158"/>
        <item x="322"/>
        <item x="268"/>
        <item x="222"/>
        <item x="389"/>
        <item x="187"/>
        <item x="319"/>
        <item x="371"/>
        <item x="350"/>
        <item x="60"/>
        <item x="398"/>
        <item x="280"/>
        <item x="210"/>
        <item x="383"/>
        <item x="320"/>
        <item x="130"/>
        <item x="403"/>
        <item x="171"/>
        <item x="178"/>
        <item x="37"/>
        <item x="39"/>
        <item x="327"/>
        <item x="119"/>
        <item x="208"/>
        <item x="170"/>
        <item x="290"/>
        <item x="146"/>
        <item x="55"/>
        <item x="372"/>
        <item x="11"/>
        <item x="99"/>
        <item x="73"/>
        <item x="133"/>
        <item x="117"/>
        <item x="381"/>
        <item x="294"/>
        <item x="204"/>
        <item x="184"/>
        <item x="334"/>
        <item x="82"/>
        <item x="387"/>
        <item x="295"/>
        <item x="348"/>
        <item x="68"/>
        <item x="51"/>
        <item x="340"/>
        <item x="330"/>
        <item x="406"/>
        <item x="214"/>
        <item x="113"/>
        <item x="395"/>
        <item x="150"/>
        <item x="154"/>
        <item x="79"/>
        <item x="106"/>
        <item x="323"/>
        <item x="376"/>
        <item x="185"/>
        <item x="84"/>
        <item x="32"/>
        <item x="255"/>
        <item x="3"/>
        <item x="279"/>
        <item x="107"/>
        <item x="309"/>
        <item x="97"/>
        <item x="196"/>
        <item x="380"/>
        <item x="343"/>
        <item x="375"/>
        <item x="112"/>
        <item x="166"/>
        <item x="401"/>
        <item x="198"/>
        <item x="65"/>
        <item x="31"/>
        <item x="225"/>
        <item x="378"/>
        <item x="357"/>
        <item x="180"/>
        <item x="329"/>
        <item x="90"/>
        <item x="94"/>
        <item x="221"/>
        <item x="209"/>
        <item x="30"/>
        <item x="390"/>
        <item x="100"/>
        <item x="288"/>
        <item x="213"/>
        <item x="98"/>
        <item x="207"/>
        <item x="270"/>
        <item x="239"/>
        <item x="116"/>
        <item x="71"/>
        <item x="333"/>
        <item x="299"/>
        <item x="232"/>
        <item x="19"/>
        <item x="13"/>
        <item x="132"/>
        <item x="145"/>
        <item x="102"/>
        <item x="86"/>
        <item x="283"/>
        <item x="363"/>
        <item x="332"/>
        <item x="274"/>
        <item x="265"/>
        <item x="109"/>
        <item x="122"/>
        <item x="147"/>
        <item x="367"/>
        <item x="339"/>
        <item x="58"/>
        <item x="404"/>
        <item x="306"/>
        <item x="296"/>
        <item x="161"/>
        <item x="118"/>
        <item x="205"/>
        <item x="165"/>
        <item x="190"/>
        <item x="359"/>
        <item x="415"/>
        <item x="193"/>
        <item x="121"/>
        <item x="336"/>
        <item x="22"/>
        <item x="264"/>
        <item x="181"/>
        <item x="287"/>
        <item x="156"/>
        <item x="203"/>
        <item x="83"/>
        <item x="285"/>
        <item x="358"/>
        <item x="352"/>
        <item x="152"/>
        <item x="96"/>
        <item x="7"/>
        <item x="261"/>
        <item x="286"/>
        <item x="77"/>
        <item x="246"/>
        <item x="192"/>
        <item x="33"/>
        <item x="12"/>
        <item x="410"/>
        <item x="284"/>
        <item x="337"/>
        <item t="default"/>
      </items>
    </pivotField>
    <pivotField numFmtId="164" showAll="0"/>
    <pivotField numFmtId="164" showAll="0"/>
    <pivotField numFmtId="165" showAll="0"/>
  </pivotFields>
  <rowFields count="1">
    <field x="7"/>
  </rowFields>
  <rowItems count="16">
    <i>
      <x/>
    </i>
    <i>
      <x v="1"/>
    </i>
    <i>
      <x v="2"/>
    </i>
    <i>
      <x v="3"/>
    </i>
    <i>
      <x v="4"/>
    </i>
    <i>
      <x v="5"/>
    </i>
    <i>
      <x v="6"/>
    </i>
    <i>
      <x v="7"/>
    </i>
    <i>
      <x v="8"/>
    </i>
    <i>
      <x v="9"/>
    </i>
    <i>
      <x v="10"/>
    </i>
    <i>
      <x v="11"/>
    </i>
    <i>
      <x v="12"/>
    </i>
    <i>
      <x v="13"/>
    </i>
    <i>
      <x v="14"/>
    </i>
    <i t="grand">
      <x/>
    </i>
  </rowItems>
  <colItems count="1">
    <i/>
  </colItems>
  <dataFields count="1">
    <dataField name="TOTAL REVENUE" fld="16" baseField="5" baseItem="0"/>
  </dataFields>
  <formats count="18">
    <format dxfId="91">
      <pivotArea outline="0" collapsedLevelsAreSubtotals="1" fieldPosition="0"/>
    </format>
    <format dxfId="90">
      <pivotArea outline="0" collapsedLevelsAreSubtotals="1" fieldPosition="0"/>
    </format>
    <format dxfId="89">
      <pivotArea outline="0" collapsedLevelsAreSubtotals="1" fieldPosition="0"/>
    </format>
    <format dxfId="88">
      <pivotArea outline="0" collapsedLevelsAreSubtotals="1" fieldPosition="0"/>
    </format>
    <format dxfId="87">
      <pivotArea outline="0" collapsedLevelsAreSubtotals="1" fieldPosition="0"/>
    </format>
    <format dxfId="86">
      <pivotArea outline="0" collapsedLevelsAreSubtotals="1" fieldPosition="0"/>
    </format>
    <format dxfId="85">
      <pivotArea outline="0" collapsedLevelsAreSubtotals="1" fieldPosition="0"/>
    </format>
    <format dxfId="84">
      <pivotArea outline="0" collapsedLevelsAreSubtotals="1" fieldPosition="0"/>
    </format>
    <format dxfId="83">
      <pivotArea outline="0" collapsedLevelsAreSubtotals="1" fieldPosition="0"/>
    </format>
    <format dxfId="82">
      <pivotArea outline="0" collapsedLevelsAreSubtotals="1" fieldPosition="0"/>
    </format>
    <format dxfId="81">
      <pivotArea outline="0" collapsedLevelsAreSubtotals="1" fieldPosition="0"/>
    </format>
    <format dxfId="80">
      <pivotArea outline="0" collapsedLevelsAreSubtotals="1" fieldPosition="0"/>
    </format>
    <format dxfId="79">
      <pivotArea outline="0" collapsedLevelsAreSubtotals="1" fieldPosition="0"/>
    </format>
    <format dxfId="78">
      <pivotArea outline="0" collapsedLevelsAreSubtotals="1" fieldPosition="0"/>
    </format>
    <format dxfId="77">
      <pivotArea outline="0" collapsedLevelsAreSubtotals="1" fieldPosition="0"/>
    </format>
    <format dxfId="76">
      <pivotArea field="5" grandRow="1" outline="0" collapsedLevelsAreSubtotals="1">
        <references count="1">
          <reference field="4294967294" count="1" selected="0">
            <x v="0"/>
          </reference>
        </references>
      </pivotArea>
    </format>
    <format dxfId="75">
      <pivotArea grandRow="1" outline="0" collapsedLevelsAreSubtotals="1" fieldPosition="0"/>
    </format>
    <format dxfId="74">
      <pivotArea collapsedLevelsAreSubtotals="1" fieldPosition="0">
        <references count="1">
          <reference field="7" count="5">
            <x v="7"/>
            <x v="8"/>
            <x v="10"/>
            <x v="11"/>
            <x v="13"/>
          </reference>
        </references>
      </pivotArea>
    </format>
  </formats>
  <chartFormats count="4">
    <chartFormat chart="1" format="2"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Medium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20887F9-4C74-485B-9AC9-84A63D0AA8FB}" name="TOTAL_UNIT_SOLD"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H3:H4" firstHeaderRow="1" firstDataRow="1" firstDataCol="0"/>
  <pivotFields count="20">
    <pivotField showAll="0"/>
    <pivotField numFmtId="14" showAll="0"/>
    <pivotField showAll="0"/>
    <pivotField showAll="0">
      <items count="3">
        <item x="0"/>
        <item x="1"/>
        <item t="default"/>
      </items>
    </pivotField>
    <pivotField showAll="0"/>
    <pivotField showAll="0"/>
    <pivotField showAll="0"/>
    <pivotField showAll="0">
      <items count="16">
        <item x="1"/>
        <item x="14"/>
        <item x="9"/>
        <item x="11"/>
        <item x="7"/>
        <item x="10"/>
        <item x="0"/>
        <item x="13"/>
        <item x="3"/>
        <item x="8"/>
        <item x="2"/>
        <item x="12"/>
        <item x="6"/>
        <item x="5"/>
        <item x="4"/>
        <item t="default"/>
      </items>
    </pivotField>
    <pivotField showAll="0"/>
    <pivotField showAll="0"/>
    <pivotField showAll="0">
      <items count="6">
        <item x="2"/>
        <item x="0"/>
        <item x="3"/>
        <item x="1"/>
        <item x="4"/>
        <item t="default"/>
      </items>
    </pivotField>
    <pivotField showAll="0"/>
    <pivotField dataField="1" showAll="0"/>
    <pivotField numFmtId="164" showAll="0"/>
    <pivotField numFmtId="9" showAll="0"/>
    <pivotField numFmtId="164" showAll="0"/>
    <pivotField numFmtId="164" showAll="0">
      <items count="423">
        <item x="278"/>
        <item x="351"/>
        <item x="307"/>
        <item x="257"/>
        <item x="402"/>
        <item x="64"/>
        <item x="128"/>
        <item x="248"/>
        <item x="177"/>
        <item x="26"/>
        <item x="361"/>
        <item x="231"/>
        <item x="251"/>
        <item x="360"/>
        <item x="28"/>
        <item x="47"/>
        <item x="366"/>
        <item x="104"/>
        <item x="228"/>
        <item x="321"/>
        <item x="163"/>
        <item x="89"/>
        <item x="197"/>
        <item x="297"/>
        <item x="326"/>
        <item x="316"/>
        <item x="247"/>
        <item x="206"/>
        <item x="191"/>
        <item x="72"/>
        <item x="9"/>
        <item x="87"/>
        <item x="169"/>
        <item x="276"/>
        <item x="324"/>
        <item x="59"/>
        <item x="76"/>
        <item x="394"/>
        <item x="342"/>
        <item x="21"/>
        <item x="151"/>
        <item x="63"/>
        <item x="66"/>
        <item x="226"/>
        <item x="304"/>
        <item x="179"/>
        <item x="420"/>
        <item x="43"/>
        <item x="356"/>
        <item x="52"/>
        <item x="349"/>
        <item x="245"/>
        <item x="110"/>
        <item x="95"/>
        <item x="272"/>
        <item x="199"/>
        <item x="174"/>
        <item x="129"/>
        <item x="300"/>
        <item x="120"/>
        <item x="160"/>
        <item x="23"/>
        <item x="275"/>
        <item x="409"/>
        <item x="382"/>
        <item x="391"/>
        <item x="243"/>
        <item x="313"/>
        <item x="408"/>
        <item x="407"/>
        <item x="220"/>
        <item x="202"/>
        <item x="347"/>
        <item x="127"/>
        <item x="135"/>
        <item x="417"/>
        <item x="353"/>
        <item x="325"/>
        <item x="108"/>
        <item x="27"/>
        <item x="49"/>
        <item x="216"/>
        <item x="392"/>
        <item x="139"/>
        <item x="399"/>
        <item x="364"/>
        <item x="93"/>
        <item x="137"/>
        <item x="312"/>
        <item x="101"/>
        <item x="418"/>
        <item x="229"/>
        <item x="302"/>
        <item x="16"/>
        <item x="416"/>
        <item x="396"/>
        <item x="267"/>
        <item x="78"/>
        <item x="42"/>
        <item x="2"/>
        <item x="260"/>
        <item x="318"/>
        <item x="311"/>
        <item x="173"/>
        <item x="254"/>
        <item x="81"/>
        <item x="155"/>
        <item x="48"/>
        <item x="269"/>
        <item x="308"/>
        <item x="292"/>
        <item x="412"/>
        <item x="227"/>
        <item x="421"/>
        <item x="328"/>
        <item x="62"/>
        <item x="189"/>
        <item x="362"/>
        <item x="41"/>
        <item x="338"/>
        <item x="368"/>
        <item x="124"/>
        <item x="136"/>
        <item x="38"/>
        <item x="14"/>
        <item x="310"/>
        <item x="385"/>
        <item x="250"/>
        <item x="291"/>
        <item x="215"/>
        <item x="217"/>
        <item x="159"/>
        <item x="25"/>
        <item x="282"/>
        <item x="341"/>
        <item x="411"/>
        <item x="46"/>
        <item x="92"/>
        <item x="134"/>
        <item x="301"/>
        <item x="200"/>
        <item x="244"/>
        <item x="168"/>
        <item x="183"/>
        <item x="123"/>
        <item x="273"/>
        <item x="45"/>
        <item x="344"/>
        <item x="186"/>
        <item x="69"/>
        <item x="256"/>
        <item x="397"/>
        <item x="271"/>
        <item x="230"/>
        <item x="305"/>
        <item x="249"/>
        <item x="162"/>
        <item x="103"/>
        <item x="18"/>
        <item x="414"/>
        <item x="335"/>
        <item x="91"/>
        <item x="40"/>
        <item x="240"/>
        <item x="365"/>
        <item x="57"/>
        <item x="235"/>
        <item x="369"/>
        <item x="331"/>
        <item x="298"/>
        <item x="259"/>
        <item x="315"/>
        <item x="384"/>
        <item x="6"/>
        <item x="143"/>
        <item x="236"/>
        <item x="70"/>
        <item x="238"/>
        <item x="140"/>
        <item x="164"/>
        <item x="157"/>
        <item x="182"/>
        <item x="281"/>
        <item x="172"/>
        <item x="405"/>
        <item x="241"/>
        <item x="126"/>
        <item x="56"/>
        <item x="370"/>
        <item x="125"/>
        <item x="393"/>
        <item x="373"/>
        <item x="237"/>
        <item x="80"/>
        <item x="234"/>
        <item x="148"/>
        <item x="105"/>
        <item x="5"/>
        <item x="293"/>
        <item x="242"/>
        <item x="54"/>
        <item x="195"/>
        <item x="317"/>
        <item x="400"/>
        <item x="74"/>
        <item x="8"/>
        <item x="253"/>
        <item x="17"/>
        <item x="44"/>
        <item x="67"/>
        <item x="386"/>
        <item x="0"/>
        <item x="355"/>
        <item x="252"/>
        <item x="223"/>
        <item x="388"/>
        <item x="211"/>
        <item x="149"/>
        <item x="413"/>
        <item x="1"/>
        <item x="188"/>
        <item x="114"/>
        <item x="289"/>
        <item x="153"/>
        <item x="144"/>
        <item x="263"/>
        <item x="131"/>
        <item x="262"/>
        <item x="111"/>
        <item x="34"/>
        <item x="233"/>
        <item x="212"/>
        <item x="35"/>
        <item x="419"/>
        <item x="303"/>
        <item x="142"/>
        <item x="346"/>
        <item x="354"/>
        <item x="374"/>
        <item x="167"/>
        <item x="15"/>
        <item x="345"/>
        <item x="379"/>
        <item x="224"/>
        <item x="61"/>
        <item x="53"/>
        <item x="194"/>
        <item x="50"/>
        <item x="219"/>
        <item x="10"/>
        <item x="175"/>
        <item x="88"/>
        <item x="377"/>
        <item x="201"/>
        <item x="36"/>
        <item x="115"/>
        <item x="85"/>
        <item x="141"/>
        <item x="218"/>
        <item x="266"/>
        <item x="29"/>
        <item x="20"/>
        <item x="258"/>
        <item x="24"/>
        <item x="314"/>
        <item x="4"/>
        <item x="277"/>
        <item x="176"/>
        <item x="75"/>
        <item x="138"/>
        <item x="158"/>
        <item x="322"/>
        <item x="268"/>
        <item x="222"/>
        <item x="389"/>
        <item x="187"/>
        <item x="319"/>
        <item x="371"/>
        <item x="350"/>
        <item x="60"/>
        <item x="398"/>
        <item x="280"/>
        <item x="210"/>
        <item x="383"/>
        <item x="320"/>
        <item x="130"/>
        <item x="403"/>
        <item x="171"/>
        <item x="178"/>
        <item x="37"/>
        <item x="39"/>
        <item x="327"/>
        <item x="119"/>
        <item x="208"/>
        <item x="170"/>
        <item x="290"/>
        <item x="146"/>
        <item x="55"/>
        <item x="372"/>
        <item x="11"/>
        <item x="99"/>
        <item x="73"/>
        <item x="133"/>
        <item x="117"/>
        <item x="381"/>
        <item x="294"/>
        <item x="204"/>
        <item x="184"/>
        <item x="334"/>
        <item x="82"/>
        <item x="387"/>
        <item x="295"/>
        <item x="348"/>
        <item x="68"/>
        <item x="51"/>
        <item x="340"/>
        <item x="330"/>
        <item x="406"/>
        <item x="214"/>
        <item x="113"/>
        <item x="395"/>
        <item x="150"/>
        <item x="154"/>
        <item x="79"/>
        <item x="106"/>
        <item x="323"/>
        <item x="376"/>
        <item x="185"/>
        <item x="84"/>
        <item x="32"/>
        <item x="255"/>
        <item x="3"/>
        <item x="279"/>
        <item x="107"/>
        <item x="309"/>
        <item x="97"/>
        <item x="196"/>
        <item x="380"/>
        <item x="343"/>
        <item x="375"/>
        <item x="112"/>
        <item x="166"/>
        <item x="401"/>
        <item x="198"/>
        <item x="65"/>
        <item x="31"/>
        <item x="225"/>
        <item x="378"/>
        <item x="357"/>
        <item x="180"/>
        <item x="329"/>
        <item x="90"/>
        <item x="94"/>
        <item x="221"/>
        <item x="209"/>
        <item x="30"/>
        <item x="390"/>
        <item x="100"/>
        <item x="288"/>
        <item x="213"/>
        <item x="98"/>
        <item x="207"/>
        <item x="270"/>
        <item x="239"/>
        <item x="116"/>
        <item x="71"/>
        <item x="333"/>
        <item x="299"/>
        <item x="232"/>
        <item x="19"/>
        <item x="13"/>
        <item x="132"/>
        <item x="145"/>
        <item x="102"/>
        <item x="86"/>
        <item x="283"/>
        <item x="363"/>
        <item x="332"/>
        <item x="274"/>
        <item x="265"/>
        <item x="109"/>
        <item x="122"/>
        <item x="147"/>
        <item x="367"/>
        <item x="339"/>
        <item x="58"/>
        <item x="404"/>
        <item x="306"/>
        <item x="296"/>
        <item x="161"/>
        <item x="118"/>
        <item x="205"/>
        <item x="165"/>
        <item x="190"/>
        <item x="359"/>
        <item x="415"/>
        <item x="193"/>
        <item x="121"/>
        <item x="336"/>
        <item x="22"/>
        <item x="264"/>
        <item x="181"/>
        <item x="287"/>
        <item x="156"/>
        <item x="203"/>
        <item x="83"/>
        <item x="285"/>
        <item x="358"/>
        <item x="352"/>
        <item x="152"/>
        <item x="96"/>
        <item x="7"/>
        <item x="261"/>
        <item x="286"/>
        <item x="77"/>
        <item x="246"/>
        <item x="192"/>
        <item x="33"/>
        <item x="12"/>
        <item x="410"/>
        <item x="284"/>
        <item x="337"/>
        <item t="default"/>
      </items>
    </pivotField>
    <pivotField numFmtId="164" showAll="0"/>
    <pivotField numFmtId="164" showAll="0"/>
    <pivotField numFmtId="165" showAll="0"/>
  </pivotFields>
  <rowItems count="1">
    <i/>
  </rowItems>
  <colItems count="1">
    <i/>
  </colItems>
  <dataFields count="1">
    <dataField name="Sum of Units Sold" fld="12" baseField="0" baseItem="0"/>
  </dataFields>
  <formats count="1">
    <format dxfId="3">
      <pivotArea dataOnly="0" labelOnly="1" outline="0" axis="axisValues" fieldPosition="0"/>
    </format>
  </formats>
  <pivotTableStyleInfo name="PivotStyleDark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65701F2-0920-4640-BCF0-4987613413C8}" name="COGS"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L3:L4" firstHeaderRow="1" firstDataRow="1" firstDataCol="0"/>
  <pivotFields count="20">
    <pivotField showAll="0"/>
    <pivotField numFmtId="14" showAll="0"/>
    <pivotField showAll="0"/>
    <pivotField showAll="0">
      <items count="3">
        <item x="0"/>
        <item x="1"/>
        <item t="default"/>
      </items>
    </pivotField>
    <pivotField showAll="0"/>
    <pivotField showAll="0"/>
    <pivotField showAll="0"/>
    <pivotField showAll="0">
      <items count="16">
        <item x="1"/>
        <item x="14"/>
        <item x="9"/>
        <item x="11"/>
        <item x="7"/>
        <item x="10"/>
        <item x="0"/>
        <item x="13"/>
        <item x="3"/>
        <item x="8"/>
        <item x="2"/>
        <item x="12"/>
        <item x="6"/>
        <item x="5"/>
        <item x="4"/>
        <item t="default"/>
      </items>
    </pivotField>
    <pivotField showAll="0"/>
    <pivotField showAll="0"/>
    <pivotField showAll="0">
      <items count="6">
        <item x="2"/>
        <item x="0"/>
        <item x="3"/>
        <item x="1"/>
        <item x="4"/>
        <item t="default"/>
      </items>
    </pivotField>
    <pivotField showAll="0"/>
    <pivotField showAll="0"/>
    <pivotField numFmtId="164" showAll="0"/>
    <pivotField numFmtId="9" showAll="0"/>
    <pivotField numFmtId="164" showAll="0"/>
    <pivotField numFmtId="164" showAll="0">
      <items count="423">
        <item x="278"/>
        <item x="351"/>
        <item x="307"/>
        <item x="257"/>
        <item x="402"/>
        <item x="64"/>
        <item x="128"/>
        <item x="248"/>
        <item x="177"/>
        <item x="26"/>
        <item x="361"/>
        <item x="231"/>
        <item x="251"/>
        <item x="360"/>
        <item x="28"/>
        <item x="47"/>
        <item x="366"/>
        <item x="104"/>
        <item x="228"/>
        <item x="321"/>
        <item x="163"/>
        <item x="89"/>
        <item x="197"/>
        <item x="297"/>
        <item x="326"/>
        <item x="316"/>
        <item x="247"/>
        <item x="206"/>
        <item x="191"/>
        <item x="72"/>
        <item x="9"/>
        <item x="87"/>
        <item x="169"/>
        <item x="276"/>
        <item x="324"/>
        <item x="59"/>
        <item x="76"/>
        <item x="394"/>
        <item x="342"/>
        <item x="21"/>
        <item x="151"/>
        <item x="63"/>
        <item x="66"/>
        <item x="226"/>
        <item x="304"/>
        <item x="179"/>
        <item x="420"/>
        <item x="43"/>
        <item x="356"/>
        <item x="52"/>
        <item x="349"/>
        <item x="245"/>
        <item x="110"/>
        <item x="95"/>
        <item x="272"/>
        <item x="199"/>
        <item x="174"/>
        <item x="129"/>
        <item x="300"/>
        <item x="120"/>
        <item x="160"/>
        <item x="23"/>
        <item x="275"/>
        <item x="409"/>
        <item x="382"/>
        <item x="391"/>
        <item x="243"/>
        <item x="313"/>
        <item x="408"/>
        <item x="407"/>
        <item x="220"/>
        <item x="202"/>
        <item x="347"/>
        <item x="127"/>
        <item x="135"/>
        <item x="417"/>
        <item x="353"/>
        <item x="325"/>
        <item x="108"/>
        <item x="27"/>
        <item x="49"/>
        <item x="216"/>
        <item x="392"/>
        <item x="139"/>
        <item x="399"/>
        <item x="364"/>
        <item x="93"/>
        <item x="137"/>
        <item x="312"/>
        <item x="101"/>
        <item x="418"/>
        <item x="229"/>
        <item x="302"/>
        <item x="16"/>
        <item x="416"/>
        <item x="396"/>
        <item x="267"/>
        <item x="78"/>
        <item x="42"/>
        <item x="2"/>
        <item x="260"/>
        <item x="318"/>
        <item x="311"/>
        <item x="173"/>
        <item x="254"/>
        <item x="81"/>
        <item x="155"/>
        <item x="48"/>
        <item x="269"/>
        <item x="308"/>
        <item x="292"/>
        <item x="412"/>
        <item x="227"/>
        <item x="421"/>
        <item x="328"/>
        <item x="62"/>
        <item x="189"/>
        <item x="362"/>
        <item x="41"/>
        <item x="338"/>
        <item x="368"/>
        <item x="124"/>
        <item x="136"/>
        <item x="38"/>
        <item x="14"/>
        <item x="310"/>
        <item x="385"/>
        <item x="250"/>
        <item x="291"/>
        <item x="215"/>
        <item x="217"/>
        <item x="159"/>
        <item x="25"/>
        <item x="282"/>
        <item x="341"/>
        <item x="411"/>
        <item x="46"/>
        <item x="92"/>
        <item x="134"/>
        <item x="301"/>
        <item x="200"/>
        <item x="244"/>
        <item x="168"/>
        <item x="183"/>
        <item x="123"/>
        <item x="273"/>
        <item x="45"/>
        <item x="344"/>
        <item x="186"/>
        <item x="69"/>
        <item x="256"/>
        <item x="397"/>
        <item x="271"/>
        <item x="230"/>
        <item x="305"/>
        <item x="249"/>
        <item x="162"/>
        <item x="103"/>
        <item x="18"/>
        <item x="414"/>
        <item x="335"/>
        <item x="91"/>
        <item x="40"/>
        <item x="240"/>
        <item x="365"/>
        <item x="57"/>
        <item x="235"/>
        <item x="369"/>
        <item x="331"/>
        <item x="298"/>
        <item x="259"/>
        <item x="315"/>
        <item x="384"/>
        <item x="6"/>
        <item x="143"/>
        <item x="236"/>
        <item x="70"/>
        <item x="238"/>
        <item x="140"/>
        <item x="164"/>
        <item x="157"/>
        <item x="182"/>
        <item x="281"/>
        <item x="172"/>
        <item x="405"/>
        <item x="241"/>
        <item x="126"/>
        <item x="56"/>
        <item x="370"/>
        <item x="125"/>
        <item x="393"/>
        <item x="373"/>
        <item x="237"/>
        <item x="80"/>
        <item x="234"/>
        <item x="148"/>
        <item x="105"/>
        <item x="5"/>
        <item x="293"/>
        <item x="242"/>
        <item x="54"/>
        <item x="195"/>
        <item x="317"/>
        <item x="400"/>
        <item x="74"/>
        <item x="8"/>
        <item x="253"/>
        <item x="17"/>
        <item x="44"/>
        <item x="67"/>
        <item x="386"/>
        <item x="0"/>
        <item x="355"/>
        <item x="252"/>
        <item x="223"/>
        <item x="388"/>
        <item x="211"/>
        <item x="149"/>
        <item x="413"/>
        <item x="1"/>
        <item x="188"/>
        <item x="114"/>
        <item x="289"/>
        <item x="153"/>
        <item x="144"/>
        <item x="263"/>
        <item x="131"/>
        <item x="262"/>
        <item x="111"/>
        <item x="34"/>
        <item x="233"/>
        <item x="212"/>
        <item x="35"/>
        <item x="419"/>
        <item x="303"/>
        <item x="142"/>
        <item x="346"/>
        <item x="354"/>
        <item x="374"/>
        <item x="167"/>
        <item x="15"/>
        <item x="345"/>
        <item x="379"/>
        <item x="224"/>
        <item x="61"/>
        <item x="53"/>
        <item x="194"/>
        <item x="50"/>
        <item x="219"/>
        <item x="10"/>
        <item x="175"/>
        <item x="88"/>
        <item x="377"/>
        <item x="201"/>
        <item x="36"/>
        <item x="115"/>
        <item x="85"/>
        <item x="141"/>
        <item x="218"/>
        <item x="266"/>
        <item x="29"/>
        <item x="20"/>
        <item x="258"/>
        <item x="24"/>
        <item x="314"/>
        <item x="4"/>
        <item x="277"/>
        <item x="176"/>
        <item x="75"/>
        <item x="138"/>
        <item x="158"/>
        <item x="322"/>
        <item x="268"/>
        <item x="222"/>
        <item x="389"/>
        <item x="187"/>
        <item x="319"/>
        <item x="371"/>
        <item x="350"/>
        <item x="60"/>
        <item x="398"/>
        <item x="280"/>
        <item x="210"/>
        <item x="383"/>
        <item x="320"/>
        <item x="130"/>
        <item x="403"/>
        <item x="171"/>
        <item x="178"/>
        <item x="37"/>
        <item x="39"/>
        <item x="327"/>
        <item x="119"/>
        <item x="208"/>
        <item x="170"/>
        <item x="290"/>
        <item x="146"/>
        <item x="55"/>
        <item x="372"/>
        <item x="11"/>
        <item x="99"/>
        <item x="73"/>
        <item x="133"/>
        <item x="117"/>
        <item x="381"/>
        <item x="294"/>
        <item x="204"/>
        <item x="184"/>
        <item x="334"/>
        <item x="82"/>
        <item x="387"/>
        <item x="295"/>
        <item x="348"/>
        <item x="68"/>
        <item x="51"/>
        <item x="340"/>
        <item x="330"/>
        <item x="406"/>
        <item x="214"/>
        <item x="113"/>
        <item x="395"/>
        <item x="150"/>
        <item x="154"/>
        <item x="79"/>
        <item x="106"/>
        <item x="323"/>
        <item x="376"/>
        <item x="185"/>
        <item x="84"/>
        <item x="32"/>
        <item x="255"/>
        <item x="3"/>
        <item x="279"/>
        <item x="107"/>
        <item x="309"/>
        <item x="97"/>
        <item x="196"/>
        <item x="380"/>
        <item x="343"/>
        <item x="375"/>
        <item x="112"/>
        <item x="166"/>
        <item x="401"/>
        <item x="198"/>
        <item x="65"/>
        <item x="31"/>
        <item x="225"/>
        <item x="378"/>
        <item x="357"/>
        <item x="180"/>
        <item x="329"/>
        <item x="90"/>
        <item x="94"/>
        <item x="221"/>
        <item x="209"/>
        <item x="30"/>
        <item x="390"/>
        <item x="100"/>
        <item x="288"/>
        <item x="213"/>
        <item x="98"/>
        <item x="207"/>
        <item x="270"/>
        <item x="239"/>
        <item x="116"/>
        <item x="71"/>
        <item x="333"/>
        <item x="299"/>
        <item x="232"/>
        <item x="19"/>
        <item x="13"/>
        <item x="132"/>
        <item x="145"/>
        <item x="102"/>
        <item x="86"/>
        <item x="283"/>
        <item x="363"/>
        <item x="332"/>
        <item x="274"/>
        <item x="265"/>
        <item x="109"/>
        <item x="122"/>
        <item x="147"/>
        <item x="367"/>
        <item x="339"/>
        <item x="58"/>
        <item x="404"/>
        <item x="306"/>
        <item x="296"/>
        <item x="161"/>
        <item x="118"/>
        <item x="205"/>
        <item x="165"/>
        <item x="190"/>
        <item x="359"/>
        <item x="415"/>
        <item x="193"/>
        <item x="121"/>
        <item x="336"/>
        <item x="22"/>
        <item x="264"/>
        <item x="181"/>
        <item x="287"/>
        <item x="156"/>
        <item x="203"/>
        <item x="83"/>
        <item x="285"/>
        <item x="358"/>
        <item x="352"/>
        <item x="152"/>
        <item x="96"/>
        <item x="7"/>
        <item x="261"/>
        <item x="286"/>
        <item x="77"/>
        <item x="246"/>
        <item x="192"/>
        <item x="33"/>
        <item x="12"/>
        <item x="410"/>
        <item x="284"/>
        <item x="337"/>
        <item t="default"/>
      </items>
    </pivotField>
    <pivotField dataField="1" numFmtId="164" showAll="0"/>
    <pivotField numFmtId="164" showAll="0"/>
    <pivotField numFmtId="165" showAll="0"/>
  </pivotFields>
  <rowItems count="1">
    <i/>
  </rowItems>
  <colItems count="1">
    <i/>
  </colItems>
  <dataFields count="1">
    <dataField name="Sum of COGS" fld="17" baseField="0" baseItem="0"/>
  </dataFields>
  <formats count="16">
    <format dxfId="106">
      <pivotArea outline="0" collapsedLevelsAreSubtotals="1" fieldPosition="0"/>
    </format>
    <format dxfId="105">
      <pivotArea outline="0" collapsedLevelsAreSubtotals="1" fieldPosition="0"/>
    </format>
    <format dxfId="104">
      <pivotArea outline="0" collapsedLevelsAreSubtotals="1" fieldPosition="0"/>
    </format>
    <format dxfId="103">
      <pivotArea outline="0" collapsedLevelsAreSubtotals="1" fieldPosition="0"/>
    </format>
    <format dxfId="102">
      <pivotArea outline="0" collapsedLevelsAreSubtotals="1" fieldPosition="0"/>
    </format>
    <format dxfId="101">
      <pivotArea outline="0" collapsedLevelsAreSubtotals="1" fieldPosition="0"/>
    </format>
    <format dxfId="100">
      <pivotArea outline="0" collapsedLevelsAreSubtotals="1" fieldPosition="0"/>
    </format>
    <format dxfId="99">
      <pivotArea outline="0" collapsedLevelsAreSubtotals="1" fieldPosition="0"/>
    </format>
    <format dxfId="98">
      <pivotArea outline="0" collapsedLevelsAreSubtotals="1" fieldPosition="0"/>
    </format>
    <format dxfId="97">
      <pivotArea outline="0" collapsedLevelsAreSubtotals="1" fieldPosition="0"/>
    </format>
    <format dxfId="96">
      <pivotArea outline="0" collapsedLevelsAreSubtotals="1" fieldPosition="0"/>
    </format>
    <format dxfId="95">
      <pivotArea outline="0" collapsedLevelsAreSubtotals="1" fieldPosition="0"/>
    </format>
    <format dxfId="94">
      <pivotArea outline="0" collapsedLevelsAreSubtotals="1" fieldPosition="0"/>
    </format>
    <format dxfId="93">
      <pivotArea outline="0" collapsedLevelsAreSubtotals="1" fieldPosition="0"/>
    </format>
    <format dxfId="92">
      <pivotArea outline="0" collapsedLevelsAreSubtotals="1" fieldPosition="0"/>
    </format>
    <format dxfId="1">
      <pivotArea dataOnly="0" labelOnly="1" outline="0" axis="axisValues" fieldPosition="0"/>
    </format>
  </formats>
  <pivotTableStyleInfo name="PivotStyleDark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774DD43-F00A-432D-B963-5339141CB5EF}" name="REGION_WISE_REVENUE"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4">
  <location ref="L8:M13" firstHeaderRow="1" firstDataRow="1" firstDataCol="1"/>
  <pivotFields count="20">
    <pivotField showAll="0"/>
    <pivotField numFmtId="14" showAll="0"/>
    <pivotField showAll="0"/>
    <pivotField showAll="0">
      <items count="3">
        <item x="0"/>
        <item x="1"/>
        <item t="default"/>
      </items>
    </pivotField>
    <pivotField showAll="0"/>
    <pivotField showAll="0">
      <items count="7">
        <item x="0"/>
        <item x="1"/>
        <item x="2"/>
        <item x="3"/>
        <item x="4"/>
        <item x="5"/>
        <item t="default"/>
      </items>
    </pivotField>
    <pivotField axis="axisRow" showAll="0">
      <items count="5">
        <item x="0"/>
        <item x="3"/>
        <item x="1"/>
        <item x="2"/>
        <item t="default"/>
      </items>
    </pivotField>
    <pivotField showAll="0" measureFilter="1">
      <items count="16">
        <item x="1"/>
        <item x="14"/>
        <item x="9"/>
        <item x="11"/>
        <item x="7"/>
        <item x="10"/>
        <item x="0"/>
        <item x="13"/>
        <item x="3"/>
        <item x="8"/>
        <item x="2"/>
        <item x="12"/>
        <item x="6"/>
        <item x="5"/>
        <item x="4"/>
        <item t="default"/>
      </items>
    </pivotField>
    <pivotField showAll="0">
      <items count="5">
        <item x="2"/>
        <item x="0"/>
        <item x="1"/>
        <item x="3"/>
        <item t="default"/>
      </items>
    </pivotField>
    <pivotField showAll="0"/>
    <pivotField showAll="0">
      <items count="6">
        <item x="2"/>
        <item x="0"/>
        <item x="3"/>
        <item x="1"/>
        <item x="4"/>
        <item t="default"/>
      </items>
    </pivotField>
    <pivotField showAll="0"/>
    <pivotField showAll="0"/>
    <pivotField numFmtId="164" showAll="0"/>
    <pivotField numFmtId="9" showAll="0"/>
    <pivotField numFmtId="164" showAll="0"/>
    <pivotField dataField="1" numFmtId="164" showAll="0">
      <items count="423">
        <item x="278"/>
        <item x="351"/>
        <item x="307"/>
        <item x="257"/>
        <item x="402"/>
        <item x="64"/>
        <item x="128"/>
        <item x="248"/>
        <item x="177"/>
        <item x="26"/>
        <item x="361"/>
        <item x="231"/>
        <item x="251"/>
        <item x="360"/>
        <item x="28"/>
        <item x="47"/>
        <item x="366"/>
        <item x="104"/>
        <item x="228"/>
        <item x="321"/>
        <item x="163"/>
        <item x="89"/>
        <item x="197"/>
        <item x="297"/>
        <item x="326"/>
        <item x="316"/>
        <item x="247"/>
        <item x="206"/>
        <item x="191"/>
        <item x="72"/>
        <item x="9"/>
        <item x="87"/>
        <item x="169"/>
        <item x="276"/>
        <item x="324"/>
        <item x="59"/>
        <item x="76"/>
        <item x="394"/>
        <item x="342"/>
        <item x="21"/>
        <item x="151"/>
        <item x="63"/>
        <item x="66"/>
        <item x="226"/>
        <item x="304"/>
        <item x="179"/>
        <item x="420"/>
        <item x="43"/>
        <item x="356"/>
        <item x="52"/>
        <item x="349"/>
        <item x="245"/>
        <item x="110"/>
        <item x="95"/>
        <item x="272"/>
        <item x="199"/>
        <item x="174"/>
        <item x="129"/>
        <item x="300"/>
        <item x="120"/>
        <item x="160"/>
        <item x="23"/>
        <item x="275"/>
        <item x="409"/>
        <item x="382"/>
        <item x="391"/>
        <item x="243"/>
        <item x="313"/>
        <item x="408"/>
        <item x="407"/>
        <item x="220"/>
        <item x="202"/>
        <item x="347"/>
        <item x="127"/>
        <item x="135"/>
        <item x="417"/>
        <item x="353"/>
        <item x="325"/>
        <item x="108"/>
        <item x="27"/>
        <item x="49"/>
        <item x="216"/>
        <item x="392"/>
        <item x="139"/>
        <item x="399"/>
        <item x="364"/>
        <item x="93"/>
        <item x="137"/>
        <item x="312"/>
        <item x="101"/>
        <item x="418"/>
        <item x="229"/>
        <item x="302"/>
        <item x="16"/>
        <item x="416"/>
        <item x="396"/>
        <item x="267"/>
        <item x="78"/>
        <item x="42"/>
        <item x="2"/>
        <item x="260"/>
        <item x="318"/>
        <item x="311"/>
        <item x="173"/>
        <item x="254"/>
        <item x="81"/>
        <item x="155"/>
        <item x="48"/>
        <item x="269"/>
        <item x="308"/>
        <item x="292"/>
        <item x="412"/>
        <item x="227"/>
        <item x="421"/>
        <item x="328"/>
        <item x="62"/>
        <item x="189"/>
        <item x="362"/>
        <item x="41"/>
        <item x="338"/>
        <item x="368"/>
        <item x="124"/>
        <item x="136"/>
        <item x="38"/>
        <item x="14"/>
        <item x="310"/>
        <item x="385"/>
        <item x="250"/>
        <item x="291"/>
        <item x="215"/>
        <item x="217"/>
        <item x="159"/>
        <item x="25"/>
        <item x="282"/>
        <item x="341"/>
        <item x="411"/>
        <item x="46"/>
        <item x="92"/>
        <item x="134"/>
        <item x="301"/>
        <item x="200"/>
        <item x="244"/>
        <item x="168"/>
        <item x="183"/>
        <item x="123"/>
        <item x="273"/>
        <item x="45"/>
        <item x="344"/>
        <item x="186"/>
        <item x="69"/>
        <item x="256"/>
        <item x="397"/>
        <item x="271"/>
        <item x="230"/>
        <item x="305"/>
        <item x="249"/>
        <item x="162"/>
        <item x="103"/>
        <item x="18"/>
        <item x="414"/>
        <item x="335"/>
        <item x="91"/>
        <item x="40"/>
        <item x="240"/>
        <item x="365"/>
        <item x="57"/>
        <item x="235"/>
        <item x="369"/>
        <item x="331"/>
        <item x="298"/>
        <item x="259"/>
        <item x="315"/>
        <item x="384"/>
        <item x="6"/>
        <item x="143"/>
        <item x="236"/>
        <item x="70"/>
        <item x="238"/>
        <item x="140"/>
        <item x="164"/>
        <item x="157"/>
        <item x="182"/>
        <item x="281"/>
        <item x="172"/>
        <item x="405"/>
        <item x="241"/>
        <item x="126"/>
        <item x="56"/>
        <item x="370"/>
        <item x="125"/>
        <item x="393"/>
        <item x="373"/>
        <item x="237"/>
        <item x="80"/>
        <item x="234"/>
        <item x="148"/>
        <item x="105"/>
        <item x="5"/>
        <item x="293"/>
        <item x="242"/>
        <item x="54"/>
        <item x="195"/>
        <item x="317"/>
        <item x="400"/>
        <item x="74"/>
        <item x="8"/>
        <item x="253"/>
        <item x="17"/>
        <item x="44"/>
        <item x="67"/>
        <item x="386"/>
        <item x="0"/>
        <item x="355"/>
        <item x="252"/>
        <item x="223"/>
        <item x="388"/>
        <item x="211"/>
        <item x="149"/>
        <item x="413"/>
        <item x="1"/>
        <item x="188"/>
        <item x="114"/>
        <item x="289"/>
        <item x="153"/>
        <item x="144"/>
        <item x="263"/>
        <item x="131"/>
        <item x="262"/>
        <item x="111"/>
        <item x="34"/>
        <item x="233"/>
        <item x="212"/>
        <item x="35"/>
        <item x="419"/>
        <item x="303"/>
        <item x="142"/>
        <item x="346"/>
        <item x="354"/>
        <item x="374"/>
        <item x="167"/>
        <item x="15"/>
        <item x="345"/>
        <item x="379"/>
        <item x="224"/>
        <item x="61"/>
        <item x="53"/>
        <item x="194"/>
        <item x="50"/>
        <item x="219"/>
        <item x="10"/>
        <item x="175"/>
        <item x="88"/>
        <item x="377"/>
        <item x="201"/>
        <item x="36"/>
        <item x="115"/>
        <item x="85"/>
        <item x="141"/>
        <item x="218"/>
        <item x="266"/>
        <item x="29"/>
        <item x="20"/>
        <item x="258"/>
        <item x="24"/>
        <item x="314"/>
        <item x="4"/>
        <item x="277"/>
        <item x="176"/>
        <item x="75"/>
        <item x="138"/>
        <item x="158"/>
        <item x="322"/>
        <item x="268"/>
        <item x="222"/>
        <item x="389"/>
        <item x="187"/>
        <item x="319"/>
        <item x="371"/>
        <item x="350"/>
        <item x="60"/>
        <item x="398"/>
        <item x="280"/>
        <item x="210"/>
        <item x="383"/>
        <item x="320"/>
        <item x="130"/>
        <item x="403"/>
        <item x="171"/>
        <item x="178"/>
        <item x="37"/>
        <item x="39"/>
        <item x="327"/>
        <item x="119"/>
        <item x="208"/>
        <item x="170"/>
        <item x="290"/>
        <item x="146"/>
        <item x="55"/>
        <item x="372"/>
        <item x="11"/>
        <item x="99"/>
        <item x="73"/>
        <item x="133"/>
        <item x="117"/>
        <item x="381"/>
        <item x="294"/>
        <item x="204"/>
        <item x="184"/>
        <item x="334"/>
        <item x="82"/>
        <item x="387"/>
        <item x="295"/>
        <item x="348"/>
        <item x="68"/>
        <item x="51"/>
        <item x="340"/>
        <item x="330"/>
        <item x="406"/>
        <item x="214"/>
        <item x="113"/>
        <item x="395"/>
        <item x="150"/>
        <item x="154"/>
        <item x="79"/>
        <item x="106"/>
        <item x="323"/>
        <item x="376"/>
        <item x="185"/>
        <item x="84"/>
        <item x="32"/>
        <item x="255"/>
        <item x="3"/>
        <item x="279"/>
        <item x="107"/>
        <item x="309"/>
        <item x="97"/>
        <item x="196"/>
        <item x="380"/>
        <item x="343"/>
        <item x="375"/>
        <item x="112"/>
        <item x="166"/>
        <item x="401"/>
        <item x="198"/>
        <item x="65"/>
        <item x="31"/>
        <item x="225"/>
        <item x="378"/>
        <item x="357"/>
        <item x="180"/>
        <item x="329"/>
        <item x="90"/>
        <item x="94"/>
        <item x="221"/>
        <item x="209"/>
        <item x="30"/>
        <item x="390"/>
        <item x="100"/>
        <item x="288"/>
        <item x="213"/>
        <item x="98"/>
        <item x="207"/>
        <item x="270"/>
        <item x="239"/>
        <item x="116"/>
        <item x="71"/>
        <item x="333"/>
        <item x="299"/>
        <item x="232"/>
        <item x="19"/>
        <item x="13"/>
        <item x="132"/>
        <item x="145"/>
        <item x="102"/>
        <item x="86"/>
        <item x="283"/>
        <item x="363"/>
        <item x="332"/>
        <item x="274"/>
        <item x="265"/>
        <item x="109"/>
        <item x="122"/>
        <item x="147"/>
        <item x="367"/>
        <item x="339"/>
        <item x="58"/>
        <item x="404"/>
        <item x="306"/>
        <item x="296"/>
        <item x="161"/>
        <item x="118"/>
        <item x="205"/>
        <item x="165"/>
        <item x="190"/>
        <item x="359"/>
        <item x="415"/>
        <item x="193"/>
        <item x="121"/>
        <item x="336"/>
        <item x="22"/>
        <item x="264"/>
        <item x="181"/>
        <item x="287"/>
        <item x="156"/>
        <item x="203"/>
        <item x="83"/>
        <item x="285"/>
        <item x="358"/>
        <item x="352"/>
        <item x="152"/>
        <item x="96"/>
        <item x="7"/>
        <item x="261"/>
        <item x="286"/>
        <item x="77"/>
        <item x="246"/>
        <item x="192"/>
        <item x="33"/>
        <item x="12"/>
        <item x="410"/>
        <item x="284"/>
        <item x="337"/>
        <item t="default"/>
      </items>
    </pivotField>
    <pivotField numFmtId="164" showAll="0"/>
    <pivotField numFmtId="164" showAll="0"/>
    <pivotField numFmtId="165" showAll="0"/>
  </pivotFields>
  <rowFields count="1">
    <field x="6"/>
  </rowFields>
  <rowItems count="5">
    <i>
      <x/>
    </i>
    <i>
      <x v="1"/>
    </i>
    <i>
      <x v="2"/>
    </i>
    <i>
      <x v="3"/>
    </i>
    <i t="grand">
      <x/>
    </i>
  </rowItems>
  <colItems count="1">
    <i/>
  </colItems>
  <dataFields count="1">
    <dataField name="TOTAL REVENUE" fld="16" baseField="5" baseItem="0"/>
  </dataFields>
  <formats count="21">
    <format dxfId="123">
      <pivotArea outline="0" collapsedLevelsAreSubtotals="1" fieldPosition="0"/>
    </format>
    <format dxfId="122">
      <pivotArea outline="0" collapsedLevelsAreSubtotals="1" fieldPosition="0"/>
    </format>
    <format dxfId="121">
      <pivotArea outline="0" collapsedLevelsAreSubtotals="1" fieldPosition="0"/>
    </format>
    <format dxfId="120">
      <pivotArea outline="0" collapsedLevelsAreSubtotals="1" fieldPosition="0"/>
    </format>
    <format dxfId="119">
      <pivotArea outline="0" collapsedLevelsAreSubtotals="1" fieldPosition="0"/>
    </format>
    <format dxfId="118">
      <pivotArea outline="0" collapsedLevelsAreSubtotals="1" fieldPosition="0"/>
    </format>
    <format dxfId="117">
      <pivotArea outline="0" collapsedLevelsAreSubtotals="1" fieldPosition="0"/>
    </format>
    <format dxfId="116">
      <pivotArea outline="0" collapsedLevelsAreSubtotals="1" fieldPosition="0"/>
    </format>
    <format dxfId="115">
      <pivotArea outline="0" collapsedLevelsAreSubtotals="1" fieldPosition="0"/>
    </format>
    <format dxfId="114">
      <pivotArea outline="0" collapsedLevelsAreSubtotals="1" fieldPosition="0"/>
    </format>
    <format dxfId="113">
      <pivotArea outline="0" collapsedLevelsAreSubtotals="1" fieldPosition="0"/>
    </format>
    <format dxfId="112">
      <pivotArea outline="0" collapsedLevelsAreSubtotals="1" fieldPosition="0"/>
    </format>
    <format dxfId="111">
      <pivotArea outline="0" collapsedLevelsAreSubtotals="1" fieldPosition="0"/>
    </format>
    <format dxfId="110">
      <pivotArea outline="0" collapsedLevelsAreSubtotals="1" fieldPosition="0"/>
    </format>
    <format dxfId="109">
      <pivotArea outline="0" collapsedLevelsAreSubtotals="1" fieldPosition="0"/>
    </format>
    <format dxfId="108">
      <pivotArea field="5" grandRow="1" outline="0" collapsedLevelsAreSubtotals="1">
        <references count="1">
          <reference field="4294967294" count="1" selected="0">
            <x v="0"/>
          </reference>
        </references>
      </pivotArea>
    </format>
    <format dxfId="107">
      <pivotArea grandRow="1" outline="0" collapsedLevelsAreSubtotals="1" fieldPosition="0"/>
    </format>
    <format dxfId="19">
      <pivotArea grandRow="1" outline="0" collapsedLevelsAreSubtotals="1" fieldPosition="0"/>
    </format>
    <format dxfId="18">
      <pivotArea dataOnly="0" labelOnly="1" grandRow="1" outline="0" fieldPosition="0"/>
    </format>
    <format dxfId="17">
      <pivotArea field="6" type="button" dataOnly="0" labelOnly="1" outline="0" axis="axisRow" fieldPosition="0"/>
    </format>
    <format dxfId="16">
      <pivotArea dataOnly="0" labelOnly="1" outline="0" axis="axisValues" fieldPosition="0"/>
    </format>
  </formats>
  <chartFormats count="12">
    <chartFormat chart="1" format="2"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6" count="1" selected="0">
            <x v="0"/>
          </reference>
        </references>
      </pivotArea>
    </chartFormat>
    <chartFormat chart="12" format="8">
      <pivotArea type="data" outline="0" fieldPosition="0">
        <references count="2">
          <reference field="4294967294" count="1" selected="0">
            <x v="0"/>
          </reference>
          <reference field="6" count="1" selected="0">
            <x v="1"/>
          </reference>
        </references>
      </pivotArea>
    </chartFormat>
    <chartFormat chart="12" format="9">
      <pivotArea type="data" outline="0" fieldPosition="0">
        <references count="2">
          <reference field="4294967294" count="1" selected="0">
            <x v="0"/>
          </reference>
          <reference field="6" count="1" selected="0">
            <x v="2"/>
          </reference>
        </references>
      </pivotArea>
    </chartFormat>
    <chartFormat chart="12" format="10">
      <pivotArea type="data" outline="0" fieldPosition="0">
        <references count="2">
          <reference field="4294967294" count="1" selected="0">
            <x v="0"/>
          </reference>
          <reference field="6" count="1" selected="0">
            <x v="3"/>
          </reference>
        </references>
      </pivotArea>
    </chartFormat>
  </chartFormats>
  <pivotTableStyleInfo name="PivotStyleDark11"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09AD424-339E-4E07-8BAE-D8603CBCC74E}" name="SALES_CHANNEL"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location ref="I8:J13" firstHeaderRow="1" firstDataRow="1" firstDataCol="1"/>
  <pivotFields count="20">
    <pivotField showAll="0"/>
    <pivotField numFmtId="14" showAll="0"/>
    <pivotField showAll="0"/>
    <pivotField showAll="0">
      <items count="3">
        <item x="0"/>
        <item x="1"/>
        <item t="default"/>
      </items>
    </pivotField>
    <pivotField showAll="0"/>
    <pivotField showAll="0">
      <items count="7">
        <item x="0"/>
        <item x="1"/>
        <item x="2"/>
        <item x="3"/>
        <item x="4"/>
        <item x="5"/>
        <item t="default"/>
      </items>
    </pivotField>
    <pivotField showAll="0"/>
    <pivotField showAll="0" measureFilter="1">
      <items count="16">
        <item x="1"/>
        <item x="14"/>
        <item x="9"/>
        <item x="11"/>
        <item x="7"/>
        <item x="10"/>
        <item x="0"/>
        <item x="13"/>
        <item x="3"/>
        <item x="8"/>
        <item x="2"/>
        <item x="12"/>
        <item x="6"/>
        <item x="5"/>
        <item x="4"/>
        <item t="default"/>
      </items>
    </pivotField>
    <pivotField axis="axisRow" showAll="0">
      <items count="5">
        <item x="2"/>
        <item x="0"/>
        <item x="1"/>
        <item x="3"/>
        <item t="default"/>
      </items>
    </pivotField>
    <pivotField showAll="0"/>
    <pivotField showAll="0">
      <items count="6">
        <item x="2"/>
        <item x="0"/>
        <item x="3"/>
        <item x="1"/>
        <item x="4"/>
        <item t="default"/>
      </items>
    </pivotField>
    <pivotField showAll="0"/>
    <pivotField showAll="0"/>
    <pivotField numFmtId="164" showAll="0"/>
    <pivotField numFmtId="9" showAll="0"/>
    <pivotField numFmtId="164" showAll="0"/>
    <pivotField dataField="1" numFmtId="164" showAll="0">
      <items count="423">
        <item x="278"/>
        <item x="351"/>
        <item x="307"/>
        <item x="257"/>
        <item x="402"/>
        <item x="64"/>
        <item x="128"/>
        <item x="248"/>
        <item x="177"/>
        <item x="26"/>
        <item x="361"/>
        <item x="231"/>
        <item x="251"/>
        <item x="360"/>
        <item x="28"/>
        <item x="47"/>
        <item x="366"/>
        <item x="104"/>
        <item x="228"/>
        <item x="321"/>
        <item x="163"/>
        <item x="89"/>
        <item x="197"/>
        <item x="297"/>
        <item x="326"/>
        <item x="316"/>
        <item x="247"/>
        <item x="206"/>
        <item x="191"/>
        <item x="72"/>
        <item x="9"/>
        <item x="87"/>
        <item x="169"/>
        <item x="276"/>
        <item x="324"/>
        <item x="59"/>
        <item x="76"/>
        <item x="394"/>
        <item x="342"/>
        <item x="21"/>
        <item x="151"/>
        <item x="63"/>
        <item x="66"/>
        <item x="226"/>
        <item x="304"/>
        <item x="179"/>
        <item x="420"/>
        <item x="43"/>
        <item x="356"/>
        <item x="52"/>
        <item x="349"/>
        <item x="245"/>
        <item x="110"/>
        <item x="95"/>
        <item x="272"/>
        <item x="199"/>
        <item x="174"/>
        <item x="129"/>
        <item x="300"/>
        <item x="120"/>
        <item x="160"/>
        <item x="23"/>
        <item x="275"/>
        <item x="409"/>
        <item x="382"/>
        <item x="391"/>
        <item x="243"/>
        <item x="313"/>
        <item x="408"/>
        <item x="407"/>
        <item x="220"/>
        <item x="202"/>
        <item x="347"/>
        <item x="127"/>
        <item x="135"/>
        <item x="417"/>
        <item x="353"/>
        <item x="325"/>
        <item x="108"/>
        <item x="27"/>
        <item x="49"/>
        <item x="216"/>
        <item x="392"/>
        <item x="139"/>
        <item x="399"/>
        <item x="364"/>
        <item x="93"/>
        <item x="137"/>
        <item x="312"/>
        <item x="101"/>
        <item x="418"/>
        <item x="229"/>
        <item x="302"/>
        <item x="16"/>
        <item x="416"/>
        <item x="396"/>
        <item x="267"/>
        <item x="78"/>
        <item x="42"/>
        <item x="2"/>
        <item x="260"/>
        <item x="318"/>
        <item x="311"/>
        <item x="173"/>
        <item x="254"/>
        <item x="81"/>
        <item x="155"/>
        <item x="48"/>
        <item x="269"/>
        <item x="308"/>
        <item x="292"/>
        <item x="412"/>
        <item x="227"/>
        <item x="421"/>
        <item x="328"/>
        <item x="62"/>
        <item x="189"/>
        <item x="362"/>
        <item x="41"/>
        <item x="338"/>
        <item x="368"/>
        <item x="124"/>
        <item x="136"/>
        <item x="38"/>
        <item x="14"/>
        <item x="310"/>
        <item x="385"/>
        <item x="250"/>
        <item x="291"/>
        <item x="215"/>
        <item x="217"/>
        <item x="159"/>
        <item x="25"/>
        <item x="282"/>
        <item x="341"/>
        <item x="411"/>
        <item x="46"/>
        <item x="92"/>
        <item x="134"/>
        <item x="301"/>
        <item x="200"/>
        <item x="244"/>
        <item x="168"/>
        <item x="183"/>
        <item x="123"/>
        <item x="273"/>
        <item x="45"/>
        <item x="344"/>
        <item x="186"/>
        <item x="69"/>
        <item x="256"/>
        <item x="397"/>
        <item x="271"/>
        <item x="230"/>
        <item x="305"/>
        <item x="249"/>
        <item x="162"/>
        <item x="103"/>
        <item x="18"/>
        <item x="414"/>
        <item x="335"/>
        <item x="91"/>
        <item x="40"/>
        <item x="240"/>
        <item x="365"/>
        <item x="57"/>
        <item x="235"/>
        <item x="369"/>
        <item x="331"/>
        <item x="298"/>
        <item x="259"/>
        <item x="315"/>
        <item x="384"/>
        <item x="6"/>
        <item x="143"/>
        <item x="236"/>
        <item x="70"/>
        <item x="238"/>
        <item x="140"/>
        <item x="164"/>
        <item x="157"/>
        <item x="182"/>
        <item x="281"/>
        <item x="172"/>
        <item x="405"/>
        <item x="241"/>
        <item x="126"/>
        <item x="56"/>
        <item x="370"/>
        <item x="125"/>
        <item x="393"/>
        <item x="373"/>
        <item x="237"/>
        <item x="80"/>
        <item x="234"/>
        <item x="148"/>
        <item x="105"/>
        <item x="5"/>
        <item x="293"/>
        <item x="242"/>
        <item x="54"/>
        <item x="195"/>
        <item x="317"/>
        <item x="400"/>
        <item x="74"/>
        <item x="8"/>
        <item x="253"/>
        <item x="17"/>
        <item x="44"/>
        <item x="67"/>
        <item x="386"/>
        <item x="0"/>
        <item x="355"/>
        <item x="252"/>
        <item x="223"/>
        <item x="388"/>
        <item x="211"/>
        <item x="149"/>
        <item x="413"/>
        <item x="1"/>
        <item x="188"/>
        <item x="114"/>
        <item x="289"/>
        <item x="153"/>
        <item x="144"/>
        <item x="263"/>
        <item x="131"/>
        <item x="262"/>
        <item x="111"/>
        <item x="34"/>
        <item x="233"/>
        <item x="212"/>
        <item x="35"/>
        <item x="419"/>
        <item x="303"/>
        <item x="142"/>
        <item x="346"/>
        <item x="354"/>
        <item x="374"/>
        <item x="167"/>
        <item x="15"/>
        <item x="345"/>
        <item x="379"/>
        <item x="224"/>
        <item x="61"/>
        <item x="53"/>
        <item x="194"/>
        <item x="50"/>
        <item x="219"/>
        <item x="10"/>
        <item x="175"/>
        <item x="88"/>
        <item x="377"/>
        <item x="201"/>
        <item x="36"/>
        <item x="115"/>
        <item x="85"/>
        <item x="141"/>
        <item x="218"/>
        <item x="266"/>
        <item x="29"/>
        <item x="20"/>
        <item x="258"/>
        <item x="24"/>
        <item x="314"/>
        <item x="4"/>
        <item x="277"/>
        <item x="176"/>
        <item x="75"/>
        <item x="138"/>
        <item x="158"/>
        <item x="322"/>
        <item x="268"/>
        <item x="222"/>
        <item x="389"/>
        <item x="187"/>
        <item x="319"/>
        <item x="371"/>
        <item x="350"/>
        <item x="60"/>
        <item x="398"/>
        <item x="280"/>
        <item x="210"/>
        <item x="383"/>
        <item x="320"/>
        <item x="130"/>
        <item x="403"/>
        <item x="171"/>
        <item x="178"/>
        <item x="37"/>
        <item x="39"/>
        <item x="327"/>
        <item x="119"/>
        <item x="208"/>
        <item x="170"/>
        <item x="290"/>
        <item x="146"/>
        <item x="55"/>
        <item x="372"/>
        <item x="11"/>
        <item x="99"/>
        <item x="73"/>
        <item x="133"/>
        <item x="117"/>
        <item x="381"/>
        <item x="294"/>
        <item x="204"/>
        <item x="184"/>
        <item x="334"/>
        <item x="82"/>
        <item x="387"/>
        <item x="295"/>
        <item x="348"/>
        <item x="68"/>
        <item x="51"/>
        <item x="340"/>
        <item x="330"/>
        <item x="406"/>
        <item x="214"/>
        <item x="113"/>
        <item x="395"/>
        <item x="150"/>
        <item x="154"/>
        <item x="79"/>
        <item x="106"/>
        <item x="323"/>
        <item x="376"/>
        <item x="185"/>
        <item x="84"/>
        <item x="32"/>
        <item x="255"/>
        <item x="3"/>
        <item x="279"/>
        <item x="107"/>
        <item x="309"/>
        <item x="97"/>
        <item x="196"/>
        <item x="380"/>
        <item x="343"/>
        <item x="375"/>
        <item x="112"/>
        <item x="166"/>
        <item x="401"/>
        <item x="198"/>
        <item x="65"/>
        <item x="31"/>
        <item x="225"/>
        <item x="378"/>
        <item x="357"/>
        <item x="180"/>
        <item x="329"/>
        <item x="90"/>
        <item x="94"/>
        <item x="221"/>
        <item x="209"/>
        <item x="30"/>
        <item x="390"/>
        <item x="100"/>
        <item x="288"/>
        <item x="213"/>
        <item x="98"/>
        <item x="207"/>
        <item x="270"/>
        <item x="239"/>
        <item x="116"/>
        <item x="71"/>
        <item x="333"/>
        <item x="299"/>
        <item x="232"/>
        <item x="19"/>
        <item x="13"/>
        <item x="132"/>
        <item x="145"/>
        <item x="102"/>
        <item x="86"/>
        <item x="283"/>
        <item x="363"/>
        <item x="332"/>
        <item x="274"/>
        <item x="265"/>
        <item x="109"/>
        <item x="122"/>
        <item x="147"/>
        <item x="367"/>
        <item x="339"/>
        <item x="58"/>
        <item x="404"/>
        <item x="306"/>
        <item x="296"/>
        <item x="161"/>
        <item x="118"/>
        <item x="205"/>
        <item x="165"/>
        <item x="190"/>
        <item x="359"/>
        <item x="415"/>
        <item x="193"/>
        <item x="121"/>
        <item x="336"/>
        <item x="22"/>
        <item x="264"/>
        <item x="181"/>
        <item x="287"/>
        <item x="156"/>
        <item x="203"/>
        <item x="83"/>
        <item x="285"/>
        <item x="358"/>
        <item x="352"/>
        <item x="152"/>
        <item x="96"/>
        <item x="7"/>
        <item x="261"/>
        <item x="286"/>
        <item x="77"/>
        <item x="246"/>
        <item x="192"/>
        <item x="33"/>
        <item x="12"/>
        <item x="410"/>
        <item x="284"/>
        <item x="337"/>
        <item t="default"/>
      </items>
    </pivotField>
    <pivotField numFmtId="164" showAll="0"/>
    <pivotField numFmtId="164" showAll="0"/>
    <pivotField numFmtId="165" showAll="0"/>
  </pivotFields>
  <rowFields count="1">
    <field x="8"/>
  </rowFields>
  <rowItems count="5">
    <i>
      <x/>
    </i>
    <i>
      <x v="1"/>
    </i>
    <i>
      <x v="2"/>
    </i>
    <i>
      <x v="3"/>
    </i>
    <i t="grand">
      <x/>
    </i>
  </rowItems>
  <colItems count="1">
    <i/>
  </colItems>
  <dataFields count="1">
    <dataField name="TOTAL REVENUE" fld="16" baseField="5" baseItem="0"/>
  </dataFields>
  <formats count="22">
    <format dxfId="141">
      <pivotArea outline="0" collapsedLevelsAreSubtotals="1" fieldPosition="0"/>
    </format>
    <format dxfId="140">
      <pivotArea outline="0" collapsedLevelsAreSubtotals="1" fieldPosition="0"/>
    </format>
    <format dxfId="139">
      <pivotArea outline="0" collapsedLevelsAreSubtotals="1" fieldPosition="0"/>
    </format>
    <format dxfId="138">
      <pivotArea outline="0" collapsedLevelsAreSubtotals="1" fieldPosition="0"/>
    </format>
    <format dxfId="137">
      <pivotArea outline="0" collapsedLevelsAreSubtotals="1" fieldPosition="0"/>
    </format>
    <format dxfId="136">
      <pivotArea outline="0" collapsedLevelsAreSubtotals="1" fieldPosition="0"/>
    </format>
    <format dxfId="135">
      <pivotArea outline="0" collapsedLevelsAreSubtotals="1" fieldPosition="0"/>
    </format>
    <format dxfId="134">
      <pivotArea outline="0" collapsedLevelsAreSubtotals="1" fieldPosition="0"/>
    </format>
    <format dxfId="133">
      <pivotArea outline="0" collapsedLevelsAreSubtotals="1" fieldPosition="0"/>
    </format>
    <format dxfId="132">
      <pivotArea outline="0" collapsedLevelsAreSubtotals="1" fieldPosition="0"/>
    </format>
    <format dxfId="131">
      <pivotArea outline="0" collapsedLevelsAreSubtotals="1" fieldPosition="0"/>
    </format>
    <format dxfId="130">
      <pivotArea outline="0" collapsedLevelsAreSubtotals="1" fieldPosition="0"/>
    </format>
    <format dxfId="129">
      <pivotArea outline="0" collapsedLevelsAreSubtotals="1" fieldPosition="0"/>
    </format>
    <format dxfId="128">
      <pivotArea outline="0" collapsedLevelsAreSubtotals="1" fieldPosition="0"/>
    </format>
    <format dxfId="127">
      <pivotArea outline="0" collapsedLevelsAreSubtotals="1" fieldPosition="0"/>
    </format>
    <format dxfId="126">
      <pivotArea field="5" grandRow="1" outline="0" collapsedLevelsAreSubtotals="1">
        <references count="1">
          <reference field="4294967294" count="1" selected="0">
            <x v="0"/>
          </reference>
        </references>
      </pivotArea>
    </format>
    <format dxfId="125">
      <pivotArea grandRow="1" outline="0" collapsedLevelsAreSubtotals="1" fieldPosition="0"/>
    </format>
    <format dxfId="124">
      <pivotArea collapsedLevelsAreSubtotals="1" fieldPosition="0">
        <references count="1">
          <reference field="8" count="0"/>
        </references>
      </pivotArea>
    </format>
    <format dxfId="14">
      <pivotArea field="8" type="button" dataOnly="0" labelOnly="1" outline="0" axis="axisRow" fieldPosition="0"/>
    </format>
    <format dxfId="13">
      <pivotArea dataOnly="0" labelOnly="1" outline="0" axis="axisValues" fieldPosition="0"/>
    </format>
    <format dxfId="11">
      <pivotArea grandRow="1" outline="0" collapsedLevelsAreSubtotals="1" fieldPosition="0"/>
    </format>
    <format dxfId="10">
      <pivotArea dataOnly="0" labelOnly="1" grandRow="1" outline="0" fieldPosition="0"/>
    </format>
  </formats>
  <chartFormats count="10">
    <chartFormat chart="1" format="2"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8" count="1" selected="0">
            <x v="0"/>
          </reference>
        </references>
      </pivotArea>
    </chartFormat>
    <chartFormat chart="9" format="8">
      <pivotArea type="data" outline="0" fieldPosition="0">
        <references count="2">
          <reference field="4294967294" count="1" selected="0">
            <x v="0"/>
          </reference>
          <reference field="8" count="1" selected="0">
            <x v="1"/>
          </reference>
        </references>
      </pivotArea>
    </chartFormat>
    <chartFormat chart="9" format="9">
      <pivotArea type="data" outline="0" fieldPosition="0">
        <references count="2">
          <reference field="4294967294" count="1" selected="0">
            <x v="0"/>
          </reference>
          <reference field="8" count="1" selected="0">
            <x v="2"/>
          </reference>
        </references>
      </pivotArea>
    </chartFormat>
    <chartFormat chart="9" format="10">
      <pivotArea type="data" outline="0" fieldPosition="0">
        <references count="2">
          <reference field="4294967294" count="1" selected="0">
            <x v="0"/>
          </reference>
          <reference field="8" count="1" selected="0">
            <x v="3"/>
          </reference>
        </references>
      </pivotArea>
    </chartFormat>
  </chartFormats>
  <pivotTableStyleInfo name="PivotStyleDark11"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F0FE3B07-536B-47CB-9B30-9F6B46AEE322}" sourceName="Product Category">
  <pivotTables>
    <pivotTable tabId="4" name="PivotTable1"/>
    <pivotTable tabId="4" name="MONTHLY_PROFIT_REVENUE"/>
    <pivotTable tabId="4" name="COGS"/>
    <pivotTable tabId="4" name="COUNTY_WISE_MAP"/>
    <pivotTable tabId="4" name="GROSS_PROFIT"/>
    <pivotTable tabId="4" name="REGION_WISE_REVENUE"/>
    <pivotTable tabId="4" name="SALES_CHANNEL"/>
    <pivotTable tabId="4" name="TOTAL_ORDERS"/>
    <pivotTable tabId="4" name="TOTAL_REVENUE"/>
    <pivotTable tabId="4" name="TOTAL_UNIT_SOLD"/>
  </pivotTables>
  <data>
    <tabular pivotCacheId="1683066144">
      <items count="5">
        <i x="2" s="1"/>
        <i x="0" s="1"/>
        <i x="3"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A6E2B28A-0B20-4FC2-805B-994AA8FEE752}" sourceName="Country">
  <pivotTables>
    <pivotTable tabId="4" name="MONTHLY_PROFIT_REVENUE"/>
    <pivotTable tabId="4" name="COGS"/>
    <pivotTable tabId="4" name="COUNTY_WISE_MAP"/>
    <pivotTable tabId="4" name="GROSS_PROFIT"/>
    <pivotTable tabId="4" name="PivotTable1"/>
    <pivotTable tabId="4" name="REGION_WISE_REVENUE"/>
    <pivotTable tabId="4" name="SALES_CHANNEL"/>
    <pivotTable tabId="4" name="TOTAL_ORDERS"/>
    <pivotTable tabId="4" name="TOTAL_REVENUE"/>
    <pivotTable tabId="4" name="TOTAL_UNIT_SOLD"/>
  </pivotTables>
  <data>
    <tabular pivotCacheId="1683066144">
      <items count="15">
        <i x="1" s="1"/>
        <i x="14" s="1"/>
        <i x="9" s="1"/>
        <i x="11" s="1"/>
        <i x="7" s="1"/>
        <i x="10" s="1"/>
        <i x="0" s="1"/>
        <i x="13" s="1"/>
        <i x="3" s="1"/>
        <i x="8" s="1"/>
        <i x="2" s="1"/>
        <i x="12" s="1"/>
        <i x="6" s="1"/>
        <i x="5"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B750F020-E0CB-47DB-A3E7-F64B257F945E}" sourceName="QUARTER">
  <pivotTables>
    <pivotTable tabId="4" name="SALES_CHANNEL"/>
    <pivotTable tabId="4" name="COGS"/>
    <pivotTable tabId="4" name="COUNTY_WISE_MAP"/>
    <pivotTable tabId="4" name="GROSS_PROFIT"/>
    <pivotTable tabId="4" name="MONTHLY_PROFIT_REVENUE"/>
    <pivotTable tabId="4" name="PivotTable1"/>
    <pivotTable tabId="4" name="REGION_WISE_REVENUE"/>
    <pivotTable tabId="4" name="TOTAL_ORDERS"/>
    <pivotTable tabId="4" name="TOTAL_REVENUE"/>
    <pivotTable tabId="4" name="TOTAL_UNIT_SOLD"/>
  </pivotTables>
  <data>
    <tabular pivotCacheId="1683066144">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B25DFE8C-6751-45CB-AABE-AE89787B3738}" cache="Slicer_Product_Category" caption="Product Category" style="SlicerStyleLight3" rowHeight="234950"/>
  <slicer name="Country" xr10:uid="{D83E2F8F-B713-48E4-B2FC-B1F4B561BDEA}" cache="Slicer_Country" caption="Country" style="SlicerStyleLight3" rowHeight="234950"/>
  <slicer name="QUARTER" xr10:uid="{EC7F91A9-1E35-4398-9DDE-369A51D16609}" cache="Slicer_QUARTER" caption="QUARTER" style="SlicerStyleLigh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E974ACC-CEF1-4A06-8708-D31EB4C5C4FD}" name="Table3" displayName="Table3" ref="A1:T501" totalsRowShown="0" headerRowDxfId="164" dataDxfId="163" tableBorderDxfId="162">
  <autoFilter ref="A1:T501" xr:uid="{1E974ACC-CEF1-4A06-8708-D31EB4C5C4FD}"/>
  <tableColumns count="20">
    <tableColumn id="1" xr3:uid="{DE57CD39-C898-4390-8578-28F243481B6A}" name="ID" dataDxfId="161"/>
    <tableColumn id="2" xr3:uid="{5EFCC0A5-0BA5-449A-96F3-CD396C9955B9}" name="Order Date" dataDxfId="160"/>
    <tableColumn id="3" xr3:uid="{7DE3119E-2019-4021-A423-FF39E32A66C8}" name="YEAR" dataDxfId="159">
      <calculatedColumnFormula>YEAR(B2)</calculatedColumnFormula>
    </tableColumn>
    <tableColumn id="4" xr3:uid="{3EBCFA24-876F-4AEF-8991-D387F9024FEE}" name="QUARTER" dataDxfId="158">
      <calculatedColumnFormula>ROUNDUP(MONTH(B2)/3,0)</calculatedColumnFormula>
    </tableColumn>
    <tableColumn id="5" xr3:uid="{EF6320E3-57B1-410F-88E4-E2317C913BFE}" name="MONTH #" dataDxfId="157">
      <calculatedColumnFormula>MONTH(B2)</calculatedColumnFormula>
    </tableColumn>
    <tableColumn id="6" xr3:uid="{1C387D86-334A-4BAF-977A-4F110BE9E688}" name="MONTH" dataDxfId="156">
      <calculatedColumnFormula>TEXT(B2,"MMM")</calculatedColumnFormula>
    </tableColumn>
    <tableColumn id="7" xr3:uid="{D28701FC-28FB-47A1-855A-69FF2315E569}" name="Region" dataDxfId="155"/>
    <tableColumn id="8" xr3:uid="{48804097-8E0B-49EB-8AA8-923472CBA877}" name="Country" dataDxfId="154"/>
    <tableColumn id="9" xr3:uid="{10569776-7E40-4ECB-9FE1-5BD6CFDF3C8A}" name="Sales Channel" dataDxfId="153"/>
    <tableColumn id="10" xr3:uid="{8622677A-A572-4BF5-A12A-18C058CFFE24}" name="Customer Type" dataDxfId="152"/>
    <tableColumn id="11" xr3:uid="{B259696F-0348-43A1-AA95-124C2912C58A}" name="Product Category" dataDxfId="151"/>
    <tableColumn id="12" xr3:uid="{8687BAF5-0D76-4420-95C2-6029F27622A4}" name="Product" dataDxfId="150"/>
    <tableColumn id="13" xr3:uid="{061A3CD3-038B-481D-A7FB-A74C64A0881A}" name="Units Sold" dataDxfId="149"/>
    <tableColumn id="14" xr3:uid="{8C5DF5E9-094C-4FF3-B5A2-BD53CAC4DA4F}" name="Unit Price" dataDxfId="148"/>
    <tableColumn id="15" xr3:uid="{3BCB52D7-092C-47B5-A0D4-AD0378178816}" name="Discount %" dataDxfId="147"/>
    <tableColumn id="16" xr3:uid="{A30BA2B1-94C8-49FB-8B43-BD7706D3E07F}" name="Unit Cost" dataDxfId="146"/>
    <tableColumn id="17" xr3:uid="{F9BBC66C-1827-44F8-8AD5-865662F7C065}" name="Revenue" dataDxfId="145">
      <calculatedColumnFormula>M2*N2*(1-O2)</calculatedColumnFormula>
    </tableColumn>
    <tableColumn id="18" xr3:uid="{2628FE17-90EB-4A2F-83CB-D630E29863C7}" name="COGS" dataDxfId="144">
      <calculatedColumnFormula>M2*P2</calculatedColumnFormula>
    </tableColumn>
    <tableColumn id="19" xr3:uid="{E4D89C17-888D-4988-A44A-E5C7922810D2}" name="Gross Profit" dataDxfId="143">
      <calculatedColumnFormula>Q2-R2</calculatedColumnFormula>
    </tableColumn>
    <tableColumn id="20" xr3:uid="{5A93078A-3499-4B4F-9644-90299C3A7C7C}" name="Gross Margin %" dataDxfId="142">
      <calculatedColumnFormula>IFERROR(S2/Q2,0)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9E422-0B81-4758-95E1-931EBDAE28C1}">
  <dimension ref="A1:T501"/>
  <sheetViews>
    <sheetView topLeftCell="B1" zoomScale="90" zoomScaleNormal="40" workbookViewId="0"/>
  </sheetViews>
  <sheetFormatPr defaultRowHeight="14.4" x14ac:dyDescent="0.3"/>
  <cols>
    <col min="1" max="1" width="7.21875" bestFit="1" customWidth="1"/>
    <col min="2" max="2" width="14.5546875" bestFit="1" customWidth="1"/>
    <col min="3" max="3" width="9.77734375" bestFit="1" customWidth="1"/>
    <col min="4" max="5" width="13.5546875" bestFit="1" customWidth="1"/>
    <col min="6" max="6" width="12.109375" bestFit="1" customWidth="1"/>
    <col min="7" max="7" width="14.77734375" bestFit="1" customWidth="1"/>
    <col min="8" max="8" width="12.21875" bestFit="1" customWidth="1"/>
    <col min="9" max="9" width="17" bestFit="1" customWidth="1"/>
    <col min="10" max="10" width="18.21875" bestFit="1" customWidth="1"/>
    <col min="11" max="11" width="20.21875" bestFit="1" customWidth="1"/>
    <col min="12" max="12" width="18.77734375" bestFit="1" customWidth="1"/>
    <col min="13" max="13" width="13.88671875" bestFit="1" customWidth="1"/>
    <col min="14" max="14" width="13.5546875" bestFit="1" customWidth="1"/>
    <col min="15" max="15" width="14.6640625" bestFit="1" customWidth="1"/>
    <col min="16" max="16" width="13.109375" bestFit="1" customWidth="1"/>
    <col min="17" max="17" width="12.77734375" bestFit="1" customWidth="1"/>
    <col min="18" max="18" width="10.109375" bestFit="1" customWidth="1"/>
    <col min="19" max="19" width="15.109375" bestFit="1" customWidth="1"/>
    <col min="20" max="20" width="18.44140625" bestFit="1" customWidth="1"/>
  </cols>
  <sheetData>
    <row r="1" spans="1:20" x14ac:dyDescent="0.3">
      <c r="A1" s="1" t="s">
        <v>0</v>
      </c>
      <c r="B1" s="1" t="s">
        <v>1</v>
      </c>
      <c r="C1" s="1" t="s">
        <v>67</v>
      </c>
      <c r="D1" s="1" t="s">
        <v>69</v>
      </c>
      <c r="E1" s="1" t="s">
        <v>70</v>
      </c>
      <c r="F1" s="1" t="s">
        <v>68</v>
      </c>
      <c r="G1" s="1" t="s">
        <v>2</v>
      </c>
      <c r="H1" s="1" t="s">
        <v>3</v>
      </c>
      <c r="I1" s="1" t="s">
        <v>4</v>
      </c>
      <c r="J1" s="1" t="s">
        <v>5</v>
      </c>
      <c r="K1" s="1" t="s">
        <v>6</v>
      </c>
      <c r="L1" s="1" t="s">
        <v>7</v>
      </c>
      <c r="M1" s="1" t="s">
        <v>8</v>
      </c>
      <c r="N1" s="1" t="s">
        <v>9</v>
      </c>
      <c r="O1" s="1" t="s">
        <v>10</v>
      </c>
      <c r="P1" s="1" t="s">
        <v>11</v>
      </c>
      <c r="Q1" s="1" t="s">
        <v>12</v>
      </c>
      <c r="R1" s="1" t="s">
        <v>13</v>
      </c>
      <c r="S1" s="1" t="s">
        <v>14</v>
      </c>
      <c r="T1" s="1" t="s">
        <v>15</v>
      </c>
    </row>
    <row r="2" spans="1:20" x14ac:dyDescent="0.3">
      <c r="A2" s="2">
        <v>1105</v>
      </c>
      <c r="B2" s="3">
        <v>46023</v>
      </c>
      <c r="C2" s="2">
        <f t="shared" ref="C2:C65" si="0">YEAR(B2)</f>
        <v>2026</v>
      </c>
      <c r="D2" s="2">
        <f>ROUNDUP(MONTH(B2)/3,0)</f>
        <v>1</v>
      </c>
      <c r="E2" s="2">
        <f t="shared" ref="E2:E65" si="1">MONTH(B2)</f>
        <v>1</v>
      </c>
      <c r="F2" s="2" t="str">
        <f>TEXT(B2,"MMM")</f>
        <v>Jan</v>
      </c>
      <c r="G2" s="2" t="s">
        <v>30</v>
      </c>
      <c r="H2" s="2" t="s">
        <v>46</v>
      </c>
      <c r="I2" s="2" t="s">
        <v>33</v>
      </c>
      <c r="J2" s="2" t="s">
        <v>19</v>
      </c>
      <c r="K2" s="2" t="s">
        <v>43</v>
      </c>
      <c r="L2" s="2" t="s">
        <v>44</v>
      </c>
      <c r="M2" s="2">
        <v>9</v>
      </c>
      <c r="N2" s="4">
        <v>49.6</v>
      </c>
      <c r="O2" s="5">
        <v>0.05</v>
      </c>
      <c r="P2" s="4">
        <v>23.05</v>
      </c>
      <c r="Q2" s="4">
        <f t="shared" ref="Q2:Q65" si="2">M2*N2*(1-O2)</f>
        <v>424.08000000000004</v>
      </c>
      <c r="R2" s="4">
        <f t="shared" ref="R2:R65" si="3">M2*P2</f>
        <v>207.45000000000002</v>
      </c>
      <c r="S2" s="4">
        <f t="shared" ref="S2:S65" si="4">Q2-R2</f>
        <v>216.63000000000002</v>
      </c>
      <c r="T2" s="6">
        <f t="shared" ref="T2:T65" si="5">IFERROR(S2/Q2,0)</f>
        <v>0.51082342954159599</v>
      </c>
    </row>
    <row r="3" spans="1:20" x14ac:dyDescent="0.3">
      <c r="A3" s="2">
        <v>1348</v>
      </c>
      <c r="B3" s="3">
        <v>46023</v>
      </c>
      <c r="C3" s="2">
        <f t="shared" si="0"/>
        <v>2026</v>
      </c>
      <c r="D3" s="2">
        <f t="shared" ref="D3:D66" si="6">ROUNDUP(MONTH(B3)/3,0)</f>
        <v>1</v>
      </c>
      <c r="E3" s="2">
        <f t="shared" si="1"/>
        <v>1</v>
      </c>
      <c r="F3" s="2" t="str">
        <f t="shared" ref="F3:F66" si="7">TEXT(B3,"MMM")</f>
        <v>Jan</v>
      </c>
      <c r="G3" s="2" t="s">
        <v>30</v>
      </c>
      <c r="H3" s="2" t="s">
        <v>45</v>
      </c>
      <c r="I3" s="2" t="s">
        <v>18</v>
      </c>
      <c r="J3" s="2" t="s">
        <v>19</v>
      </c>
      <c r="K3" s="2" t="s">
        <v>28</v>
      </c>
      <c r="L3" s="2" t="s">
        <v>39</v>
      </c>
      <c r="M3" s="2">
        <v>3</v>
      </c>
      <c r="N3" s="4">
        <v>153.38999999999999</v>
      </c>
      <c r="O3" s="5">
        <v>0.05</v>
      </c>
      <c r="P3" s="4">
        <v>78.59</v>
      </c>
      <c r="Q3" s="4">
        <f t="shared" si="2"/>
        <v>437.16149999999993</v>
      </c>
      <c r="R3" s="4">
        <f t="shared" si="3"/>
        <v>235.77</v>
      </c>
      <c r="S3" s="4">
        <f t="shared" si="4"/>
        <v>201.39149999999992</v>
      </c>
      <c r="T3" s="6">
        <f t="shared" si="5"/>
        <v>0.46067986316269832</v>
      </c>
    </row>
    <row r="4" spans="1:20" x14ac:dyDescent="0.3">
      <c r="A4" s="2">
        <v>1409</v>
      </c>
      <c r="B4" s="3">
        <v>46023</v>
      </c>
      <c r="C4" s="2">
        <f t="shared" si="0"/>
        <v>2026</v>
      </c>
      <c r="D4" s="2">
        <f t="shared" si="6"/>
        <v>1</v>
      </c>
      <c r="E4" s="2">
        <f t="shared" si="1"/>
        <v>1</v>
      </c>
      <c r="F4" s="2" t="str">
        <f t="shared" si="7"/>
        <v>Jan</v>
      </c>
      <c r="G4" s="2" t="s">
        <v>16</v>
      </c>
      <c r="H4" s="2" t="s">
        <v>32</v>
      </c>
      <c r="I4" s="2" t="s">
        <v>33</v>
      </c>
      <c r="J4" s="2" t="s">
        <v>38</v>
      </c>
      <c r="K4" s="2" t="s">
        <v>25</v>
      </c>
      <c r="L4" s="2" t="s">
        <v>60</v>
      </c>
      <c r="M4" s="2">
        <v>3</v>
      </c>
      <c r="N4" s="4">
        <v>81.260000000000005</v>
      </c>
      <c r="O4" s="5">
        <v>0.1</v>
      </c>
      <c r="P4" s="4">
        <v>39.119999999999997</v>
      </c>
      <c r="Q4" s="4">
        <f t="shared" si="2"/>
        <v>219.40200000000004</v>
      </c>
      <c r="R4" s="4">
        <f t="shared" si="3"/>
        <v>117.35999999999999</v>
      </c>
      <c r="S4" s="4">
        <f t="shared" si="4"/>
        <v>102.04200000000006</v>
      </c>
      <c r="T4" s="6">
        <f t="shared" si="5"/>
        <v>0.46509147592091249</v>
      </c>
    </row>
    <row r="5" spans="1:20" x14ac:dyDescent="0.3">
      <c r="A5" s="2">
        <v>1467</v>
      </c>
      <c r="B5" s="3">
        <v>46023</v>
      </c>
      <c r="C5" s="2">
        <f t="shared" si="0"/>
        <v>2026</v>
      </c>
      <c r="D5" s="2">
        <f t="shared" si="6"/>
        <v>1</v>
      </c>
      <c r="E5" s="2">
        <f t="shared" si="1"/>
        <v>1</v>
      </c>
      <c r="F5" s="2" t="str">
        <f t="shared" si="7"/>
        <v>Jan</v>
      </c>
      <c r="G5" s="2" t="s">
        <v>16</v>
      </c>
      <c r="H5" s="2" t="s">
        <v>22</v>
      </c>
      <c r="I5" s="2" t="s">
        <v>33</v>
      </c>
      <c r="J5" s="2" t="s">
        <v>24</v>
      </c>
      <c r="K5" s="2" t="s">
        <v>43</v>
      </c>
      <c r="L5" s="2" t="s">
        <v>57</v>
      </c>
      <c r="M5" s="2">
        <v>14</v>
      </c>
      <c r="N5" s="4">
        <v>82.06</v>
      </c>
      <c r="O5" s="5">
        <v>0.15</v>
      </c>
      <c r="P5" s="4">
        <v>42.94</v>
      </c>
      <c r="Q5" s="4">
        <f t="shared" si="2"/>
        <v>976.51400000000012</v>
      </c>
      <c r="R5" s="4">
        <f t="shared" si="3"/>
        <v>601.16</v>
      </c>
      <c r="S5" s="4">
        <f t="shared" si="4"/>
        <v>375.35400000000016</v>
      </c>
      <c r="T5" s="6">
        <f t="shared" si="5"/>
        <v>0.3843815859270836</v>
      </c>
    </row>
    <row r="6" spans="1:20" x14ac:dyDescent="0.3">
      <c r="A6" s="2">
        <v>1067</v>
      </c>
      <c r="B6" s="3">
        <v>46024</v>
      </c>
      <c r="C6" s="2">
        <f t="shared" si="0"/>
        <v>2026</v>
      </c>
      <c r="D6" s="2">
        <f t="shared" si="6"/>
        <v>1</v>
      </c>
      <c r="E6" s="2">
        <f t="shared" si="1"/>
        <v>1</v>
      </c>
      <c r="F6" s="2" t="str">
        <f t="shared" si="7"/>
        <v>Jan</v>
      </c>
      <c r="G6" s="2" t="s">
        <v>48</v>
      </c>
      <c r="H6" s="2" t="s">
        <v>49</v>
      </c>
      <c r="I6" s="2" t="s">
        <v>23</v>
      </c>
      <c r="J6" s="2" t="s">
        <v>38</v>
      </c>
      <c r="K6" s="2" t="s">
        <v>25</v>
      </c>
      <c r="L6" s="2" t="s">
        <v>60</v>
      </c>
      <c r="M6" s="2">
        <v>9</v>
      </c>
      <c r="N6" s="4">
        <v>81.260000000000005</v>
      </c>
      <c r="O6" s="5">
        <v>0.2</v>
      </c>
      <c r="P6" s="4">
        <v>39.119999999999997</v>
      </c>
      <c r="Q6" s="4">
        <f t="shared" si="2"/>
        <v>585.072</v>
      </c>
      <c r="R6" s="4">
        <f t="shared" si="3"/>
        <v>352.08</v>
      </c>
      <c r="S6" s="4">
        <f t="shared" si="4"/>
        <v>232.99200000000002</v>
      </c>
      <c r="T6" s="6">
        <f t="shared" si="5"/>
        <v>0.39822791041102634</v>
      </c>
    </row>
    <row r="7" spans="1:20" x14ac:dyDescent="0.3">
      <c r="A7" s="2">
        <v>1310</v>
      </c>
      <c r="B7" s="3">
        <v>46024</v>
      </c>
      <c r="C7" s="2">
        <f t="shared" si="0"/>
        <v>2026</v>
      </c>
      <c r="D7" s="2">
        <f t="shared" si="6"/>
        <v>1</v>
      </c>
      <c r="E7" s="2">
        <f t="shared" si="1"/>
        <v>1</v>
      </c>
      <c r="F7" s="2" t="str">
        <f t="shared" si="7"/>
        <v>Jan</v>
      </c>
      <c r="G7" s="2" t="s">
        <v>30</v>
      </c>
      <c r="H7" s="2" t="s">
        <v>31</v>
      </c>
      <c r="I7" s="2" t="s">
        <v>33</v>
      </c>
      <c r="J7" s="2" t="s">
        <v>38</v>
      </c>
      <c r="K7" s="2" t="s">
        <v>36</v>
      </c>
      <c r="L7" s="2" t="s">
        <v>58</v>
      </c>
      <c r="M7" s="2">
        <v>13</v>
      </c>
      <c r="N7" s="4">
        <v>32.99</v>
      </c>
      <c r="O7" s="5">
        <v>0.05</v>
      </c>
      <c r="P7" s="4">
        <v>12.5</v>
      </c>
      <c r="Q7" s="4">
        <f t="shared" si="2"/>
        <v>407.42649999999998</v>
      </c>
      <c r="R7" s="4">
        <f t="shared" si="3"/>
        <v>162.5</v>
      </c>
      <c r="S7" s="4">
        <f t="shared" si="4"/>
        <v>244.92649999999998</v>
      </c>
      <c r="T7" s="6">
        <f t="shared" si="5"/>
        <v>0.60115505496083343</v>
      </c>
    </row>
    <row r="8" spans="1:20" x14ac:dyDescent="0.3">
      <c r="A8" s="2">
        <v>1083</v>
      </c>
      <c r="B8" s="3">
        <v>46025</v>
      </c>
      <c r="C8" s="2">
        <f t="shared" si="0"/>
        <v>2026</v>
      </c>
      <c r="D8" s="2">
        <f t="shared" si="6"/>
        <v>1</v>
      </c>
      <c r="E8" s="2">
        <f t="shared" si="1"/>
        <v>1</v>
      </c>
      <c r="F8" s="2" t="str">
        <f t="shared" si="7"/>
        <v>Jan</v>
      </c>
      <c r="G8" s="2" t="s">
        <v>41</v>
      </c>
      <c r="H8" s="2" t="s">
        <v>51</v>
      </c>
      <c r="I8" s="2" t="s">
        <v>23</v>
      </c>
      <c r="J8" s="2" t="s">
        <v>19</v>
      </c>
      <c r="K8" s="2" t="s">
        <v>28</v>
      </c>
      <c r="L8" s="2" t="s">
        <v>29</v>
      </c>
      <c r="M8" s="2">
        <v>8</v>
      </c>
      <c r="N8" s="4">
        <v>54.75</v>
      </c>
      <c r="O8" s="5">
        <v>0.15</v>
      </c>
      <c r="P8" s="4">
        <v>24.3</v>
      </c>
      <c r="Q8" s="4">
        <f t="shared" si="2"/>
        <v>372.3</v>
      </c>
      <c r="R8" s="4">
        <f t="shared" si="3"/>
        <v>194.4</v>
      </c>
      <c r="S8" s="4">
        <f t="shared" si="4"/>
        <v>177.9</v>
      </c>
      <c r="T8" s="6">
        <f t="shared" si="5"/>
        <v>0.47784045124899277</v>
      </c>
    </row>
    <row r="9" spans="1:20" x14ac:dyDescent="0.3">
      <c r="A9" s="2">
        <v>1125</v>
      </c>
      <c r="B9" s="3">
        <v>46025</v>
      </c>
      <c r="C9" s="2">
        <f t="shared" si="0"/>
        <v>2026</v>
      </c>
      <c r="D9" s="2">
        <f t="shared" si="6"/>
        <v>1</v>
      </c>
      <c r="E9" s="2">
        <f t="shared" si="1"/>
        <v>1</v>
      </c>
      <c r="F9" s="2" t="str">
        <f t="shared" si="7"/>
        <v>Jan</v>
      </c>
      <c r="G9" s="2" t="s">
        <v>16</v>
      </c>
      <c r="H9" s="2" t="s">
        <v>22</v>
      </c>
      <c r="I9" s="2" t="s">
        <v>27</v>
      </c>
      <c r="J9" s="2" t="s">
        <v>24</v>
      </c>
      <c r="K9" s="2" t="s">
        <v>25</v>
      </c>
      <c r="L9" s="2" t="s">
        <v>55</v>
      </c>
      <c r="M9" s="2">
        <v>13</v>
      </c>
      <c r="N9" s="4">
        <v>194.35</v>
      </c>
      <c r="O9" s="5">
        <v>0</v>
      </c>
      <c r="P9" s="4">
        <v>104.22</v>
      </c>
      <c r="Q9" s="4">
        <f t="shared" si="2"/>
        <v>2526.5499999999997</v>
      </c>
      <c r="R9" s="4">
        <f t="shared" si="3"/>
        <v>1354.86</v>
      </c>
      <c r="S9" s="4">
        <f t="shared" si="4"/>
        <v>1171.6899999999998</v>
      </c>
      <c r="T9" s="6">
        <f t="shared" si="5"/>
        <v>0.46375096475430921</v>
      </c>
    </row>
    <row r="10" spans="1:20" x14ac:dyDescent="0.3">
      <c r="A10" s="2">
        <v>1333</v>
      </c>
      <c r="B10" s="3">
        <v>46025</v>
      </c>
      <c r="C10" s="2">
        <f t="shared" si="0"/>
        <v>2026</v>
      </c>
      <c r="D10" s="2">
        <f t="shared" si="6"/>
        <v>1</v>
      </c>
      <c r="E10" s="2">
        <f t="shared" si="1"/>
        <v>1</v>
      </c>
      <c r="F10" s="2" t="str">
        <f t="shared" si="7"/>
        <v>Jan</v>
      </c>
      <c r="G10" s="2" t="s">
        <v>30</v>
      </c>
      <c r="H10" s="2" t="s">
        <v>45</v>
      </c>
      <c r="I10" s="2" t="s">
        <v>33</v>
      </c>
      <c r="J10" s="2" t="s">
        <v>38</v>
      </c>
      <c r="K10" s="2" t="s">
        <v>28</v>
      </c>
      <c r="L10" s="2" t="s">
        <v>29</v>
      </c>
      <c r="M10" s="2">
        <v>9</v>
      </c>
      <c r="N10" s="4">
        <v>54.75</v>
      </c>
      <c r="O10" s="5">
        <v>0.15</v>
      </c>
      <c r="P10" s="4">
        <v>24.3</v>
      </c>
      <c r="Q10" s="4">
        <f t="shared" si="2"/>
        <v>418.83749999999998</v>
      </c>
      <c r="R10" s="4">
        <f t="shared" si="3"/>
        <v>218.70000000000002</v>
      </c>
      <c r="S10" s="4">
        <f t="shared" si="4"/>
        <v>200.13749999999996</v>
      </c>
      <c r="T10" s="6">
        <f t="shared" si="5"/>
        <v>0.47784045124899266</v>
      </c>
    </row>
    <row r="11" spans="1:20" x14ac:dyDescent="0.3">
      <c r="A11" s="2">
        <v>1366</v>
      </c>
      <c r="B11" s="3">
        <v>46025</v>
      </c>
      <c r="C11" s="2">
        <f t="shared" si="0"/>
        <v>2026</v>
      </c>
      <c r="D11" s="2">
        <f t="shared" si="6"/>
        <v>1</v>
      </c>
      <c r="E11" s="2">
        <f t="shared" si="1"/>
        <v>1</v>
      </c>
      <c r="F11" s="2" t="str">
        <f t="shared" si="7"/>
        <v>Jan</v>
      </c>
      <c r="G11" s="2" t="s">
        <v>41</v>
      </c>
      <c r="H11" s="2" t="s">
        <v>59</v>
      </c>
      <c r="I11" s="2" t="s">
        <v>23</v>
      </c>
      <c r="J11" s="2" t="s">
        <v>19</v>
      </c>
      <c r="K11" s="2" t="s">
        <v>20</v>
      </c>
      <c r="L11" s="2" t="s">
        <v>34</v>
      </c>
      <c r="M11" s="2">
        <v>3</v>
      </c>
      <c r="N11" s="4">
        <v>29.95</v>
      </c>
      <c r="O11" s="5">
        <v>0.05</v>
      </c>
      <c r="P11" s="4">
        <v>11.5</v>
      </c>
      <c r="Q11" s="4">
        <f t="shared" si="2"/>
        <v>85.357499999999987</v>
      </c>
      <c r="R11" s="4">
        <f t="shared" si="3"/>
        <v>34.5</v>
      </c>
      <c r="S11" s="4">
        <f t="shared" si="4"/>
        <v>50.857499999999987</v>
      </c>
      <c r="T11" s="6">
        <f t="shared" si="5"/>
        <v>0.59581759072137763</v>
      </c>
    </row>
    <row r="12" spans="1:20" x14ac:dyDescent="0.3">
      <c r="A12" s="2">
        <v>1408</v>
      </c>
      <c r="B12" s="3">
        <v>46025</v>
      </c>
      <c r="C12" s="2">
        <f t="shared" si="0"/>
        <v>2026</v>
      </c>
      <c r="D12" s="2">
        <f t="shared" si="6"/>
        <v>1</v>
      </c>
      <c r="E12" s="2">
        <f t="shared" si="1"/>
        <v>1</v>
      </c>
      <c r="F12" s="2" t="str">
        <f t="shared" si="7"/>
        <v>Jan</v>
      </c>
      <c r="G12" s="2" t="s">
        <v>48</v>
      </c>
      <c r="H12" s="2" t="s">
        <v>61</v>
      </c>
      <c r="I12" s="2" t="s">
        <v>18</v>
      </c>
      <c r="J12" s="2" t="s">
        <v>19</v>
      </c>
      <c r="K12" s="2" t="s">
        <v>28</v>
      </c>
      <c r="L12" s="2" t="s">
        <v>64</v>
      </c>
      <c r="M12" s="2">
        <v>6</v>
      </c>
      <c r="N12" s="4">
        <v>94.18</v>
      </c>
      <c r="O12" s="5">
        <v>0.05</v>
      </c>
      <c r="P12" s="4">
        <v>45.03</v>
      </c>
      <c r="Q12" s="4">
        <f t="shared" si="2"/>
        <v>536.82600000000002</v>
      </c>
      <c r="R12" s="4">
        <f t="shared" si="3"/>
        <v>270.18</v>
      </c>
      <c r="S12" s="4">
        <f t="shared" si="4"/>
        <v>266.64600000000002</v>
      </c>
      <c r="T12" s="6">
        <f t="shared" si="5"/>
        <v>0.49670843066468467</v>
      </c>
    </row>
    <row r="13" spans="1:20" x14ac:dyDescent="0.3">
      <c r="A13" s="2">
        <v>1108</v>
      </c>
      <c r="B13" s="3">
        <v>46026</v>
      </c>
      <c r="C13" s="2">
        <f t="shared" si="0"/>
        <v>2026</v>
      </c>
      <c r="D13" s="2">
        <f t="shared" si="6"/>
        <v>1</v>
      </c>
      <c r="E13" s="2">
        <f t="shared" si="1"/>
        <v>1</v>
      </c>
      <c r="F13" s="2" t="str">
        <f t="shared" si="7"/>
        <v>Jan</v>
      </c>
      <c r="G13" s="2" t="s">
        <v>30</v>
      </c>
      <c r="H13" s="2" t="s">
        <v>35</v>
      </c>
      <c r="I13" s="2" t="s">
        <v>23</v>
      </c>
      <c r="J13" s="2" t="s">
        <v>38</v>
      </c>
      <c r="K13" s="2" t="s">
        <v>28</v>
      </c>
      <c r="L13" s="2" t="s">
        <v>64</v>
      </c>
      <c r="M13" s="2">
        <v>8</v>
      </c>
      <c r="N13" s="4">
        <v>94.18</v>
      </c>
      <c r="O13" s="5">
        <v>0</v>
      </c>
      <c r="P13" s="4">
        <v>45.03</v>
      </c>
      <c r="Q13" s="4">
        <f t="shared" si="2"/>
        <v>753.44</v>
      </c>
      <c r="R13" s="4">
        <f t="shared" si="3"/>
        <v>360.24</v>
      </c>
      <c r="S13" s="4">
        <f t="shared" si="4"/>
        <v>393.20000000000005</v>
      </c>
      <c r="T13" s="6">
        <f t="shared" si="5"/>
        <v>0.5218730091314504</v>
      </c>
    </row>
    <row r="14" spans="1:20" x14ac:dyDescent="0.3">
      <c r="A14" s="2">
        <v>1306</v>
      </c>
      <c r="B14" s="3">
        <v>46026</v>
      </c>
      <c r="C14" s="2">
        <f t="shared" si="0"/>
        <v>2026</v>
      </c>
      <c r="D14" s="2">
        <f t="shared" si="6"/>
        <v>1</v>
      </c>
      <c r="E14" s="2">
        <f t="shared" si="1"/>
        <v>1</v>
      </c>
      <c r="F14" s="2" t="str">
        <f t="shared" si="7"/>
        <v>Jan</v>
      </c>
      <c r="G14" s="2" t="s">
        <v>48</v>
      </c>
      <c r="H14" s="2" t="s">
        <v>66</v>
      </c>
      <c r="I14" s="2" t="s">
        <v>23</v>
      </c>
      <c r="J14" s="2" t="s">
        <v>19</v>
      </c>
      <c r="K14" s="2" t="s">
        <v>25</v>
      </c>
      <c r="L14" s="2" t="s">
        <v>26</v>
      </c>
      <c r="M14" s="2">
        <v>12</v>
      </c>
      <c r="N14" s="4">
        <v>347.51</v>
      </c>
      <c r="O14" s="5">
        <v>0.15</v>
      </c>
      <c r="P14" s="4">
        <v>190.16</v>
      </c>
      <c r="Q14" s="4">
        <f t="shared" si="2"/>
        <v>3544.6019999999999</v>
      </c>
      <c r="R14" s="4">
        <f t="shared" si="3"/>
        <v>2281.92</v>
      </c>
      <c r="S14" s="4">
        <f t="shared" si="4"/>
        <v>1262.6819999999998</v>
      </c>
      <c r="T14" s="6">
        <f t="shared" si="5"/>
        <v>0.35622673575199693</v>
      </c>
    </row>
    <row r="15" spans="1:20" x14ac:dyDescent="0.3">
      <c r="A15" s="2">
        <v>1370</v>
      </c>
      <c r="B15" s="3">
        <v>46026</v>
      </c>
      <c r="C15" s="2">
        <f t="shared" si="0"/>
        <v>2026</v>
      </c>
      <c r="D15" s="2">
        <f t="shared" si="6"/>
        <v>1</v>
      </c>
      <c r="E15" s="2">
        <f t="shared" si="1"/>
        <v>1</v>
      </c>
      <c r="F15" s="2" t="str">
        <f t="shared" si="7"/>
        <v>Jan</v>
      </c>
      <c r="G15" s="2" t="s">
        <v>41</v>
      </c>
      <c r="H15" s="2" t="s">
        <v>51</v>
      </c>
      <c r="I15" s="2" t="s">
        <v>23</v>
      </c>
      <c r="J15" s="2" t="s">
        <v>24</v>
      </c>
      <c r="K15" s="2" t="s">
        <v>25</v>
      </c>
      <c r="L15" s="2" t="s">
        <v>55</v>
      </c>
      <c r="M15" s="2">
        <v>7</v>
      </c>
      <c r="N15" s="4">
        <v>194.35</v>
      </c>
      <c r="O15" s="5">
        <v>0</v>
      </c>
      <c r="P15" s="4">
        <v>104.22</v>
      </c>
      <c r="Q15" s="4">
        <f t="shared" si="2"/>
        <v>1360.45</v>
      </c>
      <c r="R15" s="4">
        <f t="shared" si="3"/>
        <v>729.54</v>
      </c>
      <c r="S15" s="4">
        <f t="shared" si="4"/>
        <v>630.91000000000008</v>
      </c>
      <c r="T15" s="6">
        <f t="shared" si="5"/>
        <v>0.46375096475430927</v>
      </c>
    </row>
    <row r="16" spans="1:20" x14ac:dyDescent="0.3">
      <c r="A16" s="2">
        <v>1237</v>
      </c>
      <c r="B16" s="3">
        <v>46027</v>
      </c>
      <c r="C16" s="2">
        <f t="shared" si="0"/>
        <v>2026</v>
      </c>
      <c r="D16" s="2">
        <f t="shared" si="6"/>
        <v>1</v>
      </c>
      <c r="E16" s="2">
        <f t="shared" si="1"/>
        <v>1</v>
      </c>
      <c r="F16" s="2" t="str">
        <f t="shared" si="7"/>
        <v>Jan</v>
      </c>
      <c r="G16" s="2" t="s">
        <v>48</v>
      </c>
      <c r="H16" s="2" t="s">
        <v>49</v>
      </c>
      <c r="I16" s="2" t="s">
        <v>18</v>
      </c>
      <c r="J16" s="2" t="s">
        <v>19</v>
      </c>
      <c r="K16" s="2" t="s">
        <v>43</v>
      </c>
      <c r="L16" s="2" t="s">
        <v>65</v>
      </c>
      <c r="M16" s="2">
        <v>10</v>
      </c>
      <c r="N16" s="4">
        <v>28.5</v>
      </c>
      <c r="O16" s="5">
        <v>0.05</v>
      </c>
      <c r="P16" s="4">
        <v>12.8</v>
      </c>
      <c r="Q16" s="4">
        <f t="shared" si="2"/>
        <v>270.75</v>
      </c>
      <c r="R16" s="4">
        <f t="shared" si="3"/>
        <v>128</v>
      </c>
      <c r="S16" s="4">
        <f t="shared" si="4"/>
        <v>142.75</v>
      </c>
      <c r="T16" s="6">
        <f t="shared" si="5"/>
        <v>0.52723915050784853</v>
      </c>
    </row>
    <row r="17" spans="1:20" x14ac:dyDescent="0.3">
      <c r="A17" s="2">
        <v>1265</v>
      </c>
      <c r="B17" s="3">
        <v>46028</v>
      </c>
      <c r="C17" s="2">
        <f t="shared" si="0"/>
        <v>2026</v>
      </c>
      <c r="D17" s="2">
        <f t="shared" si="6"/>
        <v>1</v>
      </c>
      <c r="E17" s="2">
        <f t="shared" si="1"/>
        <v>1</v>
      </c>
      <c r="F17" s="2" t="str">
        <f t="shared" si="7"/>
        <v>Jan</v>
      </c>
      <c r="G17" s="2" t="s">
        <v>30</v>
      </c>
      <c r="H17" s="2" t="s">
        <v>31</v>
      </c>
      <c r="I17" s="2" t="s">
        <v>18</v>
      </c>
      <c r="J17" s="2" t="s">
        <v>38</v>
      </c>
      <c r="K17" s="2" t="s">
        <v>43</v>
      </c>
      <c r="L17" s="2" t="s">
        <v>44</v>
      </c>
      <c r="M17" s="2">
        <v>10</v>
      </c>
      <c r="N17" s="4">
        <v>49.6</v>
      </c>
      <c r="O17" s="5">
        <v>0</v>
      </c>
      <c r="P17" s="4">
        <v>23.05</v>
      </c>
      <c r="Q17" s="4">
        <f t="shared" si="2"/>
        <v>496</v>
      </c>
      <c r="R17" s="4">
        <f t="shared" si="3"/>
        <v>230.5</v>
      </c>
      <c r="S17" s="4">
        <f t="shared" si="4"/>
        <v>265.5</v>
      </c>
      <c r="T17" s="6">
        <f t="shared" si="5"/>
        <v>0.53528225806451613</v>
      </c>
    </row>
    <row r="18" spans="1:20" x14ac:dyDescent="0.3">
      <c r="A18" s="2">
        <v>1460</v>
      </c>
      <c r="B18" s="3">
        <v>46028</v>
      </c>
      <c r="C18" s="2">
        <f t="shared" si="0"/>
        <v>2026</v>
      </c>
      <c r="D18" s="2">
        <f t="shared" si="6"/>
        <v>1</v>
      </c>
      <c r="E18" s="2">
        <f t="shared" si="1"/>
        <v>1</v>
      </c>
      <c r="F18" s="2" t="str">
        <f t="shared" si="7"/>
        <v>Jan</v>
      </c>
      <c r="G18" s="2" t="s">
        <v>41</v>
      </c>
      <c r="H18" s="2" t="s">
        <v>51</v>
      </c>
      <c r="I18" s="2" t="s">
        <v>27</v>
      </c>
      <c r="J18" s="2" t="s">
        <v>19</v>
      </c>
      <c r="K18" s="2" t="s">
        <v>20</v>
      </c>
      <c r="L18" s="2" t="s">
        <v>56</v>
      </c>
      <c r="M18" s="2">
        <v>7</v>
      </c>
      <c r="N18" s="4">
        <v>36.72</v>
      </c>
      <c r="O18" s="5">
        <v>0.2</v>
      </c>
      <c r="P18" s="4">
        <v>13.76</v>
      </c>
      <c r="Q18" s="4">
        <f t="shared" si="2"/>
        <v>205.63199999999998</v>
      </c>
      <c r="R18" s="4">
        <f t="shared" si="3"/>
        <v>96.32</v>
      </c>
      <c r="S18" s="4">
        <f t="shared" si="4"/>
        <v>109.31199999999998</v>
      </c>
      <c r="T18" s="6">
        <f t="shared" si="5"/>
        <v>0.53159041394335504</v>
      </c>
    </row>
    <row r="19" spans="1:20" x14ac:dyDescent="0.3">
      <c r="A19" s="2">
        <v>1209</v>
      </c>
      <c r="B19" s="3">
        <v>46029</v>
      </c>
      <c r="C19" s="2">
        <f t="shared" si="0"/>
        <v>2026</v>
      </c>
      <c r="D19" s="2">
        <f t="shared" si="6"/>
        <v>1</v>
      </c>
      <c r="E19" s="2">
        <f t="shared" si="1"/>
        <v>1</v>
      </c>
      <c r="F19" s="2" t="str">
        <f t="shared" si="7"/>
        <v>Jan</v>
      </c>
      <c r="G19" s="2" t="s">
        <v>41</v>
      </c>
      <c r="H19" s="2" t="s">
        <v>59</v>
      </c>
      <c r="I19" s="2" t="s">
        <v>18</v>
      </c>
      <c r="J19" s="2" t="s">
        <v>38</v>
      </c>
      <c r="K19" s="2" t="s">
        <v>36</v>
      </c>
      <c r="L19" s="2" t="s">
        <v>58</v>
      </c>
      <c r="M19" s="2">
        <v>15</v>
      </c>
      <c r="N19" s="4">
        <v>32.99</v>
      </c>
      <c r="O19" s="5">
        <v>0.15</v>
      </c>
      <c r="P19" s="4">
        <v>12.5</v>
      </c>
      <c r="Q19" s="4">
        <f t="shared" si="2"/>
        <v>420.6225</v>
      </c>
      <c r="R19" s="4">
        <f t="shared" si="3"/>
        <v>187.5</v>
      </c>
      <c r="S19" s="4">
        <f t="shared" si="4"/>
        <v>233.1225</v>
      </c>
      <c r="T19" s="6">
        <f t="shared" si="5"/>
        <v>0.5542321202503433</v>
      </c>
    </row>
    <row r="20" spans="1:20" x14ac:dyDescent="0.3">
      <c r="A20" s="2">
        <v>1305</v>
      </c>
      <c r="B20" s="3">
        <v>46029</v>
      </c>
      <c r="C20" s="2">
        <f t="shared" si="0"/>
        <v>2026</v>
      </c>
      <c r="D20" s="2">
        <f t="shared" si="6"/>
        <v>1</v>
      </c>
      <c r="E20" s="2">
        <f t="shared" si="1"/>
        <v>1</v>
      </c>
      <c r="F20" s="2" t="str">
        <f t="shared" si="7"/>
        <v>Jan</v>
      </c>
      <c r="G20" s="2" t="s">
        <v>16</v>
      </c>
      <c r="H20" s="2" t="s">
        <v>32</v>
      </c>
      <c r="I20" s="2" t="s">
        <v>27</v>
      </c>
      <c r="J20" s="2" t="s">
        <v>38</v>
      </c>
      <c r="K20" s="2" t="s">
        <v>36</v>
      </c>
      <c r="L20" s="2" t="s">
        <v>47</v>
      </c>
      <c r="M20" s="2">
        <v>10</v>
      </c>
      <c r="N20" s="4">
        <v>40.6</v>
      </c>
      <c r="O20" s="5">
        <v>0.15</v>
      </c>
      <c r="P20" s="4">
        <v>15.04</v>
      </c>
      <c r="Q20" s="4">
        <f t="shared" si="2"/>
        <v>345.09999999999997</v>
      </c>
      <c r="R20" s="4">
        <f t="shared" si="3"/>
        <v>150.39999999999998</v>
      </c>
      <c r="S20" s="4">
        <f t="shared" si="4"/>
        <v>194.7</v>
      </c>
      <c r="T20" s="6">
        <f t="shared" si="5"/>
        <v>0.56418429440741813</v>
      </c>
    </row>
    <row r="21" spans="1:20" x14ac:dyDescent="0.3">
      <c r="A21" s="2">
        <v>1320</v>
      </c>
      <c r="B21" s="3">
        <v>46029</v>
      </c>
      <c r="C21" s="2">
        <f t="shared" si="0"/>
        <v>2026</v>
      </c>
      <c r="D21" s="2">
        <f t="shared" si="6"/>
        <v>1</v>
      </c>
      <c r="E21" s="2">
        <f t="shared" si="1"/>
        <v>1</v>
      </c>
      <c r="F21" s="2" t="str">
        <f t="shared" si="7"/>
        <v>Jan</v>
      </c>
      <c r="G21" s="2" t="s">
        <v>30</v>
      </c>
      <c r="H21" s="2" t="s">
        <v>35</v>
      </c>
      <c r="I21" s="2" t="s">
        <v>18</v>
      </c>
      <c r="J21" s="2" t="s">
        <v>19</v>
      </c>
      <c r="K21" s="2" t="s">
        <v>20</v>
      </c>
      <c r="L21" s="2" t="s">
        <v>52</v>
      </c>
      <c r="M21" s="2">
        <v>15</v>
      </c>
      <c r="N21" s="4">
        <v>89.99</v>
      </c>
      <c r="O21" s="5">
        <v>0</v>
      </c>
      <c r="P21" s="4">
        <v>42.25</v>
      </c>
      <c r="Q21" s="4">
        <f t="shared" si="2"/>
        <v>1349.85</v>
      </c>
      <c r="R21" s="4">
        <f t="shared" si="3"/>
        <v>633.75</v>
      </c>
      <c r="S21" s="4">
        <f t="shared" si="4"/>
        <v>716.09999999999991</v>
      </c>
      <c r="T21" s="6">
        <f t="shared" si="5"/>
        <v>0.53050338926547391</v>
      </c>
    </row>
    <row r="22" spans="1:20" x14ac:dyDescent="0.3">
      <c r="A22" s="2">
        <v>1445</v>
      </c>
      <c r="B22" s="3">
        <v>46029</v>
      </c>
      <c r="C22" s="2">
        <f t="shared" si="0"/>
        <v>2026</v>
      </c>
      <c r="D22" s="2">
        <f t="shared" si="6"/>
        <v>1</v>
      </c>
      <c r="E22" s="2">
        <f t="shared" si="1"/>
        <v>1</v>
      </c>
      <c r="F22" s="2" t="str">
        <f t="shared" si="7"/>
        <v>Jan</v>
      </c>
      <c r="G22" s="2" t="s">
        <v>30</v>
      </c>
      <c r="H22" s="2" t="s">
        <v>31</v>
      </c>
      <c r="I22" s="2" t="s">
        <v>18</v>
      </c>
      <c r="J22" s="2" t="s">
        <v>19</v>
      </c>
      <c r="K22" s="2" t="s">
        <v>20</v>
      </c>
      <c r="L22" s="2" t="s">
        <v>52</v>
      </c>
      <c r="M22" s="2">
        <v>7</v>
      </c>
      <c r="N22" s="4">
        <v>89.99</v>
      </c>
      <c r="O22" s="5">
        <v>0.1</v>
      </c>
      <c r="P22" s="4">
        <v>42.25</v>
      </c>
      <c r="Q22" s="4">
        <f t="shared" si="2"/>
        <v>566.93700000000001</v>
      </c>
      <c r="R22" s="4">
        <f t="shared" si="3"/>
        <v>295.75</v>
      </c>
      <c r="S22" s="4">
        <f t="shared" si="4"/>
        <v>271.18700000000001</v>
      </c>
      <c r="T22" s="6">
        <f t="shared" si="5"/>
        <v>0.47833709918385997</v>
      </c>
    </row>
    <row r="23" spans="1:20" x14ac:dyDescent="0.3">
      <c r="A23" s="2">
        <v>1413</v>
      </c>
      <c r="B23" s="3">
        <v>46030</v>
      </c>
      <c r="C23" s="2">
        <f t="shared" si="0"/>
        <v>2026</v>
      </c>
      <c r="D23" s="2">
        <f t="shared" si="6"/>
        <v>1</v>
      </c>
      <c r="E23" s="2">
        <f t="shared" si="1"/>
        <v>1</v>
      </c>
      <c r="F23" s="2" t="str">
        <f t="shared" si="7"/>
        <v>Jan</v>
      </c>
      <c r="G23" s="2" t="s">
        <v>30</v>
      </c>
      <c r="H23" s="2" t="s">
        <v>45</v>
      </c>
      <c r="I23" s="2" t="s">
        <v>18</v>
      </c>
      <c r="J23" s="2" t="s">
        <v>38</v>
      </c>
      <c r="K23" s="2" t="s">
        <v>36</v>
      </c>
      <c r="L23" s="2" t="s">
        <v>58</v>
      </c>
      <c r="M23" s="2">
        <v>3</v>
      </c>
      <c r="N23" s="4">
        <v>32.99</v>
      </c>
      <c r="O23" s="5">
        <v>0</v>
      </c>
      <c r="P23" s="4">
        <v>12.5</v>
      </c>
      <c r="Q23" s="4">
        <f t="shared" si="2"/>
        <v>98.97</v>
      </c>
      <c r="R23" s="4">
        <f t="shared" si="3"/>
        <v>37.5</v>
      </c>
      <c r="S23" s="4">
        <f t="shared" si="4"/>
        <v>61.47</v>
      </c>
      <c r="T23" s="6">
        <f t="shared" si="5"/>
        <v>0.6210973022127918</v>
      </c>
    </row>
    <row r="24" spans="1:20" x14ac:dyDescent="0.3">
      <c r="A24" s="2">
        <v>1438</v>
      </c>
      <c r="B24" s="3">
        <v>46030</v>
      </c>
      <c r="C24" s="2">
        <f t="shared" si="0"/>
        <v>2026</v>
      </c>
      <c r="D24" s="2">
        <f t="shared" si="6"/>
        <v>1</v>
      </c>
      <c r="E24" s="2">
        <f t="shared" si="1"/>
        <v>1</v>
      </c>
      <c r="F24" s="2" t="str">
        <f t="shared" si="7"/>
        <v>Jan</v>
      </c>
      <c r="G24" s="2" t="s">
        <v>30</v>
      </c>
      <c r="H24" s="2" t="s">
        <v>35</v>
      </c>
      <c r="I24" s="2" t="s">
        <v>23</v>
      </c>
      <c r="J24" s="2" t="s">
        <v>19</v>
      </c>
      <c r="K24" s="2" t="s">
        <v>28</v>
      </c>
      <c r="L24" s="2" t="s">
        <v>40</v>
      </c>
      <c r="M24" s="2">
        <v>14</v>
      </c>
      <c r="N24" s="4">
        <v>143.66999999999999</v>
      </c>
      <c r="O24" s="5">
        <v>0</v>
      </c>
      <c r="P24" s="4">
        <v>81.22</v>
      </c>
      <c r="Q24" s="4">
        <f t="shared" si="2"/>
        <v>2011.3799999999999</v>
      </c>
      <c r="R24" s="4">
        <f t="shared" si="3"/>
        <v>1137.08</v>
      </c>
      <c r="S24" s="4">
        <f t="shared" si="4"/>
        <v>874.3</v>
      </c>
      <c r="T24" s="6">
        <f t="shared" si="5"/>
        <v>0.43467668963597134</v>
      </c>
    </row>
    <row r="25" spans="1:20" x14ac:dyDescent="0.3">
      <c r="A25" s="2">
        <v>1096</v>
      </c>
      <c r="B25" s="3">
        <v>46031</v>
      </c>
      <c r="C25" s="2">
        <f t="shared" si="0"/>
        <v>2026</v>
      </c>
      <c r="D25" s="2">
        <f t="shared" si="6"/>
        <v>1</v>
      </c>
      <c r="E25" s="2">
        <f t="shared" si="1"/>
        <v>1</v>
      </c>
      <c r="F25" s="2" t="str">
        <f t="shared" si="7"/>
        <v>Jan</v>
      </c>
      <c r="G25" s="2" t="s">
        <v>41</v>
      </c>
      <c r="H25" s="2" t="s">
        <v>42</v>
      </c>
      <c r="I25" s="2" t="s">
        <v>23</v>
      </c>
      <c r="J25" s="2" t="s">
        <v>38</v>
      </c>
      <c r="K25" s="2" t="s">
        <v>20</v>
      </c>
      <c r="L25" s="2" t="s">
        <v>52</v>
      </c>
      <c r="M25" s="2">
        <v>2</v>
      </c>
      <c r="N25" s="4">
        <v>89.99</v>
      </c>
      <c r="O25" s="5">
        <v>0.2</v>
      </c>
      <c r="P25" s="4">
        <v>42.25</v>
      </c>
      <c r="Q25" s="4">
        <f t="shared" si="2"/>
        <v>143.98400000000001</v>
      </c>
      <c r="R25" s="4">
        <f t="shared" si="3"/>
        <v>84.5</v>
      </c>
      <c r="S25" s="4">
        <f t="shared" si="4"/>
        <v>59.484000000000009</v>
      </c>
      <c r="T25" s="6">
        <f t="shared" si="5"/>
        <v>0.41312923658184247</v>
      </c>
    </row>
    <row r="26" spans="1:20" x14ac:dyDescent="0.3">
      <c r="A26" s="2">
        <v>1288</v>
      </c>
      <c r="B26" s="3">
        <v>46031</v>
      </c>
      <c r="C26" s="2">
        <f t="shared" si="0"/>
        <v>2026</v>
      </c>
      <c r="D26" s="2">
        <f t="shared" si="6"/>
        <v>1</v>
      </c>
      <c r="E26" s="2">
        <f t="shared" si="1"/>
        <v>1</v>
      </c>
      <c r="F26" s="2" t="str">
        <f t="shared" si="7"/>
        <v>Jan</v>
      </c>
      <c r="G26" s="2" t="s">
        <v>16</v>
      </c>
      <c r="H26" s="2" t="s">
        <v>22</v>
      </c>
      <c r="I26" s="2" t="s">
        <v>23</v>
      </c>
      <c r="J26" s="2" t="s">
        <v>24</v>
      </c>
      <c r="K26" s="2" t="s">
        <v>43</v>
      </c>
      <c r="L26" s="2" t="s">
        <v>57</v>
      </c>
      <c r="M26" s="2">
        <v>7</v>
      </c>
      <c r="N26" s="4">
        <v>82.06</v>
      </c>
      <c r="O26" s="5">
        <v>0</v>
      </c>
      <c r="P26" s="4">
        <v>42.94</v>
      </c>
      <c r="Q26" s="4">
        <f t="shared" si="2"/>
        <v>574.42000000000007</v>
      </c>
      <c r="R26" s="4">
        <f t="shared" si="3"/>
        <v>300.58</v>
      </c>
      <c r="S26" s="4">
        <f t="shared" si="4"/>
        <v>273.84000000000009</v>
      </c>
      <c r="T26" s="6">
        <f t="shared" si="5"/>
        <v>0.47672434803802105</v>
      </c>
    </row>
    <row r="27" spans="1:20" x14ac:dyDescent="0.3">
      <c r="A27" s="2">
        <v>1338</v>
      </c>
      <c r="B27" s="3">
        <v>46031</v>
      </c>
      <c r="C27" s="2">
        <f t="shared" si="0"/>
        <v>2026</v>
      </c>
      <c r="D27" s="2">
        <f t="shared" si="6"/>
        <v>1</v>
      </c>
      <c r="E27" s="2">
        <f t="shared" si="1"/>
        <v>1</v>
      </c>
      <c r="F27" s="2" t="str">
        <f t="shared" si="7"/>
        <v>Jan</v>
      </c>
      <c r="G27" s="2" t="s">
        <v>30</v>
      </c>
      <c r="H27" s="2" t="s">
        <v>31</v>
      </c>
      <c r="I27" s="2" t="s">
        <v>23</v>
      </c>
      <c r="J27" s="2" t="s">
        <v>24</v>
      </c>
      <c r="K27" s="2" t="s">
        <v>20</v>
      </c>
      <c r="L27" s="2" t="s">
        <v>56</v>
      </c>
      <c r="M27" s="2">
        <v>8</v>
      </c>
      <c r="N27" s="4">
        <v>36.72</v>
      </c>
      <c r="O27" s="5">
        <v>0</v>
      </c>
      <c r="P27" s="4">
        <v>13.76</v>
      </c>
      <c r="Q27" s="4">
        <f t="shared" si="2"/>
        <v>293.76</v>
      </c>
      <c r="R27" s="4">
        <f t="shared" si="3"/>
        <v>110.08</v>
      </c>
      <c r="S27" s="4">
        <f t="shared" si="4"/>
        <v>183.68</v>
      </c>
      <c r="T27" s="6">
        <f t="shared" si="5"/>
        <v>0.62527233115468417</v>
      </c>
    </row>
    <row r="28" spans="1:20" x14ac:dyDescent="0.3">
      <c r="A28" s="2">
        <v>1043</v>
      </c>
      <c r="B28" s="3">
        <v>46032</v>
      </c>
      <c r="C28" s="2">
        <f t="shared" si="0"/>
        <v>2026</v>
      </c>
      <c r="D28" s="2">
        <f t="shared" si="6"/>
        <v>1</v>
      </c>
      <c r="E28" s="2">
        <f t="shared" si="1"/>
        <v>1</v>
      </c>
      <c r="F28" s="2" t="str">
        <f t="shared" si="7"/>
        <v>Jan</v>
      </c>
      <c r="G28" s="2" t="s">
        <v>48</v>
      </c>
      <c r="H28" s="2" t="s">
        <v>61</v>
      </c>
      <c r="I28" s="2" t="s">
        <v>27</v>
      </c>
      <c r="J28" s="2" t="s">
        <v>24</v>
      </c>
      <c r="K28" s="2" t="s">
        <v>25</v>
      </c>
      <c r="L28" s="2" t="s">
        <v>54</v>
      </c>
      <c r="M28" s="2">
        <v>1</v>
      </c>
      <c r="N28" s="4">
        <v>41.22</v>
      </c>
      <c r="O28" s="5">
        <v>0.05</v>
      </c>
      <c r="P28" s="4">
        <v>16.64</v>
      </c>
      <c r="Q28" s="4">
        <f t="shared" si="2"/>
        <v>39.158999999999999</v>
      </c>
      <c r="R28" s="4">
        <f t="shared" si="3"/>
        <v>16.64</v>
      </c>
      <c r="S28" s="4">
        <f t="shared" si="4"/>
        <v>22.518999999999998</v>
      </c>
      <c r="T28" s="6">
        <f t="shared" si="5"/>
        <v>0.57506575755254219</v>
      </c>
    </row>
    <row r="29" spans="1:20" x14ac:dyDescent="0.3">
      <c r="A29" s="2">
        <v>1104</v>
      </c>
      <c r="B29" s="3">
        <v>46032</v>
      </c>
      <c r="C29" s="2">
        <f t="shared" si="0"/>
        <v>2026</v>
      </c>
      <c r="D29" s="2">
        <f t="shared" si="6"/>
        <v>1</v>
      </c>
      <c r="E29" s="2">
        <f t="shared" si="1"/>
        <v>1</v>
      </c>
      <c r="F29" s="2" t="str">
        <f t="shared" si="7"/>
        <v>Jan</v>
      </c>
      <c r="G29" s="2" t="s">
        <v>30</v>
      </c>
      <c r="H29" s="2" t="s">
        <v>35</v>
      </c>
      <c r="I29" s="2" t="s">
        <v>33</v>
      </c>
      <c r="J29" s="2" t="s">
        <v>19</v>
      </c>
      <c r="K29" s="2" t="s">
        <v>20</v>
      </c>
      <c r="L29" s="2" t="s">
        <v>34</v>
      </c>
      <c r="M29" s="2">
        <v>6</v>
      </c>
      <c r="N29" s="4">
        <v>29.95</v>
      </c>
      <c r="O29" s="5">
        <v>0</v>
      </c>
      <c r="P29" s="4">
        <v>11.5</v>
      </c>
      <c r="Q29" s="4">
        <f t="shared" si="2"/>
        <v>179.7</v>
      </c>
      <c r="R29" s="4">
        <f t="shared" si="3"/>
        <v>69</v>
      </c>
      <c r="S29" s="4">
        <f t="shared" si="4"/>
        <v>110.69999999999999</v>
      </c>
      <c r="T29" s="6">
        <f t="shared" si="5"/>
        <v>0.61602671118530883</v>
      </c>
    </row>
    <row r="30" spans="1:20" x14ac:dyDescent="0.3">
      <c r="A30" s="2">
        <v>1114</v>
      </c>
      <c r="B30" s="3">
        <v>46032</v>
      </c>
      <c r="C30" s="2">
        <f t="shared" si="0"/>
        <v>2026</v>
      </c>
      <c r="D30" s="2">
        <f t="shared" si="6"/>
        <v>1</v>
      </c>
      <c r="E30" s="2">
        <f t="shared" si="1"/>
        <v>1</v>
      </c>
      <c r="F30" s="2" t="str">
        <f t="shared" si="7"/>
        <v>Jan</v>
      </c>
      <c r="G30" s="2" t="s">
        <v>41</v>
      </c>
      <c r="H30" s="2" t="s">
        <v>42</v>
      </c>
      <c r="I30" s="2" t="s">
        <v>33</v>
      </c>
      <c r="J30" s="2" t="s">
        <v>24</v>
      </c>
      <c r="K30" s="2" t="s">
        <v>43</v>
      </c>
      <c r="L30" s="2" t="s">
        <v>65</v>
      </c>
      <c r="M30" s="2">
        <v>2</v>
      </c>
      <c r="N30" s="4">
        <v>28.5</v>
      </c>
      <c r="O30" s="5">
        <v>0.15</v>
      </c>
      <c r="P30" s="4">
        <v>12.8</v>
      </c>
      <c r="Q30" s="4">
        <f t="shared" si="2"/>
        <v>48.449999999999996</v>
      </c>
      <c r="R30" s="4">
        <f t="shared" si="3"/>
        <v>25.6</v>
      </c>
      <c r="S30" s="4">
        <f t="shared" si="4"/>
        <v>22.849999999999994</v>
      </c>
      <c r="T30" s="6">
        <f t="shared" si="5"/>
        <v>0.47162022703818363</v>
      </c>
    </row>
    <row r="31" spans="1:20" x14ac:dyDescent="0.3">
      <c r="A31" s="2">
        <v>1117</v>
      </c>
      <c r="B31" s="3">
        <v>46032</v>
      </c>
      <c r="C31" s="2">
        <f t="shared" si="0"/>
        <v>2026</v>
      </c>
      <c r="D31" s="2">
        <f t="shared" si="6"/>
        <v>1</v>
      </c>
      <c r="E31" s="2">
        <f t="shared" si="1"/>
        <v>1</v>
      </c>
      <c r="F31" s="2" t="str">
        <f t="shared" si="7"/>
        <v>Jan</v>
      </c>
      <c r="G31" s="2" t="s">
        <v>16</v>
      </c>
      <c r="H31" s="2" t="s">
        <v>17</v>
      </c>
      <c r="I31" s="2" t="s">
        <v>33</v>
      </c>
      <c r="J31" s="2" t="s">
        <v>24</v>
      </c>
      <c r="K31" s="2" t="s">
        <v>20</v>
      </c>
      <c r="L31" s="2" t="s">
        <v>21</v>
      </c>
      <c r="M31" s="2">
        <v>12</v>
      </c>
      <c r="N31" s="4">
        <v>46.99</v>
      </c>
      <c r="O31" s="5">
        <v>0</v>
      </c>
      <c r="P31" s="4">
        <v>18.11</v>
      </c>
      <c r="Q31" s="4">
        <f t="shared" si="2"/>
        <v>563.88</v>
      </c>
      <c r="R31" s="4">
        <f t="shared" si="3"/>
        <v>217.32</v>
      </c>
      <c r="S31" s="4">
        <f t="shared" si="4"/>
        <v>346.56</v>
      </c>
      <c r="T31" s="6">
        <f t="shared" si="5"/>
        <v>0.61459885081932331</v>
      </c>
    </row>
    <row r="32" spans="1:20" x14ac:dyDescent="0.3">
      <c r="A32" s="2">
        <v>1251</v>
      </c>
      <c r="B32" s="3">
        <v>46032</v>
      </c>
      <c r="C32" s="2">
        <f t="shared" si="0"/>
        <v>2026</v>
      </c>
      <c r="D32" s="2">
        <f t="shared" si="6"/>
        <v>1</v>
      </c>
      <c r="E32" s="2">
        <f t="shared" si="1"/>
        <v>1</v>
      </c>
      <c r="F32" s="2" t="str">
        <f t="shared" si="7"/>
        <v>Jan</v>
      </c>
      <c r="G32" s="2" t="s">
        <v>41</v>
      </c>
      <c r="H32" s="2" t="s">
        <v>59</v>
      </c>
      <c r="I32" s="2" t="s">
        <v>33</v>
      </c>
      <c r="J32" s="2" t="s">
        <v>24</v>
      </c>
      <c r="K32" s="2" t="s">
        <v>28</v>
      </c>
      <c r="L32" s="2" t="s">
        <v>64</v>
      </c>
      <c r="M32" s="2">
        <v>14</v>
      </c>
      <c r="N32" s="4">
        <v>94.18</v>
      </c>
      <c r="O32" s="5">
        <v>0.1</v>
      </c>
      <c r="P32" s="4">
        <v>45.03</v>
      </c>
      <c r="Q32" s="4">
        <f t="shared" si="2"/>
        <v>1186.6680000000001</v>
      </c>
      <c r="R32" s="4">
        <f t="shared" si="3"/>
        <v>630.42000000000007</v>
      </c>
      <c r="S32" s="4">
        <f t="shared" si="4"/>
        <v>556.24800000000005</v>
      </c>
      <c r="T32" s="6">
        <f t="shared" si="5"/>
        <v>0.46874778792383376</v>
      </c>
    </row>
    <row r="33" spans="1:20" x14ac:dyDescent="0.3">
      <c r="A33" s="2">
        <v>1455</v>
      </c>
      <c r="B33" s="3">
        <v>46032</v>
      </c>
      <c r="C33" s="2">
        <f t="shared" si="0"/>
        <v>2026</v>
      </c>
      <c r="D33" s="2">
        <f t="shared" si="6"/>
        <v>1</v>
      </c>
      <c r="E33" s="2">
        <f t="shared" si="1"/>
        <v>1</v>
      </c>
      <c r="F33" s="2" t="str">
        <f t="shared" si="7"/>
        <v>Jan</v>
      </c>
      <c r="G33" s="2" t="s">
        <v>41</v>
      </c>
      <c r="H33" s="2" t="s">
        <v>42</v>
      </c>
      <c r="I33" s="2" t="s">
        <v>23</v>
      </c>
      <c r="J33" s="2" t="s">
        <v>24</v>
      </c>
      <c r="K33" s="2" t="s">
        <v>43</v>
      </c>
      <c r="L33" s="2" t="s">
        <v>50</v>
      </c>
      <c r="M33" s="2">
        <v>13</v>
      </c>
      <c r="N33" s="4">
        <v>100.12</v>
      </c>
      <c r="O33" s="5">
        <v>0.15</v>
      </c>
      <c r="P33" s="4">
        <v>49.67</v>
      </c>
      <c r="Q33" s="4">
        <f t="shared" si="2"/>
        <v>1106.326</v>
      </c>
      <c r="R33" s="4">
        <f t="shared" si="3"/>
        <v>645.71</v>
      </c>
      <c r="S33" s="4">
        <f t="shared" si="4"/>
        <v>460.61599999999999</v>
      </c>
      <c r="T33" s="6">
        <f t="shared" si="5"/>
        <v>0.41634744189325751</v>
      </c>
    </row>
    <row r="34" spans="1:20" x14ac:dyDescent="0.3">
      <c r="A34" s="2">
        <v>1073</v>
      </c>
      <c r="B34" s="3">
        <v>46033</v>
      </c>
      <c r="C34" s="2">
        <f t="shared" si="0"/>
        <v>2026</v>
      </c>
      <c r="D34" s="2">
        <f t="shared" si="6"/>
        <v>1</v>
      </c>
      <c r="E34" s="2">
        <f t="shared" si="1"/>
        <v>1</v>
      </c>
      <c r="F34" s="2" t="str">
        <f t="shared" si="7"/>
        <v>Jan</v>
      </c>
      <c r="G34" s="2" t="s">
        <v>16</v>
      </c>
      <c r="H34" s="2" t="s">
        <v>17</v>
      </c>
      <c r="I34" s="2" t="s">
        <v>23</v>
      </c>
      <c r="J34" s="2" t="s">
        <v>24</v>
      </c>
      <c r="K34" s="2" t="s">
        <v>28</v>
      </c>
      <c r="L34" s="2" t="s">
        <v>64</v>
      </c>
      <c r="M34" s="2">
        <v>10</v>
      </c>
      <c r="N34" s="4">
        <v>94.18</v>
      </c>
      <c r="O34" s="5">
        <v>0</v>
      </c>
      <c r="P34" s="4">
        <v>45.03</v>
      </c>
      <c r="Q34" s="4">
        <f t="shared" si="2"/>
        <v>941.80000000000007</v>
      </c>
      <c r="R34" s="4">
        <f t="shared" si="3"/>
        <v>450.3</v>
      </c>
      <c r="S34" s="4">
        <f t="shared" si="4"/>
        <v>491.50000000000006</v>
      </c>
      <c r="T34" s="6">
        <f t="shared" si="5"/>
        <v>0.5218730091314504</v>
      </c>
    </row>
    <row r="35" spans="1:20" x14ac:dyDescent="0.3">
      <c r="A35" s="2">
        <v>1337</v>
      </c>
      <c r="B35" s="3">
        <v>46033</v>
      </c>
      <c r="C35" s="2">
        <f t="shared" si="0"/>
        <v>2026</v>
      </c>
      <c r="D35" s="2">
        <f t="shared" si="6"/>
        <v>1</v>
      </c>
      <c r="E35" s="2">
        <f t="shared" si="1"/>
        <v>1</v>
      </c>
      <c r="F35" s="2" t="str">
        <f t="shared" si="7"/>
        <v>Jan</v>
      </c>
      <c r="G35" s="2" t="s">
        <v>30</v>
      </c>
      <c r="H35" s="2" t="s">
        <v>45</v>
      </c>
      <c r="I35" s="2" t="s">
        <v>23</v>
      </c>
      <c r="J35" s="2" t="s">
        <v>38</v>
      </c>
      <c r="K35" s="2" t="s">
        <v>25</v>
      </c>
      <c r="L35" s="2" t="s">
        <v>26</v>
      </c>
      <c r="M35" s="2">
        <v>12</v>
      </c>
      <c r="N35" s="4">
        <v>347.51</v>
      </c>
      <c r="O35" s="5">
        <v>0.2</v>
      </c>
      <c r="P35" s="4">
        <v>190.16</v>
      </c>
      <c r="Q35" s="4">
        <f t="shared" si="2"/>
        <v>3336.096</v>
      </c>
      <c r="R35" s="4">
        <f t="shared" si="3"/>
        <v>2281.92</v>
      </c>
      <c r="S35" s="4">
        <f t="shared" si="4"/>
        <v>1054.1759999999999</v>
      </c>
      <c r="T35" s="6">
        <f t="shared" si="5"/>
        <v>0.31599090673649677</v>
      </c>
    </row>
    <row r="36" spans="1:20" x14ac:dyDescent="0.3">
      <c r="A36" s="2">
        <v>1424</v>
      </c>
      <c r="B36" s="3">
        <v>46033</v>
      </c>
      <c r="C36" s="2">
        <f t="shared" si="0"/>
        <v>2026</v>
      </c>
      <c r="D36" s="2">
        <f t="shared" si="6"/>
        <v>1</v>
      </c>
      <c r="E36" s="2">
        <f t="shared" si="1"/>
        <v>1</v>
      </c>
      <c r="F36" s="2" t="str">
        <f t="shared" si="7"/>
        <v>Jan</v>
      </c>
      <c r="G36" s="2" t="s">
        <v>30</v>
      </c>
      <c r="H36" s="2" t="s">
        <v>35</v>
      </c>
      <c r="I36" s="2" t="s">
        <v>23</v>
      </c>
      <c r="J36" s="2" t="s">
        <v>19</v>
      </c>
      <c r="K36" s="2" t="s">
        <v>25</v>
      </c>
      <c r="L36" s="2" t="s">
        <v>54</v>
      </c>
      <c r="M36" s="2">
        <v>14</v>
      </c>
      <c r="N36" s="4">
        <v>41.22</v>
      </c>
      <c r="O36" s="5">
        <v>0.2</v>
      </c>
      <c r="P36" s="4">
        <v>16.64</v>
      </c>
      <c r="Q36" s="4">
        <f t="shared" si="2"/>
        <v>461.66399999999999</v>
      </c>
      <c r="R36" s="4">
        <f t="shared" si="3"/>
        <v>232.96</v>
      </c>
      <c r="S36" s="4">
        <f t="shared" si="4"/>
        <v>228.70399999999998</v>
      </c>
      <c r="T36" s="6">
        <f t="shared" si="5"/>
        <v>0.49539058709364381</v>
      </c>
    </row>
    <row r="37" spans="1:20" x14ac:dyDescent="0.3">
      <c r="A37" s="2">
        <v>1089</v>
      </c>
      <c r="B37" s="3">
        <v>46034</v>
      </c>
      <c r="C37" s="2">
        <f t="shared" si="0"/>
        <v>2026</v>
      </c>
      <c r="D37" s="2">
        <f t="shared" si="6"/>
        <v>1</v>
      </c>
      <c r="E37" s="2">
        <f t="shared" si="1"/>
        <v>1</v>
      </c>
      <c r="F37" s="2" t="str">
        <f t="shared" si="7"/>
        <v>Jan</v>
      </c>
      <c r="G37" s="2" t="s">
        <v>16</v>
      </c>
      <c r="H37" s="2" t="s">
        <v>22</v>
      </c>
      <c r="I37" s="2" t="s">
        <v>18</v>
      </c>
      <c r="J37" s="2" t="s">
        <v>24</v>
      </c>
      <c r="K37" s="2" t="s">
        <v>20</v>
      </c>
      <c r="L37" s="2" t="s">
        <v>21</v>
      </c>
      <c r="M37" s="2">
        <v>11</v>
      </c>
      <c r="N37" s="4">
        <v>46.99</v>
      </c>
      <c r="O37" s="5">
        <v>0.1</v>
      </c>
      <c r="P37" s="4">
        <v>18.11</v>
      </c>
      <c r="Q37" s="4">
        <f t="shared" si="2"/>
        <v>465.20100000000002</v>
      </c>
      <c r="R37" s="4">
        <f t="shared" si="3"/>
        <v>199.20999999999998</v>
      </c>
      <c r="S37" s="4">
        <f t="shared" si="4"/>
        <v>265.99100000000004</v>
      </c>
      <c r="T37" s="6">
        <f t="shared" si="5"/>
        <v>0.57177650091035925</v>
      </c>
    </row>
    <row r="38" spans="1:20" x14ac:dyDescent="0.3">
      <c r="A38" s="2">
        <v>1014</v>
      </c>
      <c r="B38" s="3">
        <v>46035</v>
      </c>
      <c r="C38" s="2">
        <f t="shared" si="0"/>
        <v>2026</v>
      </c>
      <c r="D38" s="2">
        <f t="shared" si="6"/>
        <v>1</v>
      </c>
      <c r="E38" s="2">
        <f t="shared" si="1"/>
        <v>1</v>
      </c>
      <c r="F38" s="2" t="str">
        <f t="shared" si="7"/>
        <v>Jan</v>
      </c>
      <c r="G38" s="2" t="s">
        <v>16</v>
      </c>
      <c r="H38" s="2" t="s">
        <v>17</v>
      </c>
      <c r="I38" s="2" t="s">
        <v>33</v>
      </c>
      <c r="J38" s="2" t="s">
        <v>38</v>
      </c>
      <c r="K38" s="2" t="s">
        <v>28</v>
      </c>
      <c r="L38" s="2" t="s">
        <v>29</v>
      </c>
      <c r="M38" s="2">
        <v>10</v>
      </c>
      <c r="N38" s="4">
        <v>54.75</v>
      </c>
      <c r="O38" s="5">
        <v>0</v>
      </c>
      <c r="P38" s="4">
        <v>24.3</v>
      </c>
      <c r="Q38" s="4">
        <f t="shared" si="2"/>
        <v>547.5</v>
      </c>
      <c r="R38" s="4">
        <f t="shared" si="3"/>
        <v>243</v>
      </c>
      <c r="S38" s="4">
        <f t="shared" si="4"/>
        <v>304.5</v>
      </c>
      <c r="T38" s="6">
        <f t="shared" si="5"/>
        <v>0.55616438356164388</v>
      </c>
    </row>
    <row r="39" spans="1:20" x14ac:dyDescent="0.3">
      <c r="A39" s="2">
        <v>1347</v>
      </c>
      <c r="B39" s="3">
        <v>46035</v>
      </c>
      <c r="C39" s="2">
        <f t="shared" si="0"/>
        <v>2026</v>
      </c>
      <c r="D39" s="2">
        <f t="shared" si="6"/>
        <v>1</v>
      </c>
      <c r="E39" s="2">
        <f t="shared" si="1"/>
        <v>1</v>
      </c>
      <c r="F39" s="2" t="str">
        <f t="shared" si="7"/>
        <v>Jan</v>
      </c>
      <c r="G39" s="2" t="s">
        <v>16</v>
      </c>
      <c r="H39" s="2" t="s">
        <v>17</v>
      </c>
      <c r="I39" s="2" t="s">
        <v>33</v>
      </c>
      <c r="J39" s="2" t="s">
        <v>38</v>
      </c>
      <c r="K39" s="2" t="s">
        <v>25</v>
      </c>
      <c r="L39" s="2" t="s">
        <v>26</v>
      </c>
      <c r="M39" s="2">
        <v>2</v>
      </c>
      <c r="N39" s="4">
        <v>347.51</v>
      </c>
      <c r="O39" s="5">
        <v>0</v>
      </c>
      <c r="P39" s="4">
        <v>190.16</v>
      </c>
      <c r="Q39" s="4">
        <f t="shared" si="2"/>
        <v>695.02</v>
      </c>
      <c r="R39" s="4">
        <f t="shared" si="3"/>
        <v>380.32</v>
      </c>
      <c r="S39" s="4">
        <f t="shared" si="4"/>
        <v>314.7</v>
      </c>
      <c r="T39" s="6">
        <f t="shared" si="5"/>
        <v>0.4527927253891974</v>
      </c>
    </row>
    <row r="40" spans="1:20" x14ac:dyDescent="0.3">
      <c r="A40" s="2">
        <v>1119</v>
      </c>
      <c r="B40" s="3">
        <v>46037</v>
      </c>
      <c r="C40" s="2">
        <f t="shared" si="0"/>
        <v>2026</v>
      </c>
      <c r="D40" s="2">
        <f t="shared" si="6"/>
        <v>1</v>
      </c>
      <c r="E40" s="2">
        <f t="shared" si="1"/>
        <v>1</v>
      </c>
      <c r="F40" s="2" t="str">
        <f t="shared" si="7"/>
        <v>Jan</v>
      </c>
      <c r="G40" s="2" t="s">
        <v>48</v>
      </c>
      <c r="H40" s="2" t="s">
        <v>49</v>
      </c>
      <c r="I40" s="2" t="s">
        <v>33</v>
      </c>
      <c r="J40" s="2" t="s">
        <v>19</v>
      </c>
      <c r="K40" s="2" t="s">
        <v>20</v>
      </c>
      <c r="L40" s="2" t="s">
        <v>52</v>
      </c>
      <c r="M40" s="2">
        <v>3</v>
      </c>
      <c r="N40" s="4">
        <v>89.99</v>
      </c>
      <c r="O40" s="5">
        <v>0</v>
      </c>
      <c r="P40" s="4">
        <v>42.25</v>
      </c>
      <c r="Q40" s="4">
        <f t="shared" si="2"/>
        <v>269.96999999999997</v>
      </c>
      <c r="R40" s="4">
        <f t="shared" si="3"/>
        <v>126.75</v>
      </c>
      <c r="S40" s="4">
        <f t="shared" si="4"/>
        <v>143.21999999999997</v>
      </c>
      <c r="T40" s="6">
        <f t="shared" si="5"/>
        <v>0.53050338926547391</v>
      </c>
    </row>
    <row r="41" spans="1:20" x14ac:dyDescent="0.3">
      <c r="A41" s="2">
        <v>1172</v>
      </c>
      <c r="B41" s="3">
        <v>46037</v>
      </c>
      <c r="C41" s="2">
        <f t="shared" si="0"/>
        <v>2026</v>
      </c>
      <c r="D41" s="2">
        <f t="shared" si="6"/>
        <v>1</v>
      </c>
      <c r="E41" s="2">
        <f t="shared" si="1"/>
        <v>1</v>
      </c>
      <c r="F41" s="2" t="str">
        <f t="shared" si="7"/>
        <v>Jan</v>
      </c>
      <c r="G41" s="2" t="s">
        <v>48</v>
      </c>
      <c r="H41" s="2" t="s">
        <v>49</v>
      </c>
      <c r="I41" s="2" t="s">
        <v>33</v>
      </c>
      <c r="J41" s="2" t="s">
        <v>38</v>
      </c>
      <c r="K41" s="2" t="s">
        <v>43</v>
      </c>
      <c r="L41" s="2" t="s">
        <v>57</v>
      </c>
      <c r="M41" s="2">
        <v>10</v>
      </c>
      <c r="N41" s="4">
        <v>82.06</v>
      </c>
      <c r="O41" s="5">
        <v>0.15</v>
      </c>
      <c r="P41" s="4">
        <v>42.94</v>
      </c>
      <c r="Q41" s="4">
        <f t="shared" si="2"/>
        <v>697.51</v>
      </c>
      <c r="R41" s="4">
        <f t="shared" si="3"/>
        <v>429.4</v>
      </c>
      <c r="S41" s="4">
        <f t="shared" si="4"/>
        <v>268.11</v>
      </c>
      <c r="T41" s="6">
        <f t="shared" si="5"/>
        <v>0.38438158592708349</v>
      </c>
    </row>
    <row r="42" spans="1:20" x14ac:dyDescent="0.3">
      <c r="A42" s="2">
        <v>1241</v>
      </c>
      <c r="B42" s="3">
        <v>46038</v>
      </c>
      <c r="C42" s="2">
        <f t="shared" si="0"/>
        <v>2026</v>
      </c>
      <c r="D42" s="2">
        <f t="shared" si="6"/>
        <v>1</v>
      </c>
      <c r="E42" s="2">
        <f t="shared" si="1"/>
        <v>1</v>
      </c>
      <c r="F42" s="2" t="str">
        <f t="shared" si="7"/>
        <v>Jan</v>
      </c>
      <c r="G42" s="2" t="s">
        <v>41</v>
      </c>
      <c r="H42" s="2" t="s">
        <v>53</v>
      </c>
      <c r="I42" s="2" t="s">
        <v>33</v>
      </c>
      <c r="J42" s="2" t="s">
        <v>38</v>
      </c>
      <c r="K42" s="2" t="s">
        <v>36</v>
      </c>
      <c r="L42" s="2" t="s">
        <v>37</v>
      </c>
      <c r="M42" s="2">
        <v>11</v>
      </c>
      <c r="N42" s="4">
        <v>35.78</v>
      </c>
      <c r="O42" s="5">
        <v>0.1</v>
      </c>
      <c r="P42" s="4">
        <v>13.84</v>
      </c>
      <c r="Q42" s="4">
        <f t="shared" si="2"/>
        <v>354.22200000000004</v>
      </c>
      <c r="R42" s="4">
        <f t="shared" si="3"/>
        <v>152.24</v>
      </c>
      <c r="S42" s="4">
        <f t="shared" si="4"/>
        <v>201.98200000000003</v>
      </c>
      <c r="T42" s="6">
        <f t="shared" si="5"/>
        <v>0.57021303024656855</v>
      </c>
    </row>
    <row r="43" spans="1:20" x14ac:dyDescent="0.3">
      <c r="A43" s="2">
        <v>1387</v>
      </c>
      <c r="B43" s="3">
        <v>46038</v>
      </c>
      <c r="C43" s="2">
        <f t="shared" si="0"/>
        <v>2026</v>
      </c>
      <c r="D43" s="2">
        <f t="shared" si="6"/>
        <v>1</v>
      </c>
      <c r="E43" s="2">
        <f t="shared" si="1"/>
        <v>1</v>
      </c>
      <c r="F43" s="2" t="str">
        <f t="shared" si="7"/>
        <v>Jan</v>
      </c>
      <c r="G43" s="2" t="s">
        <v>41</v>
      </c>
      <c r="H43" s="2" t="s">
        <v>53</v>
      </c>
      <c r="I43" s="2" t="s">
        <v>18</v>
      </c>
      <c r="J43" s="2" t="s">
        <v>19</v>
      </c>
      <c r="K43" s="2" t="s">
        <v>28</v>
      </c>
      <c r="L43" s="2" t="s">
        <v>29</v>
      </c>
      <c r="M43" s="2">
        <v>6</v>
      </c>
      <c r="N43" s="4">
        <v>54.75</v>
      </c>
      <c r="O43" s="5">
        <v>0.2</v>
      </c>
      <c r="P43" s="4">
        <v>24.3</v>
      </c>
      <c r="Q43" s="4">
        <f t="shared" si="2"/>
        <v>262.8</v>
      </c>
      <c r="R43" s="4">
        <f t="shared" si="3"/>
        <v>145.80000000000001</v>
      </c>
      <c r="S43" s="4">
        <f t="shared" si="4"/>
        <v>117</v>
      </c>
      <c r="T43" s="6">
        <f t="shared" si="5"/>
        <v>0.4452054794520548</v>
      </c>
    </row>
    <row r="44" spans="1:20" x14ac:dyDescent="0.3">
      <c r="A44" s="2">
        <v>1496</v>
      </c>
      <c r="B44" s="3">
        <v>46038</v>
      </c>
      <c r="C44" s="2">
        <f t="shared" si="0"/>
        <v>2026</v>
      </c>
      <c r="D44" s="2">
        <f t="shared" si="6"/>
        <v>1</v>
      </c>
      <c r="E44" s="2">
        <f t="shared" si="1"/>
        <v>1</v>
      </c>
      <c r="F44" s="2" t="str">
        <f t="shared" si="7"/>
        <v>Jan</v>
      </c>
      <c r="G44" s="2" t="s">
        <v>48</v>
      </c>
      <c r="H44" s="2" t="s">
        <v>61</v>
      </c>
      <c r="I44" s="2" t="s">
        <v>18</v>
      </c>
      <c r="J44" s="2" t="s">
        <v>19</v>
      </c>
      <c r="K44" s="2" t="s">
        <v>36</v>
      </c>
      <c r="L44" s="2" t="s">
        <v>47</v>
      </c>
      <c r="M44" s="2">
        <v>6</v>
      </c>
      <c r="N44" s="4">
        <v>40.6</v>
      </c>
      <c r="O44" s="5">
        <v>0.1</v>
      </c>
      <c r="P44" s="4">
        <v>15.04</v>
      </c>
      <c r="Q44" s="4">
        <f t="shared" si="2"/>
        <v>219.24000000000004</v>
      </c>
      <c r="R44" s="4">
        <f t="shared" si="3"/>
        <v>90.24</v>
      </c>
      <c r="S44" s="4">
        <f t="shared" si="4"/>
        <v>129.00000000000006</v>
      </c>
      <c r="T44" s="6">
        <f t="shared" si="5"/>
        <v>0.58839627805145067</v>
      </c>
    </row>
    <row r="45" spans="1:20" x14ac:dyDescent="0.3">
      <c r="A45" s="2">
        <v>1443</v>
      </c>
      <c r="B45" s="3">
        <v>46039</v>
      </c>
      <c r="C45" s="2">
        <f t="shared" si="0"/>
        <v>2026</v>
      </c>
      <c r="D45" s="2">
        <f t="shared" si="6"/>
        <v>1</v>
      </c>
      <c r="E45" s="2">
        <f t="shared" si="1"/>
        <v>1</v>
      </c>
      <c r="F45" s="2" t="str">
        <f t="shared" si="7"/>
        <v>Jan</v>
      </c>
      <c r="G45" s="2" t="s">
        <v>48</v>
      </c>
      <c r="H45" s="2" t="s">
        <v>49</v>
      </c>
      <c r="I45" s="2" t="s">
        <v>27</v>
      </c>
      <c r="J45" s="2" t="s">
        <v>24</v>
      </c>
      <c r="K45" s="2" t="s">
        <v>20</v>
      </c>
      <c r="L45" s="2" t="s">
        <v>34</v>
      </c>
      <c r="M45" s="2">
        <v>5</v>
      </c>
      <c r="N45" s="4">
        <v>29.95</v>
      </c>
      <c r="O45" s="5">
        <v>0.2</v>
      </c>
      <c r="P45" s="4">
        <v>11.5</v>
      </c>
      <c r="Q45" s="4">
        <f t="shared" si="2"/>
        <v>119.80000000000001</v>
      </c>
      <c r="R45" s="4">
        <f t="shared" si="3"/>
        <v>57.5</v>
      </c>
      <c r="S45" s="4">
        <f t="shared" si="4"/>
        <v>62.300000000000011</v>
      </c>
      <c r="T45" s="6">
        <f t="shared" si="5"/>
        <v>0.52003338898163609</v>
      </c>
    </row>
    <row r="46" spans="1:20" x14ac:dyDescent="0.3">
      <c r="A46" s="2">
        <v>1033</v>
      </c>
      <c r="B46" s="3">
        <v>46040</v>
      </c>
      <c r="C46" s="2">
        <f t="shared" si="0"/>
        <v>2026</v>
      </c>
      <c r="D46" s="2">
        <f t="shared" si="6"/>
        <v>1</v>
      </c>
      <c r="E46" s="2">
        <f t="shared" si="1"/>
        <v>1</v>
      </c>
      <c r="F46" s="2" t="str">
        <f t="shared" si="7"/>
        <v>Jan</v>
      </c>
      <c r="G46" s="2" t="s">
        <v>41</v>
      </c>
      <c r="H46" s="2" t="s">
        <v>59</v>
      </c>
      <c r="I46" s="2" t="s">
        <v>18</v>
      </c>
      <c r="J46" s="2" t="s">
        <v>19</v>
      </c>
      <c r="K46" s="2" t="s">
        <v>43</v>
      </c>
      <c r="L46" s="2" t="s">
        <v>44</v>
      </c>
      <c r="M46" s="2">
        <v>10</v>
      </c>
      <c r="N46" s="4">
        <v>49.6</v>
      </c>
      <c r="O46" s="5">
        <v>0.15</v>
      </c>
      <c r="P46" s="4">
        <v>23.05</v>
      </c>
      <c r="Q46" s="4">
        <f t="shared" si="2"/>
        <v>421.59999999999997</v>
      </c>
      <c r="R46" s="4">
        <f t="shared" si="3"/>
        <v>230.5</v>
      </c>
      <c r="S46" s="4">
        <f t="shared" si="4"/>
        <v>191.09999999999997</v>
      </c>
      <c r="T46" s="6">
        <f t="shared" si="5"/>
        <v>0.45327324478178366</v>
      </c>
    </row>
    <row r="47" spans="1:20" x14ac:dyDescent="0.3">
      <c r="A47" s="2">
        <v>1037</v>
      </c>
      <c r="B47" s="3">
        <v>46040</v>
      </c>
      <c r="C47" s="2">
        <f t="shared" si="0"/>
        <v>2026</v>
      </c>
      <c r="D47" s="2">
        <f t="shared" si="6"/>
        <v>1</v>
      </c>
      <c r="E47" s="2">
        <f t="shared" si="1"/>
        <v>1</v>
      </c>
      <c r="F47" s="2" t="str">
        <f t="shared" si="7"/>
        <v>Jan</v>
      </c>
      <c r="G47" s="2" t="s">
        <v>41</v>
      </c>
      <c r="H47" s="2" t="s">
        <v>42</v>
      </c>
      <c r="I47" s="2" t="s">
        <v>27</v>
      </c>
      <c r="J47" s="2" t="s">
        <v>19</v>
      </c>
      <c r="K47" s="2" t="s">
        <v>20</v>
      </c>
      <c r="L47" s="2" t="s">
        <v>21</v>
      </c>
      <c r="M47" s="2">
        <v>8</v>
      </c>
      <c r="N47" s="4">
        <v>46.99</v>
      </c>
      <c r="O47" s="5">
        <v>0.15</v>
      </c>
      <c r="P47" s="4">
        <v>18.11</v>
      </c>
      <c r="Q47" s="4">
        <f t="shared" si="2"/>
        <v>319.53199999999998</v>
      </c>
      <c r="R47" s="4">
        <f t="shared" si="3"/>
        <v>144.88</v>
      </c>
      <c r="S47" s="4">
        <f t="shared" si="4"/>
        <v>174.65199999999999</v>
      </c>
      <c r="T47" s="6">
        <f t="shared" si="5"/>
        <v>0.5465868833168509</v>
      </c>
    </row>
    <row r="48" spans="1:20" x14ac:dyDescent="0.3">
      <c r="A48" s="2">
        <v>1196</v>
      </c>
      <c r="B48" s="3">
        <v>46040</v>
      </c>
      <c r="C48" s="2">
        <f t="shared" si="0"/>
        <v>2026</v>
      </c>
      <c r="D48" s="2">
        <f t="shared" si="6"/>
        <v>1</v>
      </c>
      <c r="E48" s="2">
        <f t="shared" si="1"/>
        <v>1</v>
      </c>
      <c r="F48" s="2" t="str">
        <f t="shared" si="7"/>
        <v>Jan</v>
      </c>
      <c r="G48" s="2" t="s">
        <v>48</v>
      </c>
      <c r="H48" s="2" t="s">
        <v>61</v>
      </c>
      <c r="I48" s="2" t="s">
        <v>27</v>
      </c>
      <c r="J48" s="2" t="s">
        <v>19</v>
      </c>
      <c r="K48" s="2" t="s">
        <v>43</v>
      </c>
      <c r="L48" s="2" t="s">
        <v>50</v>
      </c>
      <c r="M48" s="2">
        <v>3</v>
      </c>
      <c r="N48" s="4">
        <v>100.12</v>
      </c>
      <c r="O48" s="5">
        <v>0</v>
      </c>
      <c r="P48" s="4">
        <v>49.67</v>
      </c>
      <c r="Q48" s="4">
        <f t="shared" si="2"/>
        <v>300.36</v>
      </c>
      <c r="R48" s="4">
        <f t="shared" si="3"/>
        <v>149.01</v>
      </c>
      <c r="S48" s="4">
        <f t="shared" si="4"/>
        <v>151.35000000000002</v>
      </c>
      <c r="T48" s="6">
        <f t="shared" si="5"/>
        <v>0.50389532560926897</v>
      </c>
    </row>
    <row r="49" spans="1:20" x14ac:dyDescent="0.3">
      <c r="A49" s="2">
        <v>1373</v>
      </c>
      <c r="B49" s="3">
        <v>46040</v>
      </c>
      <c r="C49" s="2">
        <f t="shared" si="0"/>
        <v>2026</v>
      </c>
      <c r="D49" s="2">
        <f t="shared" si="6"/>
        <v>1</v>
      </c>
      <c r="E49" s="2">
        <f t="shared" si="1"/>
        <v>1</v>
      </c>
      <c r="F49" s="2" t="str">
        <f t="shared" si="7"/>
        <v>Jan</v>
      </c>
      <c r="G49" s="2" t="s">
        <v>30</v>
      </c>
      <c r="H49" s="2" t="s">
        <v>31</v>
      </c>
      <c r="I49" s="2" t="s">
        <v>33</v>
      </c>
      <c r="J49" s="2" t="s">
        <v>24</v>
      </c>
      <c r="K49" s="2" t="s">
        <v>20</v>
      </c>
      <c r="L49" s="2" t="s">
        <v>34</v>
      </c>
      <c r="M49" s="2">
        <v>2</v>
      </c>
      <c r="N49" s="4">
        <v>29.95</v>
      </c>
      <c r="O49" s="5">
        <v>0.15</v>
      </c>
      <c r="P49" s="4">
        <v>11.5</v>
      </c>
      <c r="Q49" s="4">
        <f t="shared" si="2"/>
        <v>50.914999999999999</v>
      </c>
      <c r="R49" s="4">
        <f t="shared" si="3"/>
        <v>23</v>
      </c>
      <c r="S49" s="4">
        <f t="shared" si="4"/>
        <v>27.914999999999999</v>
      </c>
      <c r="T49" s="6">
        <f t="shared" si="5"/>
        <v>0.54826671904153979</v>
      </c>
    </row>
    <row r="50" spans="1:20" x14ac:dyDescent="0.3">
      <c r="A50" s="2">
        <v>1098</v>
      </c>
      <c r="B50" s="3">
        <v>46041</v>
      </c>
      <c r="C50" s="2">
        <f t="shared" si="0"/>
        <v>2026</v>
      </c>
      <c r="D50" s="2">
        <f t="shared" si="6"/>
        <v>1</v>
      </c>
      <c r="E50" s="2">
        <f t="shared" si="1"/>
        <v>1</v>
      </c>
      <c r="F50" s="2" t="str">
        <f t="shared" si="7"/>
        <v>Jan</v>
      </c>
      <c r="G50" s="2" t="s">
        <v>16</v>
      </c>
      <c r="H50" s="2" t="s">
        <v>17</v>
      </c>
      <c r="I50" s="2" t="s">
        <v>33</v>
      </c>
      <c r="J50" s="2" t="s">
        <v>19</v>
      </c>
      <c r="K50" s="2" t="s">
        <v>20</v>
      </c>
      <c r="L50" s="2" t="s">
        <v>34</v>
      </c>
      <c r="M50" s="2">
        <v>8</v>
      </c>
      <c r="N50" s="4">
        <v>29.95</v>
      </c>
      <c r="O50" s="5">
        <v>0</v>
      </c>
      <c r="P50" s="4">
        <v>11.5</v>
      </c>
      <c r="Q50" s="4">
        <f t="shared" si="2"/>
        <v>239.6</v>
      </c>
      <c r="R50" s="4">
        <f t="shared" si="3"/>
        <v>92</v>
      </c>
      <c r="S50" s="4">
        <f t="shared" si="4"/>
        <v>147.6</v>
      </c>
      <c r="T50" s="6">
        <f t="shared" si="5"/>
        <v>0.61602671118530883</v>
      </c>
    </row>
    <row r="51" spans="1:20" x14ac:dyDescent="0.3">
      <c r="A51" s="2">
        <v>1216</v>
      </c>
      <c r="B51" s="3">
        <v>46041</v>
      </c>
      <c r="C51" s="2">
        <f t="shared" si="0"/>
        <v>2026</v>
      </c>
      <c r="D51" s="2">
        <f t="shared" si="6"/>
        <v>1</v>
      </c>
      <c r="E51" s="2">
        <f t="shared" si="1"/>
        <v>1</v>
      </c>
      <c r="F51" s="2" t="str">
        <f t="shared" si="7"/>
        <v>Jan</v>
      </c>
      <c r="G51" s="2" t="s">
        <v>41</v>
      </c>
      <c r="H51" s="2" t="s">
        <v>42</v>
      </c>
      <c r="I51" s="2" t="s">
        <v>27</v>
      </c>
      <c r="J51" s="2" t="s">
        <v>24</v>
      </c>
      <c r="K51" s="2" t="s">
        <v>43</v>
      </c>
      <c r="L51" s="2" t="s">
        <v>65</v>
      </c>
      <c r="M51" s="2">
        <v>8</v>
      </c>
      <c r="N51" s="4">
        <v>28.5</v>
      </c>
      <c r="O51" s="5">
        <v>0.2</v>
      </c>
      <c r="P51" s="4">
        <v>12.8</v>
      </c>
      <c r="Q51" s="4">
        <f t="shared" si="2"/>
        <v>182.4</v>
      </c>
      <c r="R51" s="4">
        <f t="shared" si="3"/>
        <v>102.4</v>
      </c>
      <c r="S51" s="4">
        <f t="shared" si="4"/>
        <v>80</v>
      </c>
      <c r="T51" s="6">
        <f t="shared" si="5"/>
        <v>0.43859649122807015</v>
      </c>
    </row>
    <row r="52" spans="1:20" x14ac:dyDescent="0.3">
      <c r="A52" s="2">
        <v>1302</v>
      </c>
      <c r="B52" s="3">
        <v>46041</v>
      </c>
      <c r="C52" s="2">
        <f t="shared" si="0"/>
        <v>2026</v>
      </c>
      <c r="D52" s="2">
        <f t="shared" si="6"/>
        <v>1</v>
      </c>
      <c r="E52" s="2">
        <f t="shared" si="1"/>
        <v>1</v>
      </c>
      <c r="F52" s="2" t="str">
        <f t="shared" si="7"/>
        <v>Jan</v>
      </c>
      <c r="G52" s="2" t="s">
        <v>16</v>
      </c>
      <c r="H52" s="2" t="s">
        <v>32</v>
      </c>
      <c r="I52" s="2" t="s">
        <v>23</v>
      </c>
      <c r="J52" s="2" t="s">
        <v>19</v>
      </c>
      <c r="K52" s="2" t="s">
        <v>28</v>
      </c>
      <c r="L52" s="2" t="s">
        <v>29</v>
      </c>
      <c r="M52" s="2">
        <v>12</v>
      </c>
      <c r="N52" s="4">
        <v>54.75</v>
      </c>
      <c r="O52" s="5">
        <v>0.2</v>
      </c>
      <c r="P52" s="4">
        <v>24.3</v>
      </c>
      <c r="Q52" s="4">
        <f t="shared" si="2"/>
        <v>525.6</v>
      </c>
      <c r="R52" s="4">
        <f t="shared" si="3"/>
        <v>291.60000000000002</v>
      </c>
      <c r="S52" s="4">
        <f t="shared" si="4"/>
        <v>234</v>
      </c>
      <c r="T52" s="6">
        <f t="shared" si="5"/>
        <v>0.4452054794520548</v>
      </c>
    </row>
    <row r="53" spans="1:20" x14ac:dyDescent="0.3">
      <c r="A53" s="2">
        <v>1095</v>
      </c>
      <c r="B53" s="3">
        <v>46042</v>
      </c>
      <c r="C53" s="2">
        <f t="shared" si="0"/>
        <v>2026</v>
      </c>
      <c r="D53" s="2">
        <f t="shared" si="6"/>
        <v>1</v>
      </c>
      <c r="E53" s="2">
        <f t="shared" si="1"/>
        <v>1</v>
      </c>
      <c r="F53" s="2" t="str">
        <f t="shared" si="7"/>
        <v>Jan</v>
      </c>
      <c r="G53" s="2" t="s">
        <v>41</v>
      </c>
      <c r="H53" s="2" t="s">
        <v>51</v>
      </c>
      <c r="I53" s="2" t="s">
        <v>33</v>
      </c>
      <c r="J53" s="2" t="s">
        <v>38</v>
      </c>
      <c r="K53" s="2" t="s">
        <v>25</v>
      </c>
      <c r="L53" s="2" t="s">
        <v>60</v>
      </c>
      <c r="M53" s="2">
        <v>12</v>
      </c>
      <c r="N53" s="4">
        <v>81.260000000000005</v>
      </c>
      <c r="O53" s="5">
        <v>0.15</v>
      </c>
      <c r="P53" s="4">
        <v>39.119999999999997</v>
      </c>
      <c r="Q53" s="4">
        <f t="shared" si="2"/>
        <v>828.85200000000009</v>
      </c>
      <c r="R53" s="4">
        <f t="shared" si="3"/>
        <v>469.43999999999994</v>
      </c>
      <c r="S53" s="4">
        <f t="shared" si="4"/>
        <v>359.41200000000015</v>
      </c>
      <c r="T53" s="6">
        <f t="shared" si="5"/>
        <v>0.43362626862214254</v>
      </c>
    </row>
    <row r="54" spans="1:20" x14ac:dyDescent="0.3">
      <c r="A54" s="2">
        <v>1372</v>
      </c>
      <c r="B54" s="3">
        <v>46042</v>
      </c>
      <c r="C54" s="2">
        <f t="shared" si="0"/>
        <v>2026</v>
      </c>
      <c r="D54" s="2">
        <f t="shared" si="6"/>
        <v>1</v>
      </c>
      <c r="E54" s="2">
        <f t="shared" si="1"/>
        <v>1</v>
      </c>
      <c r="F54" s="2" t="str">
        <f t="shared" si="7"/>
        <v>Jan</v>
      </c>
      <c r="G54" s="2" t="s">
        <v>48</v>
      </c>
      <c r="H54" s="2" t="s">
        <v>63</v>
      </c>
      <c r="I54" s="2" t="s">
        <v>18</v>
      </c>
      <c r="J54" s="2" t="s">
        <v>38</v>
      </c>
      <c r="K54" s="2" t="s">
        <v>36</v>
      </c>
      <c r="L54" s="2" t="s">
        <v>47</v>
      </c>
      <c r="M54" s="2">
        <v>3</v>
      </c>
      <c r="N54" s="4">
        <v>40.6</v>
      </c>
      <c r="O54" s="5">
        <v>0</v>
      </c>
      <c r="P54" s="4">
        <v>15.04</v>
      </c>
      <c r="Q54" s="4">
        <f t="shared" si="2"/>
        <v>121.80000000000001</v>
      </c>
      <c r="R54" s="4">
        <f t="shared" si="3"/>
        <v>45.12</v>
      </c>
      <c r="S54" s="4">
        <f t="shared" si="4"/>
        <v>76.680000000000007</v>
      </c>
      <c r="T54" s="6">
        <f t="shared" si="5"/>
        <v>0.62955665024630547</v>
      </c>
    </row>
    <row r="55" spans="1:20" x14ac:dyDescent="0.3">
      <c r="A55" s="2">
        <v>1407</v>
      </c>
      <c r="B55" s="3">
        <v>46042</v>
      </c>
      <c r="C55" s="2">
        <f t="shared" si="0"/>
        <v>2026</v>
      </c>
      <c r="D55" s="2">
        <f t="shared" si="6"/>
        <v>1</v>
      </c>
      <c r="E55" s="2">
        <f t="shared" si="1"/>
        <v>1</v>
      </c>
      <c r="F55" s="2" t="str">
        <f t="shared" si="7"/>
        <v>Jan</v>
      </c>
      <c r="G55" s="2" t="s">
        <v>41</v>
      </c>
      <c r="H55" s="2" t="s">
        <v>42</v>
      </c>
      <c r="I55" s="2" t="s">
        <v>27</v>
      </c>
      <c r="J55" s="2" t="s">
        <v>38</v>
      </c>
      <c r="K55" s="2" t="s">
        <v>20</v>
      </c>
      <c r="L55" s="2" t="s">
        <v>21</v>
      </c>
      <c r="M55" s="2">
        <v>11</v>
      </c>
      <c r="N55" s="4">
        <v>46.99</v>
      </c>
      <c r="O55" s="5">
        <v>0</v>
      </c>
      <c r="P55" s="4">
        <v>18.11</v>
      </c>
      <c r="Q55" s="4">
        <f t="shared" si="2"/>
        <v>516.89</v>
      </c>
      <c r="R55" s="4">
        <f t="shared" si="3"/>
        <v>199.20999999999998</v>
      </c>
      <c r="S55" s="4">
        <f t="shared" si="4"/>
        <v>317.68</v>
      </c>
      <c r="T55" s="6">
        <f t="shared" si="5"/>
        <v>0.61459885081932331</v>
      </c>
    </row>
    <row r="56" spans="1:20" x14ac:dyDescent="0.3">
      <c r="A56" s="2">
        <v>1034</v>
      </c>
      <c r="B56" s="3">
        <v>46043</v>
      </c>
      <c r="C56" s="2">
        <f t="shared" si="0"/>
        <v>2026</v>
      </c>
      <c r="D56" s="2">
        <f t="shared" si="6"/>
        <v>1</v>
      </c>
      <c r="E56" s="2">
        <f t="shared" si="1"/>
        <v>1</v>
      </c>
      <c r="F56" s="2" t="str">
        <f t="shared" si="7"/>
        <v>Jan</v>
      </c>
      <c r="G56" s="2" t="s">
        <v>30</v>
      </c>
      <c r="H56" s="2" t="s">
        <v>31</v>
      </c>
      <c r="I56" s="2" t="s">
        <v>27</v>
      </c>
      <c r="J56" s="2" t="s">
        <v>24</v>
      </c>
      <c r="K56" s="2" t="s">
        <v>20</v>
      </c>
      <c r="L56" s="2" t="s">
        <v>21</v>
      </c>
      <c r="M56" s="2">
        <v>11</v>
      </c>
      <c r="N56" s="4">
        <v>46.99</v>
      </c>
      <c r="O56" s="5">
        <v>0.2</v>
      </c>
      <c r="P56" s="4">
        <v>18.11</v>
      </c>
      <c r="Q56" s="4">
        <f t="shared" si="2"/>
        <v>413.512</v>
      </c>
      <c r="R56" s="4">
        <f t="shared" si="3"/>
        <v>199.20999999999998</v>
      </c>
      <c r="S56" s="4">
        <f t="shared" si="4"/>
        <v>214.30200000000002</v>
      </c>
      <c r="T56" s="6">
        <f t="shared" si="5"/>
        <v>0.51824856352415416</v>
      </c>
    </row>
    <row r="57" spans="1:20" x14ac:dyDescent="0.3">
      <c r="A57" s="2">
        <v>1158</v>
      </c>
      <c r="B57" s="3">
        <v>46043</v>
      </c>
      <c r="C57" s="2">
        <f t="shared" si="0"/>
        <v>2026</v>
      </c>
      <c r="D57" s="2">
        <f t="shared" si="6"/>
        <v>1</v>
      </c>
      <c r="E57" s="2">
        <f t="shared" si="1"/>
        <v>1</v>
      </c>
      <c r="F57" s="2" t="str">
        <f t="shared" si="7"/>
        <v>Jan</v>
      </c>
      <c r="G57" s="2" t="s">
        <v>48</v>
      </c>
      <c r="H57" s="2" t="s">
        <v>66</v>
      </c>
      <c r="I57" s="2" t="s">
        <v>33</v>
      </c>
      <c r="J57" s="2" t="s">
        <v>38</v>
      </c>
      <c r="K57" s="2" t="s">
        <v>25</v>
      </c>
      <c r="L57" s="2" t="s">
        <v>60</v>
      </c>
      <c r="M57" s="2">
        <v>10</v>
      </c>
      <c r="N57" s="4">
        <v>81.260000000000005</v>
      </c>
      <c r="O57" s="5">
        <v>0.1</v>
      </c>
      <c r="P57" s="4">
        <v>39.119999999999997</v>
      </c>
      <c r="Q57" s="4">
        <f t="shared" si="2"/>
        <v>731.34</v>
      </c>
      <c r="R57" s="4">
        <f t="shared" si="3"/>
        <v>391.2</v>
      </c>
      <c r="S57" s="4">
        <f t="shared" si="4"/>
        <v>340.14000000000004</v>
      </c>
      <c r="T57" s="6">
        <f t="shared" si="5"/>
        <v>0.46509147592091232</v>
      </c>
    </row>
    <row r="58" spans="1:20" x14ac:dyDescent="0.3">
      <c r="A58" s="2">
        <v>1221</v>
      </c>
      <c r="B58" s="3">
        <v>46043</v>
      </c>
      <c r="C58" s="2">
        <f t="shared" si="0"/>
        <v>2026</v>
      </c>
      <c r="D58" s="2">
        <f t="shared" si="6"/>
        <v>1</v>
      </c>
      <c r="E58" s="2">
        <f t="shared" si="1"/>
        <v>1</v>
      </c>
      <c r="F58" s="2" t="str">
        <f t="shared" si="7"/>
        <v>Jan</v>
      </c>
      <c r="G58" s="2" t="s">
        <v>16</v>
      </c>
      <c r="H58" s="2" t="s">
        <v>22</v>
      </c>
      <c r="I58" s="2" t="s">
        <v>33</v>
      </c>
      <c r="J58" s="2" t="s">
        <v>19</v>
      </c>
      <c r="K58" s="2" t="s">
        <v>36</v>
      </c>
      <c r="L58" s="2" t="s">
        <v>37</v>
      </c>
      <c r="M58" s="2">
        <v>11</v>
      </c>
      <c r="N58" s="4">
        <v>35.78</v>
      </c>
      <c r="O58" s="5">
        <v>0</v>
      </c>
      <c r="P58" s="4">
        <v>13.84</v>
      </c>
      <c r="Q58" s="4">
        <f t="shared" si="2"/>
        <v>393.58000000000004</v>
      </c>
      <c r="R58" s="4">
        <f t="shared" si="3"/>
        <v>152.24</v>
      </c>
      <c r="S58" s="4">
        <f t="shared" si="4"/>
        <v>241.34000000000003</v>
      </c>
      <c r="T58" s="6">
        <f t="shared" si="5"/>
        <v>0.61319172722191173</v>
      </c>
    </row>
    <row r="59" spans="1:20" x14ac:dyDescent="0.3">
      <c r="A59" s="2">
        <v>1246</v>
      </c>
      <c r="B59" s="3">
        <v>46043</v>
      </c>
      <c r="C59" s="2">
        <f t="shared" si="0"/>
        <v>2026</v>
      </c>
      <c r="D59" s="2">
        <f t="shared" si="6"/>
        <v>1</v>
      </c>
      <c r="E59" s="2">
        <f t="shared" si="1"/>
        <v>1</v>
      </c>
      <c r="F59" s="2" t="str">
        <f t="shared" si="7"/>
        <v>Jan</v>
      </c>
      <c r="G59" s="2" t="s">
        <v>48</v>
      </c>
      <c r="H59" s="2" t="s">
        <v>66</v>
      </c>
      <c r="I59" s="2" t="s">
        <v>27</v>
      </c>
      <c r="J59" s="2" t="s">
        <v>19</v>
      </c>
      <c r="K59" s="2" t="s">
        <v>20</v>
      </c>
      <c r="L59" s="2" t="s">
        <v>52</v>
      </c>
      <c r="M59" s="2">
        <v>4</v>
      </c>
      <c r="N59" s="4">
        <v>89.99</v>
      </c>
      <c r="O59" s="5">
        <v>0</v>
      </c>
      <c r="P59" s="4">
        <v>42.25</v>
      </c>
      <c r="Q59" s="4">
        <f t="shared" si="2"/>
        <v>359.96</v>
      </c>
      <c r="R59" s="4">
        <f t="shared" si="3"/>
        <v>169</v>
      </c>
      <c r="S59" s="4">
        <f t="shared" si="4"/>
        <v>190.95999999999998</v>
      </c>
      <c r="T59" s="6">
        <f t="shared" si="5"/>
        <v>0.53050338926547391</v>
      </c>
    </row>
    <row r="60" spans="1:20" x14ac:dyDescent="0.3">
      <c r="A60" s="2">
        <v>1363</v>
      </c>
      <c r="B60" s="3">
        <v>46044</v>
      </c>
      <c r="C60" s="2">
        <f t="shared" si="0"/>
        <v>2026</v>
      </c>
      <c r="D60" s="2">
        <f t="shared" si="6"/>
        <v>1</v>
      </c>
      <c r="E60" s="2">
        <f t="shared" si="1"/>
        <v>1</v>
      </c>
      <c r="F60" s="2" t="str">
        <f t="shared" si="7"/>
        <v>Jan</v>
      </c>
      <c r="G60" s="2" t="s">
        <v>48</v>
      </c>
      <c r="H60" s="2" t="s">
        <v>63</v>
      </c>
      <c r="I60" s="2" t="s">
        <v>27</v>
      </c>
      <c r="J60" s="2" t="s">
        <v>38</v>
      </c>
      <c r="K60" s="2" t="s">
        <v>36</v>
      </c>
      <c r="L60" s="2" t="s">
        <v>62</v>
      </c>
      <c r="M60" s="2">
        <v>13</v>
      </c>
      <c r="N60" s="4">
        <v>124.97</v>
      </c>
      <c r="O60" s="5">
        <v>0</v>
      </c>
      <c r="P60" s="4">
        <v>67.36</v>
      </c>
      <c r="Q60" s="4">
        <f t="shared" si="2"/>
        <v>1624.61</v>
      </c>
      <c r="R60" s="4">
        <f t="shared" si="3"/>
        <v>875.68</v>
      </c>
      <c r="S60" s="4">
        <f t="shared" si="4"/>
        <v>748.93</v>
      </c>
      <c r="T60" s="6">
        <f t="shared" si="5"/>
        <v>0.46099063775306071</v>
      </c>
    </row>
    <row r="61" spans="1:20" x14ac:dyDescent="0.3">
      <c r="A61" s="2">
        <v>1379</v>
      </c>
      <c r="B61" s="3">
        <v>46044</v>
      </c>
      <c r="C61" s="2">
        <f t="shared" si="0"/>
        <v>2026</v>
      </c>
      <c r="D61" s="2">
        <f t="shared" si="6"/>
        <v>1</v>
      </c>
      <c r="E61" s="2">
        <f t="shared" si="1"/>
        <v>1</v>
      </c>
      <c r="F61" s="2" t="str">
        <f t="shared" si="7"/>
        <v>Jan</v>
      </c>
      <c r="G61" s="2" t="s">
        <v>16</v>
      </c>
      <c r="H61" s="2" t="s">
        <v>22</v>
      </c>
      <c r="I61" s="2" t="s">
        <v>18</v>
      </c>
      <c r="J61" s="2" t="s">
        <v>38</v>
      </c>
      <c r="K61" s="2" t="s">
        <v>28</v>
      </c>
      <c r="L61" s="2" t="s">
        <v>29</v>
      </c>
      <c r="M61" s="2">
        <v>2</v>
      </c>
      <c r="N61" s="4">
        <v>54.75</v>
      </c>
      <c r="O61" s="5">
        <v>0.15</v>
      </c>
      <c r="P61" s="4">
        <v>24.3</v>
      </c>
      <c r="Q61" s="4">
        <f t="shared" si="2"/>
        <v>93.075000000000003</v>
      </c>
      <c r="R61" s="4">
        <f t="shared" si="3"/>
        <v>48.6</v>
      </c>
      <c r="S61" s="4">
        <f t="shared" si="4"/>
        <v>44.475000000000001</v>
      </c>
      <c r="T61" s="6">
        <f t="shared" si="5"/>
        <v>0.47784045124899277</v>
      </c>
    </row>
    <row r="62" spans="1:20" x14ac:dyDescent="0.3">
      <c r="A62" s="2">
        <v>1215</v>
      </c>
      <c r="B62" s="3">
        <v>46045</v>
      </c>
      <c r="C62" s="2">
        <f t="shared" si="0"/>
        <v>2026</v>
      </c>
      <c r="D62" s="2">
        <f t="shared" si="6"/>
        <v>1</v>
      </c>
      <c r="E62" s="2">
        <f t="shared" si="1"/>
        <v>1</v>
      </c>
      <c r="F62" s="2" t="str">
        <f t="shared" si="7"/>
        <v>Jan</v>
      </c>
      <c r="G62" s="2" t="s">
        <v>16</v>
      </c>
      <c r="H62" s="2" t="s">
        <v>32</v>
      </c>
      <c r="I62" s="2" t="s">
        <v>33</v>
      </c>
      <c r="J62" s="2" t="s">
        <v>19</v>
      </c>
      <c r="K62" s="2" t="s">
        <v>25</v>
      </c>
      <c r="L62" s="2" t="s">
        <v>60</v>
      </c>
      <c r="M62" s="2">
        <v>9</v>
      </c>
      <c r="N62" s="4">
        <v>81.260000000000005</v>
      </c>
      <c r="O62" s="5">
        <v>0.1</v>
      </c>
      <c r="P62" s="4">
        <v>39.119999999999997</v>
      </c>
      <c r="Q62" s="4">
        <f t="shared" si="2"/>
        <v>658.20600000000002</v>
      </c>
      <c r="R62" s="4">
        <f t="shared" si="3"/>
        <v>352.08</v>
      </c>
      <c r="S62" s="4">
        <f t="shared" si="4"/>
        <v>306.12600000000003</v>
      </c>
      <c r="T62" s="6">
        <f t="shared" si="5"/>
        <v>0.46509147592091232</v>
      </c>
    </row>
    <row r="63" spans="1:20" x14ac:dyDescent="0.3">
      <c r="A63" s="2">
        <v>1454</v>
      </c>
      <c r="B63" s="3">
        <v>46045</v>
      </c>
      <c r="C63" s="2">
        <f t="shared" si="0"/>
        <v>2026</v>
      </c>
      <c r="D63" s="2">
        <f t="shared" si="6"/>
        <v>1</v>
      </c>
      <c r="E63" s="2">
        <f t="shared" si="1"/>
        <v>1</v>
      </c>
      <c r="F63" s="2" t="str">
        <f t="shared" si="7"/>
        <v>Jan</v>
      </c>
      <c r="G63" s="2" t="s">
        <v>41</v>
      </c>
      <c r="H63" s="2" t="s">
        <v>59</v>
      </c>
      <c r="I63" s="2" t="s">
        <v>33</v>
      </c>
      <c r="J63" s="2" t="s">
        <v>24</v>
      </c>
      <c r="K63" s="2" t="s">
        <v>25</v>
      </c>
      <c r="L63" s="2" t="s">
        <v>60</v>
      </c>
      <c r="M63" s="2">
        <v>7</v>
      </c>
      <c r="N63" s="4">
        <v>81.260000000000005</v>
      </c>
      <c r="O63" s="5">
        <v>0.1</v>
      </c>
      <c r="P63" s="4">
        <v>39.119999999999997</v>
      </c>
      <c r="Q63" s="4">
        <f t="shared" si="2"/>
        <v>511.93800000000005</v>
      </c>
      <c r="R63" s="4">
        <f t="shared" si="3"/>
        <v>273.83999999999997</v>
      </c>
      <c r="S63" s="4">
        <f t="shared" si="4"/>
        <v>238.09800000000007</v>
      </c>
      <c r="T63" s="6">
        <f t="shared" si="5"/>
        <v>0.46509147592091238</v>
      </c>
    </row>
    <row r="64" spans="1:20" x14ac:dyDescent="0.3">
      <c r="A64" s="2">
        <v>1187</v>
      </c>
      <c r="B64" s="3">
        <v>46046</v>
      </c>
      <c r="C64" s="2">
        <f t="shared" si="0"/>
        <v>2026</v>
      </c>
      <c r="D64" s="2">
        <f t="shared" si="6"/>
        <v>1</v>
      </c>
      <c r="E64" s="2">
        <f t="shared" si="1"/>
        <v>1</v>
      </c>
      <c r="F64" s="2" t="str">
        <f t="shared" si="7"/>
        <v>Jan</v>
      </c>
      <c r="G64" s="2" t="s">
        <v>41</v>
      </c>
      <c r="H64" s="2" t="s">
        <v>59</v>
      </c>
      <c r="I64" s="2" t="s">
        <v>33</v>
      </c>
      <c r="J64" s="2" t="s">
        <v>19</v>
      </c>
      <c r="K64" s="2" t="s">
        <v>20</v>
      </c>
      <c r="L64" s="2" t="s">
        <v>56</v>
      </c>
      <c r="M64" s="2">
        <v>7</v>
      </c>
      <c r="N64" s="4">
        <v>36.72</v>
      </c>
      <c r="O64" s="5">
        <v>0</v>
      </c>
      <c r="P64" s="4">
        <v>13.76</v>
      </c>
      <c r="Q64" s="4">
        <f t="shared" si="2"/>
        <v>257.03999999999996</v>
      </c>
      <c r="R64" s="4">
        <f t="shared" si="3"/>
        <v>96.32</v>
      </c>
      <c r="S64" s="4">
        <f t="shared" si="4"/>
        <v>160.71999999999997</v>
      </c>
      <c r="T64" s="6">
        <f t="shared" si="5"/>
        <v>0.62527233115468406</v>
      </c>
    </row>
    <row r="65" spans="1:20" x14ac:dyDescent="0.3">
      <c r="A65" s="2">
        <v>1345</v>
      </c>
      <c r="B65" s="3">
        <v>46046</v>
      </c>
      <c r="C65" s="2">
        <f t="shared" si="0"/>
        <v>2026</v>
      </c>
      <c r="D65" s="2">
        <f t="shared" si="6"/>
        <v>1</v>
      </c>
      <c r="E65" s="2">
        <f t="shared" si="1"/>
        <v>1</v>
      </c>
      <c r="F65" s="2" t="str">
        <f t="shared" si="7"/>
        <v>Jan</v>
      </c>
      <c r="G65" s="2" t="s">
        <v>30</v>
      </c>
      <c r="H65" s="2" t="s">
        <v>31</v>
      </c>
      <c r="I65" s="2" t="s">
        <v>23</v>
      </c>
      <c r="J65" s="2" t="s">
        <v>38</v>
      </c>
      <c r="K65" s="2" t="s">
        <v>43</v>
      </c>
      <c r="L65" s="2" t="s">
        <v>65</v>
      </c>
      <c r="M65" s="2">
        <v>4</v>
      </c>
      <c r="N65" s="4">
        <v>28.5</v>
      </c>
      <c r="O65" s="5">
        <v>0.1</v>
      </c>
      <c r="P65" s="4">
        <v>12.8</v>
      </c>
      <c r="Q65" s="4">
        <f t="shared" si="2"/>
        <v>102.60000000000001</v>
      </c>
      <c r="R65" s="4">
        <f t="shared" si="3"/>
        <v>51.2</v>
      </c>
      <c r="S65" s="4">
        <f t="shared" si="4"/>
        <v>51.400000000000006</v>
      </c>
      <c r="T65" s="6">
        <f t="shared" si="5"/>
        <v>0.50097465886939574</v>
      </c>
    </row>
    <row r="66" spans="1:20" x14ac:dyDescent="0.3">
      <c r="A66" s="2">
        <v>1389</v>
      </c>
      <c r="B66" s="3">
        <v>46046</v>
      </c>
      <c r="C66" s="2">
        <f t="shared" ref="C66:C129" si="8">YEAR(B66)</f>
        <v>2026</v>
      </c>
      <c r="D66" s="2">
        <f t="shared" si="6"/>
        <v>1</v>
      </c>
      <c r="E66" s="2">
        <f t="shared" ref="E66:E129" si="9">MONTH(B66)</f>
        <v>1</v>
      </c>
      <c r="F66" s="2" t="str">
        <f t="shared" si="7"/>
        <v>Jan</v>
      </c>
      <c r="G66" s="2" t="s">
        <v>48</v>
      </c>
      <c r="H66" s="2" t="s">
        <v>63</v>
      </c>
      <c r="I66" s="2" t="s">
        <v>33</v>
      </c>
      <c r="J66" s="2" t="s">
        <v>19</v>
      </c>
      <c r="K66" s="2" t="s">
        <v>43</v>
      </c>
      <c r="L66" s="2" t="s">
        <v>65</v>
      </c>
      <c r="M66" s="2">
        <v>1</v>
      </c>
      <c r="N66" s="4">
        <v>28.5</v>
      </c>
      <c r="O66" s="5">
        <v>0</v>
      </c>
      <c r="P66" s="4">
        <v>12.8</v>
      </c>
      <c r="Q66" s="4">
        <f t="shared" ref="Q66:Q129" si="10">M66*N66*(1-O66)</f>
        <v>28.5</v>
      </c>
      <c r="R66" s="4">
        <f t="shared" ref="R66:R129" si="11">M66*P66</f>
        <v>12.8</v>
      </c>
      <c r="S66" s="4">
        <f t="shared" ref="S66:S129" si="12">Q66-R66</f>
        <v>15.7</v>
      </c>
      <c r="T66" s="6">
        <f t="shared" ref="T66:T129" si="13">IFERROR(S66/Q66,0)</f>
        <v>0.55087719298245608</v>
      </c>
    </row>
    <row r="67" spans="1:20" x14ac:dyDescent="0.3">
      <c r="A67" s="2">
        <v>1468</v>
      </c>
      <c r="B67" s="3">
        <v>46046</v>
      </c>
      <c r="C67" s="2">
        <f t="shared" si="8"/>
        <v>2026</v>
      </c>
      <c r="D67" s="2">
        <f t="shared" ref="D67:D130" si="14">ROUNDUP(MONTH(B67)/3,0)</f>
        <v>1</v>
      </c>
      <c r="E67" s="2">
        <f t="shared" si="9"/>
        <v>1</v>
      </c>
      <c r="F67" s="2" t="str">
        <f t="shared" ref="F67:F130" si="15">TEXT(B67,"MMM")</f>
        <v>Jan</v>
      </c>
      <c r="G67" s="2" t="s">
        <v>16</v>
      </c>
      <c r="H67" s="2" t="s">
        <v>22</v>
      </c>
      <c r="I67" s="2" t="s">
        <v>33</v>
      </c>
      <c r="J67" s="2" t="s">
        <v>38</v>
      </c>
      <c r="K67" s="2" t="s">
        <v>43</v>
      </c>
      <c r="L67" s="2" t="s">
        <v>50</v>
      </c>
      <c r="M67" s="2">
        <v>11</v>
      </c>
      <c r="N67" s="4">
        <v>100.12</v>
      </c>
      <c r="O67" s="5">
        <v>0</v>
      </c>
      <c r="P67" s="4">
        <v>49.67</v>
      </c>
      <c r="Q67" s="4">
        <f t="shared" si="10"/>
        <v>1101.3200000000002</v>
      </c>
      <c r="R67" s="4">
        <f t="shared" si="11"/>
        <v>546.37</v>
      </c>
      <c r="S67" s="4">
        <f t="shared" si="12"/>
        <v>554.95000000000016</v>
      </c>
      <c r="T67" s="6">
        <f t="shared" si="13"/>
        <v>0.50389532560926897</v>
      </c>
    </row>
    <row r="68" spans="1:20" x14ac:dyDescent="0.3">
      <c r="A68" s="2">
        <v>1415</v>
      </c>
      <c r="B68" s="3">
        <v>46047</v>
      </c>
      <c r="C68" s="2">
        <f t="shared" si="8"/>
        <v>2026</v>
      </c>
      <c r="D68" s="2">
        <f t="shared" si="14"/>
        <v>1</v>
      </c>
      <c r="E68" s="2">
        <f t="shared" si="9"/>
        <v>1</v>
      </c>
      <c r="F68" s="2" t="str">
        <f t="shared" si="15"/>
        <v>Jan</v>
      </c>
      <c r="G68" s="2" t="s">
        <v>16</v>
      </c>
      <c r="H68" s="2" t="s">
        <v>32</v>
      </c>
      <c r="I68" s="2" t="s">
        <v>27</v>
      </c>
      <c r="J68" s="2" t="s">
        <v>24</v>
      </c>
      <c r="K68" s="2" t="s">
        <v>36</v>
      </c>
      <c r="L68" s="2" t="s">
        <v>58</v>
      </c>
      <c r="M68" s="2">
        <v>3</v>
      </c>
      <c r="N68" s="4">
        <v>32.99</v>
      </c>
      <c r="O68" s="5">
        <v>0</v>
      </c>
      <c r="P68" s="4">
        <v>12.5</v>
      </c>
      <c r="Q68" s="4">
        <f t="shared" si="10"/>
        <v>98.97</v>
      </c>
      <c r="R68" s="4">
        <f t="shared" si="11"/>
        <v>37.5</v>
      </c>
      <c r="S68" s="4">
        <f t="shared" si="12"/>
        <v>61.47</v>
      </c>
      <c r="T68" s="6">
        <f t="shared" si="13"/>
        <v>0.6210973022127918</v>
      </c>
    </row>
    <row r="69" spans="1:20" x14ac:dyDescent="0.3">
      <c r="A69" s="2">
        <v>1094</v>
      </c>
      <c r="B69" s="3">
        <v>46048</v>
      </c>
      <c r="C69" s="2">
        <f t="shared" si="8"/>
        <v>2026</v>
      </c>
      <c r="D69" s="2">
        <f t="shared" si="14"/>
        <v>1</v>
      </c>
      <c r="E69" s="2">
        <f t="shared" si="9"/>
        <v>1</v>
      </c>
      <c r="F69" s="2" t="str">
        <f t="shared" si="15"/>
        <v>Jan</v>
      </c>
      <c r="G69" s="2" t="s">
        <v>41</v>
      </c>
      <c r="H69" s="2" t="s">
        <v>53</v>
      </c>
      <c r="I69" s="2" t="s">
        <v>23</v>
      </c>
      <c r="J69" s="2" t="s">
        <v>19</v>
      </c>
      <c r="K69" s="2" t="s">
        <v>20</v>
      </c>
      <c r="L69" s="2" t="s">
        <v>56</v>
      </c>
      <c r="M69" s="2">
        <v>3</v>
      </c>
      <c r="N69" s="4">
        <v>36.72</v>
      </c>
      <c r="O69" s="5">
        <v>0</v>
      </c>
      <c r="P69" s="4">
        <v>13.76</v>
      </c>
      <c r="Q69" s="4">
        <f t="shared" si="10"/>
        <v>110.16</v>
      </c>
      <c r="R69" s="4">
        <f t="shared" si="11"/>
        <v>41.28</v>
      </c>
      <c r="S69" s="4">
        <f t="shared" si="12"/>
        <v>68.88</v>
      </c>
      <c r="T69" s="6">
        <f t="shared" si="13"/>
        <v>0.62527233115468406</v>
      </c>
    </row>
    <row r="70" spans="1:20" x14ac:dyDescent="0.3">
      <c r="A70" s="2">
        <v>1181</v>
      </c>
      <c r="B70" s="3">
        <v>46048</v>
      </c>
      <c r="C70" s="2">
        <f t="shared" si="8"/>
        <v>2026</v>
      </c>
      <c r="D70" s="2">
        <f t="shared" si="14"/>
        <v>1</v>
      </c>
      <c r="E70" s="2">
        <f t="shared" si="9"/>
        <v>1</v>
      </c>
      <c r="F70" s="2" t="str">
        <f t="shared" si="15"/>
        <v>Jan</v>
      </c>
      <c r="G70" s="2" t="s">
        <v>16</v>
      </c>
      <c r="H70" s="2" t="s">
        <v>22</v>
      </c>
      <c r="I70" s="2" t="s">
        <v>23</v>
      </c>
      <c r="J70" s="2" t="s">
        <v>24</v>
      </c>
      <c r="K70" s="2" t="s">
        <v>20</v>
      </c>
      <c r="L70" s="2" t="s">
        <v>21</v>
      </c>
      <c r="M70" s="2">
        <v>10</v>
      </c>
      <c r="N70" s="4">
        <v>46.99</v>
      </c>
      <c r="O70" s="5">
        <v>0.1</v>
      </c>
      <c r="P70" s="4">
        <v>18.11</v>
      </c>
      <c r="Q70" s="4">
        <f t="shared" si="10"/>
        <v>422.91</v>
      </c>
      <c r="R70" s="4">
        <f t="shared" si="11"/>
        <v>181.1</v>
      </c>
      <c r="S70" s="4">
        <f t="shared" si="12"/>
        <v>241.81000000000003</v>
      </c>
      <c r="T70" s="6">
        <f t="shared" si="13"/>
        <v>0.57177650091035925</v>
      </c>
    </row>
    <row r="71" spans="1:20" x14ac:dyDescent="0.3">
      <c r="A71" s="2">
        <v>1284</v>
      </c>
      <c r="B71" s="3">
        <v>46048</v>
      </c>
      <c r="C71" s="2">
        <f t="shared" si="8"/>
        <v>2026</v>
      </c>
      <c r="D71" s="2">
        <f t="shared" si="14"/>
        <v>1</v>
      </c>
      <c r="E71" s="2">
        <f t="shared" si="9"/>
        <v>1</v>
      </c>
      <c r="F71" s="2" t="str">
        <f t="shared" si="15"/>
        <v>Jan</v>
      </c>
      <c r="G71" s="2" t="s">
        <v>30</v>
      </c>
      <c r="H71" s="2" t="s">
        <v>31</v>
      </c>
      <c r="I71" s="2" t="s">
        <v>18</v>
      </c>
      <c r="J71" s="2" t="s">
        <v>19</v>
      </c>
      <c r="K71" s="2" t="s">
        <v>28</v>
      </c>
      <c r="L71" s="2" t="s">
        <v>39</v>
      </c>
      <c r="M71" s="2">
        <v>6</v>
      </c>
      <c r="N71" s="4">
        <v>153.38999999999999</v>
      </c>
      <c r="O71" s="5">
        <v>0.1</v>
      </c>
      <c r="P71" s="4">
        <v>78.59</v>
      </c>
      <c r="Q71" s="4">
        <f t="shared" si="10"/>
        <v>828.30599999999993</v>
      </c>
      <c r="R71" s="4">
        <f t="shared" si="11"/>
        <v>471.54</v>
      </c>
      <c r="S71" s="4">
        <f t="shared" si="12"/>
        <v>356.76599999999991</v>
      </c>
      <c r="T71" s="6">
        <f t="shared" si="13"/>
        <v>0.43071763333840385</v>
      </c>
    </row>
    <row r="72" spans="1:20" x14ac:dyDescent="0.3">
      <c r="A72" s="2">
        <v>1103</v>
      </c>
      <c r="B72" s="3">
        <v>46049</v>
      </c>
      <c r="C72" s="2">
        <f t="shared" si="8"/>
        <v>2026</v>
      </c>
      <c r="D72" s="2">
        <f t="shared" si="14"/>
        <v>1</v>
      </c>
      <c r="E72" s="2">
        <f t="shared" si="9"/>
        <v>1</v>
      </c>
      <c r="F72" s="2" t="str">
        <f t="shared" si="15"/>
        <v>Jan</v>
      </c>
      <c r="G72" s="2" t="s">
        <v>41</v>
      </c>
      <c r="H72" s="2" t="s">
        <v>42</v>
      </c>
      <c r="I72" s="2" t="s">
        <v>33</v>
      </c>
      <c r="J72" s="2" t="s">
        <v>19</v>
      </c>
      <c r="K72" s="2" t="s">
        <v>25</v>
      </c>
      <c r="L72" s="2" t="s">
        <v>60</v>
      </c>
      <c r="M72" s="2">
        <v>5</v>
      </c>
      <c r="N72" s="4">
        <v>81.260000000000005</v>
      </c>
      <c r="O72" s="5">
        <v>0.2</v>
      </c>
      <c r="P72" s="4">
        <v>39.119999999999997</v>
      </c>
      <c r="Q72" s="4">
        <f t="shared" si="10"/>
        <v>325.04000000000002</v>
      </c>
      <c r="R72" s="4">
        <f t="shared" si="11"/>
        <v>195.6</v>
      </c>
      <c r="S72" s="4">
        <f t="shared" si="12"/>
        <v>129.44000000000003</v>
      </c>
      <c r="T72" s="6">
        <f t="shared" si="13"/>
        <v>0.3982279104110264</v>
      </c>
    </row>
    <row r="73" spans="1:20" x14ac:dyDescent="0.3">
      <c r="A73" s="2">
        <v>1327</v>
      </c>
      <c r="B73" s="3">
        <v>46049</v>
      </c>
      <c r="C73" s="2">
        <f t="shared" si="8"/>
        <v>2026</v>
      </c>
      <c r="D73" s="2">
        <f t="shared" si="14"/>
        <v>1</v>
      </c>
      <c r="E73" s="2">
        <f t="shared" si="9"/>
        <v>1</v>
      </c>
      <c r="F73" s="2" t="str">
        <f t="shared" si="15"/>
        <v>Jan</v>
      </c>
      <c r="G73" s="2" t="s">
        <v>41</v>
      </c>
      <c r="H73" s="2" t="s">
        <v>42</v>
      </c>
      <c r="I73" s="2" t="s">
        <v>27</v>
      </c>
      <c r="J73" s="2" t="s">
        <v>19</v>
      </c>
      <c r="K73" s="2" t="s">
        <v>20</v>
      </c>
      <c r="L73" s="2" t="s">
        <v>21</v>
      </c>
      <c r="M73" s="2">
        <v>8</v>
      </c>
      <c r="N73" s="4">
        <v>46.99</v>
      </c>
      <c r="O73" s="5">
        <v>0</v>
      </c>
      <c r="P73" s="4">
        <v>18.11</v>
      </c>
      <c r="Q73" s="4">
        <f t="shared" si="10"/>
        <v>375.92</v>
      </c>
      <c r="R73" s="4">
        <f t="shared" si="11"/>
        <v>144.88</v>
      </c>
      <c r="S73" s="4">
        <f t="shared" si="12"/>
        <v>231.04000000000002</v>
      </c>
      <c r="T73" s="6">
        <f t="shared" si="13"/>
        <v>0.61459885081932331</v>
      </c>
    </row>
    <row r="74" spans="1:20" x14ac:dyDescent="0.3">
      <c r="A74" s="2">
        <v>1442</v>
      </c>
      <c r="B74" s="3">
        <v>46049</v>
      </c>
      <c r="C74" s="2">
        <f t="shared" si="8"/>
        <v>2026</v>
      </c>
      <c r="D74" s="2">
        <f t="shared" si="14"/>
        <v>1</v>
      </c>
      <c r="E74" s="2">
        <f t="shared" si="9"/>
        <v>1</v>
      </c>
      <c r="F74" s="2" t="str">
        <f t="shared" si="15"/>
        <v>Jan</v>
      </c>
      <c r="G74" s="2" t="s">
        <v>16</v>
      </c>
      <c r="H74" s="2" t="s">
        <v>22</v>
      </c>
      <c r="I74" s="2" t="s">
        <v>18</v>
      </c>
      <c r="J74" s="2" t="s">
        <v>38</v>
      </c>
      <c r="K74" s="2" t="s">
        <v>20</v>
      </c>
      <c r="L74" s="2" t="s">
        <v>34</v>
      </c>
      <c r="M74" s="2">
        <v>5</v>
      </c>
      <c r="N74" s="4">
        <v>29.95</v>
      </c>
      <c r="O74" s="5">
        <v>0.2</v>
      </c>
      <c r="P74" s="4">
        <v>11.5</v>
      </c>
      <c r="Q74" s="4">
        <f t="shared" si="10"/>
        <v>119.80000000000001</v>
      </c>
      <c r="R74" s="4">
        <f t="shared" si="11"/>
        <v>57.5</v>
      </c>
      <c r="S74" s="4">
        <f t="shared" si="12"/>
        <v>62.300000000000011</v>
      </c>
      <c r="T74" s="6">
        <f t="shared" si="13"/>
        <v>0.52003338898163609</v>
      </c>
    </row>
    <row r="75" spans="1:20" x14ac:dyDescent="0.3">
      <c r="A75" s="2">
        <v>1457</v>
      </c>
      <c r="B75" s="3">
        <v>46049</v>
      </c>
      <c r="C75" s="2">
        <f t="shared" si="8"/>
        <v>2026</v>
      </c>
      <c r="D75" s="2">
        <f t="shared" si="14"/>
        <v>1</v>
      </c>
      <c r="E75" s="2">
        <f t="shared" si="9"/>
        <v>1</v>
      </c>
      <c r="F75" s="2" t="str">
        <f t="shared" si="15"/>
        <v>Jan</v>
      </c>
      <c r="G75" s="2" t="s">
        <v>30</v>
      </c>
      <c r="H75" s="2" t="s">
        <v>31</v>
      </c>
      <c r="I75" s="2" t="s">
        <v>27</v>
      </c>
      <c r="J75" s="2" t="s">
        <v>38</v>
      </c>
      <c r="K75" s="2" t="s">
        <v>28</v>
      </c>
      <c r="L75" s="2" t="s">
        <v>64</v>
      </c>
      <c r="M75" s="2">
        <v>14</v>
      </c>
      <c r="N75" s="4">
        <v>94.18</v>
      </c>
      <c r="O75" s="5">
        <v>0</v>
      </c>
      <c r="P75" s="4">
        <v>45.03</v>
      </c>
      <c r="Q75" s="4">
        <f t="shared" si="10"/>
        <v>1318.52</v>
      </c>
      <c r="R75" s="4">
        <f t="shared" si="11"/>
        <v>630.42000000000007</v>
      </c>
      <c r="S75" s="4">
        <f t="shared" si="12"/>
        <v>688.09999999999991</v>
      </c>
      <c r="T75" s="6">
        <f t="shared" si="13"/>
        <v>0.5218730091314504</v>
      </c>
    </row>
    <row r="76" spans="1:20" x14ac:dyDescent="0.3">
      <c r="A76" s="2">
        <v>1474</v>
      </c>
      <c r="B76" s="3">
        <v>46049</v>
      </c>
      <c r="C76" s="2">
        <f t="shared" si="8"/>
        <v>2026</v>
      </c>
      <c r="D76" s="2">
        <f t="shared" si="14"/>
        <v>1</v>
      </c>
      <c r="E76" s="2">
        <f t="shared" si="9"/>
        <v>1</v>
      </c>
      <c r="F76" s="2" t="str">
        <f t="shared" si="15"/>
        <v>Jan</v>
      </c>
      <c r="G76" s="2" t="s">
        <v>30</v>
      </c>
      <c r="H76" s="2" t="s">
        <v>46</v>
      </c>
      <c r="I76" s="2" t="s">
        <v>33</v>
      </c>
      <c r="J76" s="2" t="s">
        <v>38</v>
      </c>
      <c r="K76" s="2" t="s">
        <v>36</v>
      </c>
      <c r="L76" s="2" t="s">
        <v>58</v>
      </c>
      <c r="M76" s="2">
        <v>3</v>
      </c>
      <c r="N76" s="4">
        <v>32.99</v>
      </c>
      <c r="O76" s="5">
        <v>0.15</v>
      </c>
      <c r="P76" s="4">
        <v>12.5</v>
      </c>
      <c r="Q76" s="4">
        <f t="shared" si="10"/>
        <v>84.124499999999998</v>
      </c>
      <c r="R76" s="4">
        <f t="shared" si="11"/>
        <v>37.5</v>
      </c>
      <c r="S76" s="4">
        <f t="shared" si="12"/>
        <v>46.624499999999998</v>
      </c>
      <c r="T76" s="6">
        <f t="shared" si="13"/>
        <v>0.55423212025034319</v>
      </c>
    </row>
    <row r="77" spans="1:20" x14ac:dyDescent="0.3">
      <c r="A77" s="2">
        <v>1050</v>
      </c>
      <c r="B77" s="3">
        <v>46050</v>
      </c>
      <c r="C77" s="2">
        <f t="shared" si="8"/>
        <v>2026</v>
      </c>
      <c r="D77" s="2">
        <f t="shared" si="14"/>
        <v>1</v>
      </c>
      <c r="E77" s="2">
        <f t="shared" si="9"/>
        <v>1</v>
      </c>
      <c r="F77" s="2" t="str">
        <f t="shared" si="15"/>
        <v>Jan</v>
      </c>
      <c r="G77" s="2" t="s">
        <v>30</v>
      </c>
      <c r="H77" s="2" t="s">
        <v>31</v>
      </c>
      <c r="I77" s="2" t="s">
        <v>18</v>
      </c>
      <c r="J77" s="2" t="s">
        <v>38</v>
      </c>
      <c r="K77" s="2" t="s">
        <v>20</v>
      </c>
      <c r="L77" s="2" t="s">
        <v>52</v>
      </c>
      <c r="M77" s="2">
        <v>10</v>
      </c>
      <c r="N77" s="4">
        <v>89.99</v>
      </c>
      <c r="O77" s="5">
        <v>0.15</v>
      </c>
      <c r="P77" s="4">
        <v>42.25</v>
      </c>
      <c r="Q77" s="4">
        <f t="shared" si="10"/>
        <v>764.91499999999996</v>
      </c>
      <c r="R77" s="4">
        <f t="shared" si="11"/>
        <v>422.5</v>
      </c>
      <c r="S77" s="4">
        <f t="shared" si="12"/>
        <v>342.41499999999996</v>
      </c>
      <c r="T77" s="6">
        <f t="shared" si="13"/>
        <v>0.44765104619467522</v>
      </c>
    </row>
    <row r="78" spans="1:20" x14ac:dyDescent="0.3">
      <c r="A78" s="2">
        <v>1382</v>
      </c>
      <c r="B78" s="3">
        <v>46050</v>
      </c>
      <c r="C78" s="2">
        <f t="shared" si="8"/>
        <v>2026</v>
      </c>
      <c r="D78" s="2">
        <f t="shared" si="14"/>
        <v>1</v>
      </c>
      <c r="E78" s="2">
        <f t="shared" si="9"/>
        <v>1</v>
      </c>
      <c r="F78" s="2" t="str">
        <f t="shared" si="15"/>
        <v>Jan</v>
      </c>
      <c r="G78" s="2" t="s">
        <v>41</v>
      </c>
      <c r="H78" s="2" t="s">
        <v>51</v>
      </c>
      <c r="I78" s="2" t="s">
        <v>33</v>
      </c>
      <c r="J78" s="2" t="s">
        <v>24</v>
      </c>
      <c r="K78" s="2" t="s">
        <v>28</v>
      </c>
      <c r="L78" s="2" t="s">
        <v>29</v>
      </c>
      <c r="M78" s="2">
        <v>8</v>
      </c>
      <c r="N78" s="4">
        <v>54.75</v>
      </c>
      <c r="O78" s="5">
        <v>0.05</v>
      </c>
      <c r="P78" s="4">
        <v>24.3</v>
      </c>
      <c r="Q78" s="4">
        <f t="shared" si="10"/>
        <v>416.09999999999997</v>
      </c>
      <c r="R78" s="4">
        <f t="shared" si="11"/>
        <v>194.4</v>
      </c>
      <c r="S78" s="4">
        <f t="shared" si="12"/>
        <v>221.69999999999996</v>
      </c>
      <c r="T78" s="6">
        <f t="shared" si="13"/>
        <v>0.53280461427541448</v>
      </c>
    </row>
    <row r="79" spans="1:20" x14ac:dyDescent="0.3">
      <c r="A79" s="2">
        <v>1323</v>
      </c>
      <c r="B79" s="3">
        <v>46052</v>
      </c>
      <c r="C79" s="2">
        <f t="shared" si="8"/>
        <v>2026</v>
      </c>
      <c r="D79" s="2">
        <f t="shared" si="14"/>
        <v>1</v>
      </c>
      <c r="E79" s="2">
        <f t="shared" si="9"/>
        <v>1</v>
      </c>
      <c r="F79" s="2" t="str">
        <f t="shared" si="15"/>
        <v>Jan</v>
      </c>
      <c r="G79" s="2" t="s">
        <v>16</v>
      </c>
      <c r="H79" s="2" t="s">
        <v>32</v>
      </c>
      <c r="I79" s="2" t="s">
        <v>23</v>
      </c>
      <c r="J79" s="2" t="s">
        <v>19</v>
      </c>
      <c r="K79" s="2" t="s">
        <v>43</v>
      </c>
      <c r="L79" s="2" t="s">
        <v>44</v>
      </c>
      <c r="M79" s="2">
        <v>15</v>
      </c>
      <c r="N79" s="4">
        <v>49.6</v>
      </c>
      <c r="O79" s="5">
        <v>0.2</v>
      </c>
      <c r="P79" s="4">
        <v>23.05</v>
      </c>
      <c r="Q79" s="4">
        <f t="shared" si="10"/>
        <v>595.20000000000005</v>
      </c>
      <c r="R79" s="4">
        <f t="shared" si="11"/>
        <v>345.75</v>
      </c>
      <c r="S79" s="4">
        <f t="shared" si="12"/>
        <v>249.45000000000005</v>
      </c>
      <c r="T79" s="6">
        <f t="shared" si="13"/>
        <v>0.41910282258064518</v>
      </c>
    </row>
    <row r="80" spans="1:20" x14ac:dyDescent="0.3">
      <c r="A80" s="2">
        <v>1365</v>
      </c>
      <c r="B80" s="3">
        <v>46052</v>
      </c>
      <c r="C80" s="2">
        <f t="shared" si="8"/>
        <v>2026</v>
      </c>
      <c r="D80" s="2">
        <f t="shared" si="14"/>
        <v>1</v>
      </c>
      <c r="E80" s="2">
        <f t="shared" si="9"/>
        <v>1</v>
      </c>
      <c r="F80" s="2" t="str">
        <f t="shared" si="15"/>
        <v>Jan</v>
      </c>
      <c r="G80" s="2" t="s">
        <v>30</v>
      </c>
      <c r="H80" s="2" t="s">
        <v>35</v>
      </c>
      <c r="I80" s="2" t="s">
        <v>23</v>
      </c>
      <c r="J80" s="2" t="s">
        <v>19</v>
      </c>
      <c r="K80" s="2" t="s">
        <v>20</v>
      </c>
      <c r="L80" s="2" t="s">
        <v>21</v>
      </c>
      <c r="M80" s="2">
        <v>2</v>
      </c>
      <c r="N80" s="4">
        <v>46.99</v>
      </c>
      <c r="O80" s="5">
        <v>0</v>
      </c>
      <c r="P80" s="4">
        <v>18.11</v>
      </c>
      <c r="Q80" s="4">
        <f t="shared" si="10"/>
        <v>93.98</v>
      </c>
      <c r="R80" s="4">
        <f t="shared" si="11"/>
        <v>36.22</v>
      </c>
      <c r="S80" s="4">
        <f t="shared" si="12"/>
        <v>57.760000000000005</v>
      </c>
      <c r="T80" s="6">
        <f t="shared" si="13"/>
        <v>0.61459885081932331</v>
      </c>
    </row>
    <row r="81" spans="1:20" x14ac:dyDescent="0.3">
      <c r="A81" s="2">
        <v>1462</v>
      </c>
      <c r="B81" s="3">
        <v>46052</v>
      </c>
      <c r="C81" s="2">
        <f t="shared" si="8"/>
        <v>2026</v>
      </c>
      <c r="D81" s="2">
        <f t="shared" si="14"/>
        <v>1</v>
      </c>
      <c r="E81" s="2">
        <f t="shared" si="9"/>
        <v>1</v>
      </c>
      <c r="F81" s="2" t="str">
        <f t="shared" si="15"/>
        <v>Jan</v>
      </c>
      <c r="G81" s="2" t="s">
        <v>30</v>
      </c>
      <c r="H81" s="2" t="s">
        <v>46</v>
      </c>
      <c r="I81" s="2" t="s">
        <v>33</v>
      </c>
      <c r="J81" s="2" t="s">
        <v>19</v>
      </c>
      <c r="K81" s="2" t="s">
        <v>25</v>
      </c>
      <c r="L81" s="2" t="s">
        <v>26</v>
      </c>
      <c r="M81" s="2">
        <v>9</v>
      </c>
      <c r="N81" s="4">
        <v>347.51</v>
      </c>
      <c r="O81" s="5">
        <v>0.05</v>
      </c>
      <c r="P81" s="4">
        <v>190.16</v>
      </c>
      <c r="Q81" s="4">
        <f t="shared" si="10"/>
        <v>2971.2105000000001</v>
      </c>
      <c r="R81" s="4">
        <f t="shared" si="11"/>
        <v>1711.44</v>
      </c>
      <c r="S81" s="4">
        <f t="shared" si="12"/>
        <v>1259.7705000000001</v>
      </c>
      <c r="T81" s="6">
        <f t="shared" si="13"/>
        <v>0.42399234251494466</v>
      </c>
    </row>
    <row r="82" spans="1:20" x14ac:dyDescent="0.3">
      <c r="A82" s="2">
        <v>1087</v>
      </c>
      <c r="B82" s="3">
        <v>46053</v>
      </c>
      <c r="C82" s="2">
        <f t="shared" si="8"/>
        <v>2026</v>
      </c>
      <c r="D82" s="2">
        <f t="shared" si="14"/>
        <v>1</v>
      </c>
      <c r="E82" s="2">
        <f t="shared" si="9"/>
        <v>1</v>
      </c>
      <c r="F82" s="2" t="str">
        <f t="shared" si="15"/>
        <v>Jan</v>
      </c>
      <c r="G82" s="2" t="s">
        <v>41</v>
      </c>
      <c r="H82" s="2" t="s">
        <v>53</v>
      </c>
      <c r="I82" s="2" t="s">
        <v>27</v>
      </c>
      <c r="J82" s="2" t="s">
        <v>24</v>
      </c>
      <c r="K82" s="2" t="s">
        <v>28</v>
      </c>
      <c r="L82" s="2" t="s">
        <v>29</v>
      </c>
      <c r="M82" s="2">
        <v>5</v>
      </c>
      <c r="N82" s="4">
        <v>54.75</v>
      </c>
      <c r="O82" s="5">
        <v>0.2</v>
      </c>
      <c r="P82" s="4">
        <v>24.3</v>
      </c>
      <c r="Q82" s="4">
        <f t="shared" si="10"/>
        <v>219</v>
      </c>
      <c r="R82" s="4">
        <f t="shared" si="11"/>
        <v>121.5</v>
      </c>
      <c r="S82" s="4">
        <f t="shared" si="12"/>
        <v>97.5</v>
      </c>
      <c r="T82" s="6">
        <f t="shared" si="13"/>
        <v>0.4452054794520548</v>
      </c>
    </row>
    <row r="83" spans="1:20" x14ac:dyDescent="0.3">
      <c r="A83" s="2">
        <v>1282</v>
      </c>
      <c r="B83" s="3">
        <v>46053</v>
      </c>
      <c r="C83" s="2">
        <f t="shared" si="8"/>
        <v>2026</v>
      </c>
      <c r="D83" s="2">
        <f t="shared" si="14"/>
        <v>1</v>
      </c>
      <c r="E83" s="2">
        <f t="shared" si="9"/>
        <v>1</v>
      </c>
      <c r="F83" s="2" t="str">
        <f t="shared" si="15"/>
        <v>Jan</v>
      </c>
      <c r="G83" s="2" t="s">
        <v>30</v>
      </c>
      <c r="H83" s="2" t="s">
        <v>45</v>
      </c>
      <c r="I83" s="2" t="s">
        <v>27</v>
      </c>
      <c r="J83" s="2" t="s">
        <v>38</v>
      </c>
      <c r="K83" s="2" t="s">
        <v>36</v>
      </c>
      <c r="L83" s="2" t="s">
        <v>62</v>
      </c>
      <c r="M83" s="2">
        <v>7</v>
      </c>
      <c r="N83" s="4">
        <v>124.97</v>
      </c>
      <c r="O83" s="5">
        <v>0</v>
      </c>
      <c r="P83" s="4">
        <v>67.36</v>
      </c>
      <c r="Q83" s="4">
        <f t="shared" si="10"/>
        <v>874.79</v>
      </c>
      <c r="R83" s="4">
        <f t="shared" si="11"/>
        <v>471.52</v>
      </c>
      <c r="S83" s="4">
        <f t="shared" si="12"/>
        <v>403.27</v>
      </c>
      <c r="T83" s="6">
        <f t="shared" si="13"/>
        <v>0.46099063775306071</v>
      </c>
    </row>
    <row r="84" spans="1:20" x14ac:dyDescent="0.3">
      <c r="A84" s="2">
        <v>1006</v>
      </c>
      <c r="B84" s="3">
        <v>46054</v>
      </c>
      <c r="C84" s="2">
        <f t="shared" si="8"/>
        <v>2026</v>
      </c>
      <c r="D84" s="2">
        <f t="shared" si="14"/>
        <v>1</v>
      </c>
      <c r="E84" s="2">
        <f t="shared" si="9"/>
        <v>2</v>
      </c>
      <c r="F84" s="2" t="str">
        <f t="shared" si="15"/>
        <v>Feb</v>
      </c>
      <c r="G84" s="2" t="s">
        <v>30</v>
      </c>
      <c r="H84" s="2" t="s">
        <v>35</v>
      </c>
      <c r="I84" s="2" t="s">
        <v>27</v>
      </c>
      <c r="J84" s="2" t="s">
        <v>19</v>
      </c>
      <c r="K84" s="2" t="s">
        <v>36</v>
      </c>
      <c r="L84" s="2" t="s">
        <v>37</v>
      </c>
      <c r="M84" s="2">
        <v>14</v>
      </c>
      <c r="N84" s="4">
        <v>35.78</v>
      </c>
      <c r="O84" s="5">
        <v>0.2</v>
      </c>
      <c r="P84" s="4">
        <v>13.84</v>
      </c>
      <c r="Q84" s="4">
        <f t="shared" si="10"/>
        <v>400.73600000000005</v>
      </c>
      <c r="R84" s="4">
        <f t="shared" si="11"/>
        <v>193.76</v>
      </c>
      <c r="S84" s="4">
        <f t="shared" si="12"/>
        <v>206.97600000000006</v>
      </c>
      <c r="T84" s="6">
        <f t="shared" si="13"/>
        <v>0.51648965902738964</v>
      </c>
    </row>
    <row r="85" spans="1:20" x14ac:dyDescent="0.3">
      <c r="A85" s="2">
        <v>1245</v>
      </c>
      <c r="B85" s="3">
        <v>46054</v>
      </c>
      <c r="C85" s="2">
        <f t="shared" si="8"/>
        <v>2026</v>
      </c>
      <c r="D85" s="2">
        <f t="shared" si="14"/>
        <v>1</v>
      </c>
      <c r="E85" s="2">
        <f t="shared" si="9"/>
        <v>2</v>
      </c>
      <c r="F85" s="2" t="str">
        <f t="shared" si="15"/>
        <v>Feb</v>
      </c>
      <c r="G85" s="2" t="s">
        <v>30</v>
      </c>
      <c r="H85" s="2" t="s">
        <v>46</v>
      </c>
      <c r="I85" s="2" t="s">
        <v>27</v>
      </c>
      <c r="J85" s="2" t="s">
        <v>19</v>
      </c>
      <c r="K85" s="2" t="s">
        <v>20</v>
      </c>
      <c r="L85" s="2" t="s">
        <v>21</v>
      </c>
      <c r="M85" s="2">
        <v>5</v>
      </c>
      <c r="N85" s="4">
        <v>46.99</v>
      </c>
      <c r="O85" s="5">
        <v>0</v>
      </c>
      <c r="P85" s="4">
        <v>18.11</v>
      </c>
      <c r="Q85" s="4">
        <f t="shared" si="10"/>
        <v>234.95000000000002</v>
      </c>
      <c r="R85" s="4">
        <f t="shared" si="11"/>
        <v>90.55</v>
      </c>
      <c r="S85" s="4">
        <f t="shared" si="12"/>
        <v>144.40000000000003</v>
      </c>
      <c r="T85" s="6">
        <f t="shared" si="13"/>
        <v>0.61459885081932331</v>
      </c>
    </row>
    <row r="86" spans="1:20" x14ac:dyDescent="0.3">
      <c r="A86" s="2">
        <v>1436</v>
      </c>
      <c r="B86" s="3">
        <v>46054</v>
      </c>
      <c r="C86" s="2">
        <f t="shared" si="8"/>
        <v>2026</v>
      </c>
      <c r="D86" s="2">
        <f t="shared" si="14"/>
        <v>1</v>
      </c>
      <c r="E86" s="2">
        <f t="shared" si="9"/>
        <v>2</v>
      </c>
      <c r="F86" s="2" t="str">
        <f t="shared" si="15"/>
        <v>Feb</v>
      </c>
      <c r="G86" s="2" t="s">
        <v>16</v>
      </c>
      <c r="H86" s="2" t="s">
        <v>17</v>
      </c>
      <c r="I86" s="2" t="s">
        <v>23</v>
      </c>
      <c r="J86" s="2" t="s">
        <v>38</v>
      </c>
      <c r="K86" s="2" t="s">
        <v>20</v>
      </c>
      <c r="L86" s="2" t="s">
        <v>52</v>
      </c>
      <c r="M86" s="2">
        <v>10</v>
      </c>
      <c r="N86" s="4">
        <v>89.99</v>
      </c>
      <c r="O86" s="5">
        <v>0.1</v>
      </c>
      <c r="P86" s="4">
        <v>42.25</v>
      </c>
      <c r="Q86" s="4">
        <f t="shared" si="10"/>
        <v>809.91</v>
      </c>
      <c r="R86" s="4">
        <f t="shared" si="11"/>
        <v>422.5</v>
      </c>
      <c r="S86" s="4">
        <f t="shared" si="12"/>
        <v>387.40999999999997</v>
      </c>
      <c r="T86" s="6">
        <f t="shared" si="13"/>
        <v>0.47833709918385992</v>
      </c>
    </row>
    <row r="87" spans="1:20" x14ac:dyDescent="0.3">
      <c r="A87" s="2">
        <v>1342</v>
      </c>
      <c r="B87" s="3">
        <v>46055</v>
      </c>
      <c r="C87" s="2">
        <f t="shared" si="8"/>
        <v>2026</v>
      </c>
      <c r="D87" s="2">
        <f t="shared" si="14"/>
        <v>1</v>
      </c>
      <c r="E87" s="2">
        <f t="shared" si="9"/>
        <v>2</v>
      </c>
      <c r="F87" s="2" t="str">
        <f t="shared" si="15"/>
        <v>Feb</v>
      </c>
      <c r="G87" s="2" t="s">
        <v>41</v>
      </c>
      <c r="H87" s="2" t="s">
        <v>53</v>
      </c>
      <c r="I87" s="2" t="s">
        <v>33</v>
      </c>
      <c r="J87" s="2" t="s">
        <v>38</v>
      </c>
      <c r="K87" s="2" t="s">
        <v>28</v>
      </c>
      <c r="L87" s="2" t="s">
        <v>39</v>
      </c>
      <c r="M87" s="2">
        <v>14</v>
      </c>
      <c r="N87" s="4">
        <v>153.38999999999999</v>
      </c>
      <c r="O87" s="5">
        <v>0</v>
      </c>
      <c r="P87" s="4">
        <v>78.59</v>
      </c>
      <c r="Q87" s="4">
        <f t="shared" si="10"/>
        <v>2147.46</v>
      </c>
      <c r="R87" s="4">
        <f t="shared" si="11"/>
        <v>1100.26</v>
      </c>
      <c r="S87" s="4">
        <f t="shared" si="12"/>
        <v>1047.2</v>
      </c>
      <c r="T87" s="6">
        <f t="shared" si="13"/>
        <v>0.48764587000456355</v>
      </c>
    </row>
    <row r="88" spans="1:20" x14ac:dyDescent="0.3">
      <c r="A88" s="2">
        <v>1351</v>
      </c>
      <c r="B88" s="3">
        <v>46056</v>
      </c>
      <c r="C88" s="2">
        <f t="shared" si="8"/>
        <v>2026</v>
      </c>
      <c r="D88" s="2">
        <f t="shared" si="14"/>
        <v>1</v>
      </c>
      <c r="E88" s="2">
        <f t="shared" si="9"/>
        <v>2</v>
      </c>
      <c r="F88" s="2" t="str">
        <f t="shared" si="15"/>
        <v>Feb</v>
      </c>
      <c r="G88" s="2" t="s">
        <v>41</v>
      </c>
      <c r="H88" s="2" t="s">
        <v>59</v>
      </c>
      <c r="I88" s="2" t="s">
        <v>18</v>
      </c>
      <c r="J88" s="2" t="s">
        <v>38</v>
      </c>
      <c r="K88" s="2" t="s">
        <v>43</v>
      </c>
      <c r="L88" s="2" t="s">
        <v>57</v>
      </c>
      <c r="M88" s="2">
        <v>12</v>
      </c>
      <c r="N88" s="4">
        <v>82.06</v>
      </c>
      <c r="O88" s="5">
        <v>0.05</v>
      </c>
      <c r="P88" s="4">
        <v>42.94</v>
      </c>
      <c r="Q88" s="4">
        <f t="shared" si="10"/>
        <v>935.48400000000004</v>
      </c>
      <c r="R88" s="4">
        <f t="shared" si="11"/>
        <v>515.28</v>
      </c>
      <c r="S88" s="4">
        <f t="shared" si="12"/>
        <v>420.20400000000006</v>
      </c>
      <c r="T88" s="6">
        <f t="shared" si="13"/>
        <v>0.44918352425054842</v>
      </c>
    </row>
    <row r="89" spans="1:20" x14ac:dyDescent="0.3">
      <c r="A89" s="2">
        <v>1360</v>
      </c>
      <c r="B89" s="3">
        <v>46056</v>
      </c>
      <c r="C89" s="2">
        <f t="shared" si="8"/>
        <v>2026</v>
      </c>
      <c r="D89" s="2">
        <f t="shared" si="14"/>
        <v>1</v>
      </c>
      <c r="E89" s="2">
        <f t="shared" si="9"/>
        <v>2</v>
      </c>
      <c r="F89" s="2" t="str">
        <f t="shared" si="15"/>
        <v>Feb</v>
      </c>
      <c r="G89" s="2" t="s">
        <v>30</v>
      </c>
      <c r="H89" s="2" t="s">
        <v>46</v>
      </c>
      <c r="I89" s="2" t="s">
        <v>18</v>
      </c>
      <c r="J89" s="2" t="s">
        <v>24</v>
      </c>
      <c r="K89" s="2" t="s">
        <v>20</v>
      </c>
      <c r="L89" s="2" t="s">
        <v>21</v>
      </c>
      <c r="M89" s="2">
        <v>13</v>
      </c>
      <c r="N89" s="4">
        <v>46.99</v>
      </c>
      <c r="O89" s="5">
        <v>0.1</v>
      </c>
      <c r="P89" s="4">
        <v>18.11</v>
      </c>
      <c r="Q89" s="4">
        <f t="shared" si="10"/>
        <v>549.78300000000002</v>
      </c>
      <c r="R89" s="4">
        <f t="shared" si="11"/>
        <v>235.43</v>
      </c>
      <c r="S89" s="4">
        <f t="shared" si="12"/>
        <v>314.35300000000001</v>
      </c>
      <c r="T89" s="6">
        <f t="shared" si="13"/>
        <v>0.57177650091035914</v>
      </c>
    </row>
    <row r="90" spans="1:20" x14ac:dyDescent="0.3">
      <c r="A90" s="2">
        <v>1440</v>
      </c>
      <c r="B90" s="3">
        <v>46056</v>
      </c>
      <c r="C90" s="2">
        <f t="shared" si="8"/>
        <v>2026</v>
      </c>
      <c r="D90" s="2">
        <f t="shared" si="14"/>
        <v>1</v>
      </c>
      <c r="E90" s="2">
        <f t="shared" si="9"/>
        <v>2</v>
      </c>
      <c r="F90" s="2" t="str">
        <f t="shared" si="15"/>
        <v>Feb</v>
      </c>
      <c r="G90" s="2" t="s">
        <v>41</v>
      </c>
      <c r="H90" s="2" t="s">
        <v>51</v>
      </c>
      <c r="I90" s="2" t="s">
        <v>27</v>
      </c>
      <c r="J90" s="2" t="s">
        <v>38</v>
      </c>
      <c r="K90" s="2" t="s">
        <v>28</v>
      </c>
      <c r="L90" s="2" t="s">
        <v>39</v>
      </c>
      <c r="M90" s="2">
        <v>10</v>
      </c>
      <c r="N90" s="4">
        <v>153.38999999999999</v>
      </c>
      <c r="O90" s="5">
        <v>0.05</v>
      </c>
      <c r="P90" s="4">
        <v>78.59</v>
      </c>
      <c r="Q90" s="4">
        <f t="shared" si="10"/>
        <v>1457.2049999999997</v>
      </c>
      <c r="R90" s="4">
        <f t="shared" si="11"/>
        <v>785.90000000000009</v>
      </c>
      <c r="S90" s="4">
        <f t="shared" si="12"/>
        <v>671.30499999999961</v>
      </c>
      <c r="T90" s="6">
        <f t="shared" si="13"/>
        <v>0.46067986316269827</v>
      </c>
    </row>
    <row r="91" spans="1:20" x14ac:dyDescent="0.3">
      <c r="A91" s="2">
        <v>1211</v>
      </c>
      <c r="B91" s="3">
        <v>46057</v>
      </c>
      <c r="C91" s="2">
        <f t="shared" si="8"/>
        <v>2026</v>
      </c>
      <c r="D91" s="2">
        <f t="shared" si="14"/>
        <v>1</v>
      </c>
      <c r="E91" s="2">
        <f t="shared" si="9"/>
        <v>2</v>
      </c>
      <c r="F91" s="2" t="str">
        <f t="shared" si="15"/>
        <v>Feb</v>
      </c>
      <c r="G91" s="2" t="s">
        <v>16</v>
      </c>
      <c r="H91" s="2" t="s">
        <v>32</v>
      </c>
      <c r="I91" s="2" t="s">
        <v>27</v>
      </c>
      <c r="J91" s="2" t="s">
        <v>19</v>
      </c>
      <c r="K91" s="2" t="s">
        <v>28</v>
      </c>
      <c r="L91" s="2" t="s">
        <v>29</v>
      </c>
      <c r="M91" s="2">
        <v>2</v>
      </c>
      <c r="N91" s="4">
        <v>54.75</v>
      </c>
      <c r="O91" s="5">
        <v>0.2</v>
      </c>
      <c r="P91" s="4">
        <v>24.3</v>
      </c>
      <c r="Q91" s="4">
        <f t="shared" si="10"/>
        <v>87.600000000000009</v>
      </c>
      <c r="R91" s="4">
        <f t="shared" si="11"/>
        <v>48.6</v>
      </c>
      <c r="S91" s="4">
        <f t="shared" si="12"/>
        <v>39.000000000000007</v>
      </c>
      <c r="T91" s="6">
        <f t="shared" si="13"/>
        <v>0.44520547945205485</v>
      </c>
    </row>
    <row r="92" spans="1:20" x14ac:dyDescent="0.3">
      <c r="A92" s="2">
        <v>1249</v>
      </c>
      <c r="B92" s="3">
        <v>46058</v>
      </c>
      <c r="C92" s="2">
        <f t="shared" si="8"/>
        <v>2026</v>
      </c>
      <c r="D92" s="2">
        <f t="shared" si="14"/>
        <v>1</v>
      </c>
      <c r="E92" s="2">
        <f t="shared" si="9"/>
        <v>2</v>
      </c>
      <c r="F92" s="2" t="str">
        <f t="shared" si="15"/>
        <v>Feb</v>
      </c>
      <c r="G92" s="2" t="s">
        <v>16</v>
      </c>
      <c r="H92" s="2" t="s">
        <v>22</v>
      </c>
      <c r="I92" s="2" t="s">
        <v>33</v>
      </c>
      <c r="J92" s="2" t="s">
        <v>19</v>
      </c>
      <c r="K92" s="2" t="s">
        <v>28</v>
      </c>
      <c r="L92" s="2" t="s">
        <v>29</v>
      </c>
      <c r="M92" s="2">
        <v>11</v>
      </c>
      <c r="N92" s="4">
        <v>54.75</v>
      </c>
      <c r="O92" s="5">
        <v>0.1</v>
      </c>
      <c r="P92" s="4">
        <v>24.3</v>
      </c>
      <c r="Q92" s="4">
        <f t="shared" si="10"/>
        <v>542.02499999999998</v>
      </c>
      <c r="R92" s="4">
        <f t="shared" si="11"/>
        <v>267.3</v>
      </c>
      <c r="S92" s="4">
        <f t="shared" si="12"/>
        <v>274.72499999999997</v>
      </c>
      <c r="T92" s="6">
        <f t="shared" si="13"/>
        <v>0.50684931506849307</v>
      </c>
    </row>
    <row r="93" spans="1:20" x14ac:dyDescent="0.3">
      <c r="A93" s="2">
        <v>1299</v>
      </c>
      <c r="B93" s="3">
        <v>46058</v>
      </c>
      <c r="C93" s="2">
        <f t="shared" si="8"/>
        <v>2026</v>
      </c>
      <c r="D93" s="2">
        <f t="shared" si="14"/>
        <v>1</v>
      </c>
      <c r="E93" s="2">
        <f t="shared" si="9"/>
        <v>2</v>
      </c>
      <c r="F93" s="2" t="str">
        <f t="shared" si="15"/>
        <v>Feb</v>
      </c>
      <c r="G93" s="2" t="s">
        <v>16</v>
      </c>
      <c r="H93" s="2" t="s">
        <v>22</v>
      </c>
      <c r="I93" s="2" t="s">
        <v>23</v>
      </c>
      <c r="J93" s="2" t="s">
        <v>24</v>
      </c>
      <c r="K93" s="2" t="s">
        <v>20</v>
      </c>
      <c r="L93" s="2" t="s">
        <v>56</v>
      </c>
      <c r="M93" s="2">
        <v>2</v>
      </c>
      <c r="N93" s="4">
        <v>36.72</v>
      </c>
      <c r="O93" s="5">
        <v>0.1</v>
      </c>
      <c r="P93" s="4">
        <v>13.76</v>
      </c>
      <c r="Q93" s="4">
        <f t="shared" si="10"/>
        <v>66.096000000000004</v>
      </c>
      <c r="R93" s="4">
        <f t="shared" si="11"/>
        <v>27.52</v>
      </c>
      <c r="S93" s="4">
        <f t="shared" si="12"/>
        <v>38.576000000000008</v>
      </c>
      <c r="T93" s="6">
        <f t="shared" si="13"/>
        <v>0.58363592350520466</v>
      </c>
    </row>
    <row r="94" spans="1:20" x14ac:dyDescent="0.3">
      <c r="A94" s="2">
        <v>1393</v>
      </c>
      <c r="B94" s="3">
        <v>46058</v>
      </c>
      <c r="C94" s="2">
        <f t="shared" si="8"/>
        <v>2026</v>
      </c>
      <c r="D94" s="2">
        <f t="shared" si="14"/>
        <v>1</v>
      </c>
      <c r="E94" s="2">
        <f t="shared" si="9"/>
        <v>2</v>
      </c>
      <c r="F94" s="2" t="str">
        <f t="shared" si="15"/>
        <v>Feb</v>
      </c>
      <c r="G94" s="2" t="s">
        <v>30</v>
      </c>
      <c r="H94" s="2" t="s">
        <v>45</v>
      </c>
      <c r="I94" s="2" t="s">
        <v>18</v>
      </c>
      <c r="J94" s="2" t="s">
        <v>38</v>
      </c>
      <c r="K94" s="2" t="s">
        <v>36</v>
      </c>
      <c r="L94" s="2" t="s">
        <v>62</v>
      </c>
      <c r="M94" s="2">
        <v>11</v>
      </c>
      <c r="N94" s="4">
        <v>124.97</v>
      </c>
      <c r="O94" s="5">
        <v>0.15</v>
      </c>
      <c r="P94" s="4">
        <v>67.36</v>
      </c>
      <c r="Q94" s="4">
        <f t="shared" si="10"/>
        <v>1168.4694999999999</v>
      </c>
      <c r="R94" s="4">
        <f t="shared" si="11"/>
        <v>740.96</v>
      </c>
      <c r="S94" s="4">
        <f t="shared" si="12"/>
        <v>427.50949999999989</v>
      </c>
      <c r="T94" s="6">
        <f t="shared" si="13"/>
        <v>0.36587133853301257</v>
      </c>
    </row>
    <row r="95" spans="1:20" x14ac:dyDescent="0.3">
      <c r="A95" s="2">
        <v>1115</v>
      </c>
      <c r="B95" s="3">
        <v>46059</v>
      </c>
      <c r="C95" s="2">
        <f t="shared" si="8"/>
        <v>2026</v>
      </c>
      <c r="D95" s="2">
        <f t="shared" si="14"/>
        <v>1</v>
      </c>
      <c r="E95" s="2">
        <f t="shared" si="9"/>
        <v>2</v>
      </c>
      <c r="F95" s="2" t="str">
        <f t="shared" si="15"/>
        <v>Feb</v>
      </c>
      <c r="G95" s="2" t="s">
        <v>30</v>
      </c>
      <c r="H95" s="2" t="s">
        <v>45</v>
      </c>
      <c r="I95" s="2" t="s">
        <v>27</v>
      </c>
      <c r="J95" s="2" t="s">
        <v>19</v>
      </c>
      <c r="K95" s="2" t="s">
        <v>43</v>
      </c>
      <c r="L95" s="2" t="s">
        <v>65</v>
      </c>
      <c r="M95" s="2">
        <v>13</v>
      </c>
      <c r="N95" s="4">
        <v>28.5</v>
      </c>
      <c r="O95" s="5">
        <v>0.05</v>
      </c>
      <c r="P95" s="4">
        <v>12.8</v>
      </c>
      <c r="Q95" s="4">
        <f t="shared" si="10"/>
        <v>351.97499999999997</v>
      </c>
      <c r="R95" s="4">
        <f t="shared" si="11"/>
        <v>166.4</v>
      </c>
      <c r="S95" s="4">
        <f t="shared" si="12"/>
        <v>185.57499999999996</v>
      </c>
      <c r="T95" s="6">
        <f t="shared" si="13"/>
        <v>0.52723915050784853</v>
      </c>
    </row>
    <row r="96" spans="1:20" x14ac:dyDescent="0.3">
      <c r="A96" s="2">
        <v>1206</v>
      </c>
      <c r="B96" s="3">
        <v>46059</v>
      </c>
      <c r="C96" s="2">
        <f t="shared" si="8"/>
        <v>2026</v>
      </c>
      <c r="D96" s="2">
        <f t="shared" si="14"/>
        <v>1</v>
      </c>
      <c r="E96" s="2">
        <f t="shared" si="9"/>
        <v>2</v>
      </c>
      <c r="F96" s="2" t="str">
        <f t="shared" si="15"/>
        <v>Feb</v>
      </c>
      <c r="G96" s="2" t="s">
        <v>30</v>
      </c>
      <c r="H96" s="2" t="s">
        <v>35</v>
      </c>
      <c r="I96" s="2" t="s">
        <v>27</v>
      </c>
      <c r="J96" s="2" t="s">
        <v>38</v>
      </c>
      <c r="K96" s="2" t="s">
        <v>28</v>
      </c>
      <c r="L96" s="2" t="s">
        <v>64</v>
      </c>
      <c r="M96" s="2">
        <v>4</v>
      </c>
      <c r="N96" s="4">
        <v>94.18</v>
      </c>
      <c r="O96" s="5">
        <v>0.2</v>
      </c>
      <c r="P96" s="4">
        <v>45.03</v>
      </c>
      <c r="Q96" s="4">
        <f t="shared" si="10"/>
        <v>301.37600000000003</v>
      </c>
      <c r="R96" s="4">
        <f t="shared" si="11"/>
        <v>180.12</v>
      </c>
      <c r="S96" s="4">
        <f t="shared" si="12"/>
        <v>121.25600000000003</v>
      </c>
      <c r="T96" s="6">
        <f t="shared" si="13"/>
        <v>0.40234126141431309</v>
      </c>
    </row>
    <row r="97" spans="1:20" x14ac:dyDescent="0.3">
      <c r="A97" s="2">
        <v>1278</v>
      </c>
      <c r="B97" s="3">
        <v>46059</v>
      </c>
      <c r="C97" s="2">
        <f t="shared" si="8"/>
        <v>2026</v>
      </c>
      <c r="D97" s="2">
        <f t="shared" si="14"/>
        <v>1</v>
      </c>
      <c r="E97" s="2">
        <f t="shared" si="9"/>
        <v>2</v>
      </c>
      <c r="F97" s="2" t="str">
        <f t="shared" si="15"/>
        <v>Feb</v>
      </c>
      <c r="G97" s="2" t="s">
        <v>30</v>
      </c>
      <c r="H97" s="2" t="s">
        <v>35</v>
      </c>
      <c r="I97" s="2" t="s">
        <v>23</v>
      </c>
      <c r="J97" s="2" t="s">
        <v>38</v>
      </c>
      <c r="K97" s="2" t="s">
        <v>36</v>
      </c>
      <c r="L97" s="2" t="s">
        <v>58</v>
      </c>
      <c r="M97" s="2">
        <v>7</v>
      </c>
      <c r="N97" s="4">
        <v>32.99</v>
      </c>
      <c r="O97" s="5">
        <v>0.15</v>
      </c>
      <c r="P97" s="4">
        <v>12.5</v>
      </c>
      <c r="Q97" s="4">
        <f t="shared" si="10"/>
        <v>196.29050000000001</v>
      </c>
      <c r="R97" s="4">
        <f t="shared" si="11"/>
        <v>87.5</v>
      </c>
      <c r="S97" s="4">
        <f t="shared" si="12"/>
        <v>108.79050000000001</v>
      </c>
      <c r="T97" s="6">
        <f t="shared" si="13"/>
        <v>0.5542321202503433</v>
      </c>
    </row>
    <row r="98" spans="1:20" x14ac:dyDescent="0.3">
      <c r="A98" s="2">
        <v>1321</v>
      </c>
      <c r="B98" s="3">
        <v>46059</v>
      </c>
      <c r="C98" s="2">
        <f t="shared" si="8"/>
        <v>2026</v>
      </c>
      <c r="D98" s="2">
        <f t="shared" si="14"/>
        <v>1</v>
      </c>
      <c r="E98" s="2">
        <f t="shared" si="9"/>
        <v>2</v>
      </c>
      <c r="F98" s="2" t="str">
        <f t="shared" si="15"/>
        <v>Feb</v>
      </c>
      <c r="G98" s="2" t="s">
        <v>48</v>
      </c>
      <c r="H98" s="2" t="s">
        <v>49</v>
      </c>
      <c r="I98" s="2" t="s">
        <v>33</v>
      </c>
      <c r="J98" s="2" t="s">
        <v>38</v>
      </c>
      <c r="K98" s="2" t="s">
        <v>20</v>
      </c>
      <c r="L98" s="2" t="s">
        <v>52</v>
      </c>
      <c r="M98" s="2">
        <v>13</v>
      </c>
      <c r="N98" s="4">
        <v>89.99</v>
      </c>
      <c r="O98" s="5">
        <v>0</v>
      </c>
      <c r="P98" s="4">
        <v>42.25</v>
      </c>
      <c r="Q98" s="4">
        <f t="shared" si="10"/>
        <v>1169.8699999999999</v>
      </c>
      <c r="R98" s="4">
        <f t="shared" si="11"/>
        <v>549.25</v>
      </c>
      <c r="S98" s="4">
        <f t="shared" si="12"/>
        <v>620.61999999999989</v>
      </c>
      <c r="T98" s="6">
        <f t="shared" si="13"/>
        <v>0.53050338926547391</v>
      </c>
    </row>
    <row r="99" spans="1:20" x14ac:dyDescent="0.3">
      <c r="A99" s="2">
        <v>1343</v>
      </c>
      <c r="B99" s="3">
        <v>46059</v>
      </c>
      <c r="C99" s="2">
        <f t="shared" si="8"/>
        <v>2026</v>
      </c>
      <c r="D99" s="2">
        <f t="shared" si="14"/>
        <v>1</v>
      </c>
      <c r="E99" s="2">
        <f t="shared" si="9"/>
        <v>2</v>
      </c>
      <c r="F99" s="2" t="str">
        <f t="shared" si="15"/>
        <v>Feb</v>
      </c>
      <c r="G99" s="2" t="s">
        <v>48</v>
      </c>
      <c r="H99" s="2" t="s">
        <v>66</v>
      </c>
      <c r="I99" s="2" t="s">
        <v>18</v>
      </c>
      <c r="J99" s="2" t="s">
        <v>38</v>
      </c>
      <c r="K99" s="2" t="s">
        <v>25</v>
      </c>
      <c r="L99" s="2" t="s">
        <v>60</v>
      </c>
      <c r="M99" s="2">
        <v>2</v>
      </c>
      <c r="N99" s="4">
        <v>81.260000000000005</v>
      </c>
      <c r="O99" s="5">
        <v>0.2</v>
      </c>
      <c r="P99" s="4">
        <v>39.119999999999997</v>
      </c>
      <c r="Q99" s="4">
        <f t="shared" si="10"/>
        <v>130.01600000000002</v>
      </c>
      <c r="R99" s="4">
        <f t="shared" si="11"/>
        <v>78.239999999999995</v>
      </c>
      <c r="S99" s="4">
        <f t="shared" si="12"/>
        <v>51.776000000000025</v>
      </c>
      <c r="T99" s="6">
        <f t="shared" si="13"/>
        <v>0.39822791041102645</v>
      </c>
    </row>
    <row r="100" spans="1:20" x14ac:dyDescent="0.3">
      <c r="A100" s="2">
        <v>1429</v>
      </c>
      <c r="B100" s="3">
        <v>46059</v>
      </c>
      <c r="C100" s="2">
        <f t="shared" si="8"/>
        <v>2026</v>
      </c>
      <c r="D100" s="2">
        <f t="shared" si="14"/>
        <v>1</v>
      </c>
      <c r="E100" s="2">
        <f t="shared" si="9"/>
        <v>2</v>
      </c>
      <c r="F100" s="2" t="str">
        <f t="shared" si="15"/>
        <v>Feb</v>
      </c>
      <c r="G100" s="2" t="s">
        <v>30</v>
      </c>
      <c r="H100" s="2" t="s">
        <v>35</v>
      </c>
      <c r="I100" s="2" t="s">
        <v>18</v>
      </c>
      <c r="J100" s="2" t="s">
        <v>19</v>
      </c>
      <c r="K100" s="2" t="s">
        <v>25</v>
      </c>
      <c r="L100" s="2" t="s">
        <v>55</v>
      </c>
      <c r="M100" s="2">
        <v>12</v>
      </c>
      <c r="N100" s="4">
        <v>194.35</v>
      </c>
      <c r="O100" s="5">
        <v>0</v>
      </c>
      <c r="P100" s="4">
        <v>104.22</v>
      </c>
      <c r="Q100" s="4">
        <f t="shared" si="10"/>
        <v>2332.1999999999998</v>
      </c>
      <c r="R100" s="4">
        <f t="shared" si="11"/>
        <v>1250.6399999999999</v>
      </c>
      <c r="S100" s="4">
        <f t="shared" si="12"/>
        <v>1081.56</v>
      </c>
      <c r="T100" s="6">
        <f t="shared" si="13"/>
        <v>0.46375096475430927</v>
      </c>
    </row>
    <row r="101" spans="1:20" x14ac:dyDescent="0.3">
      <c r="A101" s="2">
        <v>1140</v>
      </c>
      <c r="B101" s="3">
        <v>46060</v>
      </c>
      <c r="C101" s="2">
        <f t="shared" si="8"/>
        <v>2026</v>
      </c>
      <c r="D101" s="2">
        <f t="shared" si="14"/>
        <v>1</v>
      </c>
      <c r="E101" s="2">
        <f t="shared" si="9"/>
        <v>2</v>
      </c>
      <c r="F101" s="2" t="str">
        <f t="shared" si="15"/>
        <v>Feb</v>
      </c>
      <c r="G101" s="2" t="s">
        <v>41</v>
      </c>
      <c r="H101" s="2" t="s">
        <v>42</v>
      </c>
      <c r="I101" s="2" t="s">
        <v>23</v>
      </c>
      <c r="J101" s="2" t="s">
        <v>24</v>
      </c>
      <c r="K101" s="2" t="s">
        <v>28</v>
      </c>
      <c r="L101" s="2" t="s">
        <v>64</v>
      </c>
      <c r="M101" s="2">
        <v>11</v>
      </c>
      <c r="N101" s="4">
        <v>94.18</v>
      </c>
      <c r="O101" s="5">
        <v>0</v>
      </c>
      <c r="P101" s="4">
        <v>45.03</v>
      </c>
      <c r="Q101" s="4">
        <f t="shared" si="10"/>
        <v>1035.98</v>
      </c>
      <c r="R101" s="4">
        <f t="shared" si="11"/>
        <v>495.33000000000004</v>
      </c>
      <c r="S101" s="4">
        <f t="shared" si="12"/>
        <v>540.65</v>
      </c>
      <c r="T101" s="6">
        <f t="shared" si="13"/>
        <v>0.5218730091314504</v>
      </c>
    </row>
    <row r="102" spans="1:20" x14ac:dyDescent="0.3">
      <c r="A102" s="2">
        <v>1308</v>
      </c>
      <c r="B102" s="3">
        <v>46060</v>
      </c>
      <c r="C102" s="2">
        <f t="shared" si="8"/>
        <v>2026</v>
      </c>
      <c r="D102" s="2">
        <f t="shared" si="14"/>
        <v>1</v>
      </c>
      <c r="E102" s="2">
        <f t="shared" si="9"/>
        <v>2</v>
      </c>
      <c r="F102" s="2" t="str">
        <f t="shared" si="15"/>
        <v>Feb</v>
      </c>
      <c r="G102" s="2" t="s">
        <v>16</v>
      </c>
      <c r="H102" s="2" t="s">
        <v>17</v>
      </c>
      <c r="I102" s="2" t="s">
        <v>33</v>
      </c>
      <c r="J102" s="2" t="s">
        <v>24</v>
      </c>
      <c r="K102" s="2" t="s">
        <v>25</v>
      </c>
      <c r="L102" s="2" t="s">
        <v>55</v>
      </c>
      <c r="M102" s="2">
        <v>7</v>
      </c>
      <c r="N102" s="4">
        <v>194.35</v>
      </c>
      <c r="O102" s="5">
        <v>0.05</v>
      </c>
      <c r="P102" s="4">
        <v>104.22</v>
      </c>
      <c r="Q102" s="4">
        <f t="shared" si="10"/>
        <v>1292.4275</v>
      </c>
      <c r="R102" s="4">
        <f t="shared" si="11"/>
        <v>729.54</v>
      </c>
      <c r="S102" s="4">
        <f t="shared" si="12"/>
        <v>562.88750000000005</v>
      </c>
      <c r="T102" s="6">
        <f t="shared" si="13"/>
        <v>0.43552733132032556</v>
      </c>
    </row>
    <row r="103" spans="1:20" x14ac:dyDescent="0.3">
      <c r="A103" s="2">
        <v>1092</v>
      </c>
      <c r="B103" s="3">
        <v>46061</v>
      </c>
      <c r="C103" s="2">
        <f t="shared" si="8"/>
        <v>2026</v>
      </c>
      <c r="D103" s="2">
        <f t="shared" si="14"/>
        <v>1</v>
      </c>
      <c r="E103" s="2">
        <f t="shared" si="9"/>
        <v>2</v>
      </c>
      <c r="F103" s="2" t="str">
        <f t="shared" si="15"/>
        <v>Feb</v>
      </c>
      <c r="G103" s="2" t="s">
        <v>48</v>
      </c>
      <c r="H103" s="2" t="s">
        <v>63</v>
      </c>
      <c r="I103" s="2" t="s">
        <v>23</v>
      </c>
      <c r="J103" s="2" t="s">
        <v>19</v>
      </c>
      <c r="K103" s="2" t="s">
        <v>28</v>
      </c>
      <c r="L103" s="2" t="s">
        <v>64</v>
      </c>
      <c r="M103" s="2">
        <v>9</v>
      </c>
      <c r="N103" s="4">
        <v>94.18</v>
      </c>
      <c r="O103" s="5">
        <v>0.1</v>
      </c>
      <c r="P103" s="4">
        <v>45.03</v>
      </c>
      <c r="Q103" s="4">
        <f t="shared" si="10"/>
        <v>762.85800000000017</v>
      </c>
      <c r="R103" s="4">
        <f t="shared" si="11"/>
        <v>405.27</v>
      </c>
      <c r="S103" s="4">
        <f t="shared" si="12"/>
        <v>357.58800000000019</v>
      </c>
      <c r="T103" s="6">
        <f t="shared" si="13"/>
        <v>0.46874778792383393</v>
      </c>
    </row>
    <row r="104" spans="1:20" x14ac:dyDescent="0.3">
      <c r="A104" s="2">
        <v>1174</v>
      </c>
      <c r="B104" s="3">
        <v>46061</v>
      </c>
      <c r="C104" s="2">
        <f t="shared" si="8"/>
        <v>2026</v>
      </c>
      <c r="D104" s="2">
        <f t="shared" si="14"/>
        <v>1</v>
      </c>
      <c r="E104" s="2">
        <f t="shared" si="9"/>
        <v>2</v>
      </c>
      <c r="F104" s="2" t="str">
        <f t="shared" si="15"/>
        <v>Feb</v>
      </c>
      <c r="G104" s="2" t="s">
        <v>16</v>
      </c>
      <c r="H104" s="2" t="s">
        <v>32</v>
      </c>
      <c r="I104" s="2" t="s">
        <v>23</v>
      </c>
      <c r="J104" s="2" t="s">
        <v>24</v>
      </c>
      <c r="K104" s="2" t="s">
        <v>43</v>
      </c>
      <c r="L104" s="2" t="s">
        <v>50</v>
      </c>
      <c r="M104" s="2">
        <v>12</v>
      </c>
      <c r="N104" s="4">
        <v>100.12</v>
      </c>
      <c r="O104" s="5">
        <v>0</v>
      </c>
      <c r="P104" s="4">
        <v>49.67</v>
      </c>
      <c r="Q104" s="4">
        <f t="shared" si="10"/>
        <v>1201.44</v>
      </c>
      <c r="R104" s="4">
        <f t="shared" si="11"/>
        <v>596.04</v>
      </c>
      <c r="S104" s="4">
        <f t="shared" si="12"/>
        <v>605.40000000000009</v>
      </c>
      <c r="T104" s="6">
        <f t="shared" si="13"/>
        <v>0.50389532560926897</v>
      </c>
    </row>
    <row r="105" spans="1:20" x14ac:dyDescent="0.3">
      <c r="A105" s="2">
        <v>1289</v>
      </c>
      <c r="B105" s="3">
        <v>46061</v>
      </c>
      <c r="C105" s="2">
        <f t="shared" si="8"/>
        <v>2026</v>
      </c>
      <c r="D105" s="2">
        <f t="shared" si="14"/>
        <v>1</v>
      </c>
      <c r="E105" s="2">
        <f t="shared" si="9"/>
        <v>2</v>
      </c>
      <c r="F105" s="2" t="str">
        <f t="shared" si="15"/>
        <v>Feb</v>
      </c>
      <c r="G105" s="2" t="s">
        <v>16</v>
      </c>
      <c r="H105" s="2" t="s">
        <v>17</v>
      </c>
      <c r="I105" s="2" t="s">
        <v>33</v>
      </c>
      <c r="J105" s="2" t="s">
        <v>19</v>
      </c>
      <c r="K105" s="2" t="s">
        <v>36</v>
      </c>
      <c r="L105" s="2" t="s">
        <v>58</v>
      </c>
      <c r="M105" s="2">
        <v>6</v>
      </c>
      <c r="N105" s="4">
        <v>32.99</v>
      </c>
      <c r="O105" s="5">
        <v>0</v>
      </c>
      <c r="P105" s="4">
        <v>12.5</v>
      </c>
      <c r="Q105" s="4">
        <f t="shared" si="10"/>
        <v>197.94</v>
      </c>
      <c r="R105" s="4">
        <f t="shared" si="11"/>
        <v>75</v>
      </c>
      <c r="S105" s="4">
        <f t="shared" si="12"/>
        <v>122.94</v>
      </c>
      <c r="T105" s="6">
        <f t="shared" si="13"/>
        <v>0.6210973022127918</v>
      </c>
    </row>
    <row r="106" spans="1:20" x14ac:dyDescent="0.3">
      <c r="A106" s="2">
        <v>1355</v>
      </c>
      <c r="B106" s="3">
        <v>46061</v>
      </c>
      <c r="C106" s="2">
        <f t="shared" si="8"/>
        <v>2026</v>
      </c>
      <c r="D106" s="2">
        <f t="shared" si="14"/>
        <v>1</v>
      </c>
      <c r="E106" s="2">
        <f t="shared" si="9"/>
        <v>2</v>
      </c>
      <c r="F106" s="2" t="str">
        <f t="shared" si="15"/>
        <v>Feb</v>
      </c>
      <c r="G106" s="2" t="s">
        <v>30</v>
      </c>
      <c r="H106" s="2" t="s">
        <v>46</v>
      </c>
      <c r="I106" s="2" t="s">
        <v>23</v>
      </c>
      <c r="J106" s="2" t="s">
        <v>24</v>
      </c>
      <c r="K106" s="2" t="s">
        <v>28</v>
      </c>
      <c r="L106" s="2" t="s">
        <v>64</v>
      </c>
      <c r="M106" s="2">
        <v>15</v>
      </c>
      <c r="N106" s="4">
        <v>94.18</v>
      </c>
      <c r="O106" s="5">
        <v>0</v>
      </c>
      <c r="P106" s="4">
        <v>45.03</v>
      </c>
      <c r="Q106" s="4">
        <f t="shared" si="10"/>
        <v>1412.7</v>
      </c>
      <c r="R106" s="4">
        <f t="shared" si="11"/>
        <v>675.45</v>
      </c>
      <c r="S106" s="4">
        <f t="shared" si="12"/>
        <v>737.25</v>
      </c>
      <c r="T106" s="6">
        <f t="shared" si="13"/>
        <v>0.5218730091314504</v>
      </c>
    </row>
    <row r="107" spans="1:20" x14ac:dyDescent="0.3">
      <c r="A107" s="2">
        <v>1444</v>
      </c>
      <c r="B107" s="3">
        <v>46061</v>
      </c>
      <c r="C107" s="2">
        <f t="shared" si="8"/>
        <v>2026</v>
      </c>
      <c r="D107" s="2">
        <f t="shared" si="14"/>
        <v>1</v>
      </c>
      <c r="E107" s="2">
        <f t="shared" si="9"/>
        <v>2</v>
      </c>
      <c r="F107" s="2" t="str">
        <f t="shared" si="15"/>
        <v>Feb</v>
      </c>
      <c r="G107" s="2" t="s">
        <v>41</v>
      </c>
      <c r="H107" s="2" t="s">
        <v>51</v>
      </c>
      <c r="I107" s="2" t="s">
        <v>23</v>
      </c>
      <c r="J107" s="2" t="s">
        <v>19</v>
      </c>
      <c r="K107" s="2" t="s">
        <v>36</v>
      </c>
      <c r="L107" s="2" t="s">
        <v>58</v>
      </c>
      <c r="M107" s="2">
        <v>11</v>
      </c>
      <c r="N107" s="4">
        <v>32.99</v>
      </c>
      <c r="O107" s="5">
        <v>0.05</v>
      </c>
      <c r="P107" s="4">
        <v>12.5</v>
      </c>
      <c r="Q107" s="4">
        <f t="shared" si="10"/>
        <v>344.74550000000005</v>
      </c>
      <c r="R107" s="4">
        <f t="shared" si="11"/>
        <v>137.5</v>
      </c>
      <c r="S107" s="4">
        <f t="shared" si="12"/>
        <v>207.24550000000005</v>
      </c>
      <c r="T107" s="6">
        <f t="shared" si="13"/>
        <v>0.60115505496083343</v>
      </c>
    </row>
    <row r="108" spans="1:20" x14ac:dyDescent="0.3">
      <c r="A108" s="2">
        <v>1045</v>
      </c>
      <c r="B108" s="3">
        <v>46062</v>
      </c>
      <c r="C108" s="2">
        <f t="shared" si="8"/>
        <v>2026</v>
      </c>
      <c r="D108" s="2">
        <f t="shared" si="14"/>
        <v>1</v>
      </c>
      <c r="E108" s="2">
        <f t="shared" si="9"/>
        <v>2</v>
      </c>
      <c r="F108" s="2" t="str">
        <f t="shared" si="15"/>
        <v>Feb</v>
      </c>
      <c r="G108" s="2" t="s">
        <v>41</v>
      </c>
      <c r="H108" s="2" t="s">
        <v>53</v>
      </c>
      <c r="I108" s="2" t="s">
        <v>27</v>
      </c>
      <c r="J108" s="2" t="s">
        <v>38</v>
      </c>
      <c r="K108" s="2" t="s">
        <v>28</v>
      </c>
      <c r="L108" s="2" t="s">
        <v>29</v>
      </c>
      <c r="M108" s="2">
        <v>1</v>
      </c>
      <c r="N108" s="4">
        <v>54.75</v>
      </c>
      <c r="O108" s="5">
        <v>0</v>
      </c>
      <c r="P108" s="4">
        <v>24.3</v>
      </c>
      <c r="Q108" s="4">
        <f t="shared" si="10"/>
        <v>54.75</v>
      </c>
      <c r="R108" s="4">
        <f t="shared" si="11"/>
        <v>24.3</v>
      </c>
      <c r="S108" s="4">
        <f t="shared" si="12"/>
        <v>30.45</v>
      </c>
      <c r="T108" s="6">
        <f t="shared" si="13"/>
        <v>0.55616438356164377</v>
      </c>
    </row>
    <row r="109" spans="1:20" x14ac:dyDescent="0.3">
      <c r="A109" s="2">
        <v>1135</v>
      </c>
      <c r="B109" s="3">
        <v>46062</v>
      </c>
      <c r="C109" s="2">
        <f t="shared" si="8"/>
        <v>2026</v>
      </c>
      <c r="D109" s="2">
        <f t="shared" si="14"/>
        <v>1</v>
      </c>
      <c r="E109" s="2">
        <f t="shared" si="9"/>
        <v>2</v>
      </c>
      <c r="F109" s="2" t="str">
        <f t="shared" si="15"/>
        <v>Feb</v>
      </c>
      <c r="G109" s="2" t="s">
        <v>30</v>
      </c>
      <c r="H109" s="2" t="s">
        <v>35</v>
      </c>
      <c r="I109" s="2" t="s">
        <v>27</v>
      </c>
      <c r="J109" s="2" t="s">
        <v>24</v>
      </c>
      <c r="K109" s="2" t="s">
        <v>25</v>
      </c>
      <c r="L109" s="2" t="s">
        <v>60</v>
      </c>
      <c r="M109" s="2">
        <v>5</v>
      </c>
      <c r="N109" s="4">
        <v>81.260000000000005</v>
      </c>
      <c r="O109" s="5">
        <v>0</v>
      </c>
      <c r="P109" s="4">
        <v>39.119999999999997</v>
      </c>
      <c r="Q109" s="4">
        <f t="shared" si="10"/>
        <v>406.3</v>
      </c>
      <c r="R109" s="4">
        <f t="shared" si="11"/>
        <v>195.6</v>
      </c>
      <c r="S109" s="4">
        <f t="shared" si="12"/>
        <v>210.70000000000002</v>
      </c>
      <c r="T109" s="6">
        <f t="shared" si="13"/>
        <v>0.51858232832882112</v>
      </c>
    </row>
    <row r="110" spans="1:20" x14ac:dyDescent="0.3">
      <c r="A110" s="2">
        <v>1169</v>
      </c>
      <c r="B110" s="3">
        <v>46062</v>
      </c>
      <c r="C110" s="2">
        <f t="shared" si="8"/>
        <v>2026</v>
      </c>
      <c r="D110" s="2">
        <f t="shared" si="14"/>
        <v>1</v>
      </c>
      <c r="E110" s="2">
        <f t="shared" si="9"/>
        <v>2</v>
      </c>
      <c r="F110" s="2" t="str">
        <f t="shared" si="15"/>
        <v>Feb</v>
      </c>
      <c r="G110" s="2" t="s">
        <v>16</v>
      </c>
      <c r="H110" s="2" t="s">
        <v>17</v>
      </c>
      <c r="I110" s="2" t="s">
        <v>33</v>
      </c>
      <c r="J110" s="2" t="s">
        <v>19</v>
      </c>
      <c r="K110" s="2" t="s">
        <v>25</v>
      </c>
      <c r="L110" s="2" t="s">
        <v>60</v>
      </c>
      <c r="M110" s="2">
        <v>13</v>
      </c>
      <c r="N110" s="4">
        <v>81.260000000000005</v>
      </c>
      <c r="O110" s="5">
        <v>0.15</v>
      </c>
      <c r="P110" s="4">
        <v>39.119999999999997</v>
      </c>
      <c r="Q110" s="4">
        <f t="shared" si="10"/>
        <v>897.92300000000012</v>
      </c>
      <c r="R110" s="4">
        <f t="shared" si="11"/>
        <v>508.55999999999995</v>
      </c>
      <c r="S110" s="4">
        <f t="shared" si="12"/>
        <v>389.36300000000017</v>
      </c>
      <c r="T110" s="6">
        <f t="shared" si="13"/>
        <v>0.43362626862214254</v>
      </c>
    </row>
    <row r="111" spans="1:20" x14ac:dyDescent="0.3">
      <c r="A111" s="2">
        <v>1463</v>
      </c>
      <c r="B111" s="3">
        <v>46062</v>
      </c>
      <c r="C111" s="2">
        <f t="shared" si="8"/>
        <v>2026</v>
      </c>
      <c r="D111" s="2">
        <f t="shared" si="14"/>
        <v>1</v>
      </c>
      <c r="E111" s="2">
        <f t="shared" si="9"/>
        <v>2</v>
      </c>
      <c r="F111" s="2" t="str">
        <f t="shared" si="15"/>
        <v>Feb</v>
      </c>
      <c r="G111" s="2" t="s">
        <v>41</v>
      </c>
      <c r="H111" s="2" t="s">
        <v>51</v>
      </c>
      <c r="I111" s="2" t="s">
        <v>27</v>
      </c>
      <c r="J111" s="2" t="s">
        <v>19</v>
      </c>
      <c r="K111" s="2" t="s">
        <v>20</v>
      </c>
      <c r="L111" s="2" t="s">
        <v>52</v>
      </c>
      <c r="M111" s="2">
        <v>11</v>
      </c>
      <c r="N111" s="4">
        <v>89.99</v>
      </c>
      <c r="O111" s="5">
        <v>0</v>
      </c>
      <c r="P111" s="4">
        <v>42.25</v>
      </c>
      <c r="Q111" s="4">
        <f t="shared" si="10"/>
        <v>989.89</v>
      </c>
      <c r="R111" s="4">
        <f t="shared" si="11"/>
        <v>464.75</v>
      </c>
      <c r="S111" s="4">
        <f t="shared" si="12"/>
        <v>525.14</v>
      </c>
      <c r="T111" s="6">
        <f t="shared" si="13"/>
        <v>0.53050338926547391</v>
      </c>
    </row>
    <row r="112" spans="1:20" x14ac:dyDescent="0.3">
      <c r="A112" s="2">
        <v>1004</v>
      </c>
      <c r="B112" s="3">
        <v>46063</v>
      </c>
      <c r="C112" s="2">
        <f t="shared" si="8"/>
        <v>2026</v>
      </c>
      <c r="D112" s="2">
        <f t="shared" si="14"/>
        <v>1</v>
      </c>
      <c r="E112" s="2">
        <f t="shared" si="9"/>
        <v>2</v>
      </c>
      <c r="F112" s="2" t="str">
        <f t="shared" si="15"/>
        <v>Feb</v>
      </c>
      <c r="G112" s="2" t="s">
        <v>30</v>
      </c>
      <c r="H112" s="2" t="s">
        <v>31</v>
      </c>
      <c r="I112" s="2" t="s">
        <v>18</v>
      </c>
      <c r="J112" s="2" t="s">
        <v>24</v>
      </c>
      <c r="K112" s="2" t="s">
        <v>20</v>
      </c>
      <c r="L112" s="2" t="s">
        <v>21</v>
      </c>
      <c r="M112" s="2">
        <v>4</v>
      </c>
      <c r="N112" s="4">
        <v>46.99</v>
      </c>
      <c r="O112" s="5">
        <v>0.05</v>
      </c>
      <c r="P112" s="4">
        <v>18.11</v>
      </c>
      <c r="Q112" s="4">
        <f t="shared" si="10"/>
        <v>178.56200000000001</v>
      </c>
      <c r="R112" s="4">
        <f t="shared" si="11"/>
        <v>72.44</v>
      </c>
      <c r="S112" s="4">
        <f t="shared" si="12"/>
        <v>106.12200000000001</v>
      </c>
      <c r="T112" s="6">
        <f t="shared" si="13"/>
        <v>0.59431457980981395</v>
      </c>
    </row>
    <row r="113" spans="1:20" x14ac:dyDescent="0.3">
      <c r="A113" s="2">
        <v>1228</v>
      </c>
      <c r="B113" s="3">
        <v>46063</v>
      </c>
      <c r="C113" s="2">
        <f t="shared" si="8"/>
        <v>2026</v>
      </c>
      <c r="D113" s="2">
        <f t="shared" si="14"/>
        <v>1</v>
      </c>
      <c r="E113" s="2">
        <f t="shared" si="9"/>
        <v>2</v>
      </c>
      <c r="F113" s="2" t="str">
        <f t="shared" si="15"/>
        <v>Feb</v>
      </c>
      <c r="G113" s="2" t="s">
        <v>30</v>
      </c>
      <c r="H113" s="2" t="s">
        <v>46</v>
      </c>
      <c r="I113" s="2" t="s">
        <v>18</v>
      </c>
      <c r="J113" s="2" t="s">
        <v>38</v>
      </c>
      <c r="K113" s="2" t="s">
        <v>25</v>
      </c>
      <c r="L113" s="2" t="s">
        <v>55</v>
      </c>
      <c r="M113" s="2">
        <v>8</v>
      </c>
      <c r="N113" s="4">
        <v>194.35</v>
      </c>
      <c r="O113" s="5">
        <v>0</v>
      </c>
      <c r="P113" s="4">
        <v>104.22</v>
      </c>
      <c r="Q113" s="4">
        <f t="shared" si="10"/>
        <v>1554.8</v>
      </c>
      <c r="R113" s="4">
        <f t="shared" si="11"/>
        <v>833.76</v>
      </c>
      <c r="S113" s="4">
        <f t="shared" si="12"/>
        <v>721.04</v>
      </c>
      <c r="T113" s="6">
        <f t="shared" si="13"/>
        <v>0.46375096475430921</v>
      </c>
    </row>
    <row r="114" spans="1:20" x14ac:dyDescent="0.3">
      <c r="A114" s="2">
        <v>1369</v>
      </c>
      <c r="B114" s="3">
        <v>46063</v>
      </c>
      <c r="C114" s="2">
        <f t="shared" si="8"/>
        <v>2026</v>
      </c>
      <c r="D114" s="2">
        <f t="shared" si="14"/>
        <v>1</v>
      </c>
      <c r="E114" s="2">
        <f t="shared" si="9"/>
        <v>2</v>
      </c>
      <c r="F114" s="2" t="str">
        <f t="shared" si="15"/>
        <v>Feb</v>
      </c>
      <c r="G114" s="2" t="s">
        <v>48</v>
      </c>
      <c r="H114" s="2" t="s">
        <v>63</v>
      </c>
      <c r="I114" s="2" t="s">
        <v>18</v>
      </c>
      <c r="J114" s="2" t="s">
        <v>24</v>
      </c>
      <c r="K114" s="2" t="s">
        <v>36</v>
      </c>
      <c r="L114" s="2" t="s">
        <v>47</v>
      </c>
      <c r="M114" s="2">
        <v>4</v>
      </c>
      <c r="N114" s="4">
        <v>40.6</v>
      </c>
      <c r="O114" s="5">
        <v>0.2</v>
      </c>
      <c r="P114" s="4">
        <v>15.04</v>
      </c>
      <c r="Q114" s="4">
        <f t="shared" si="10"/>
        <v>129.92000000000002</v>
      </c>
      <c r="R114" s="4">
        <f t="shared" si="11"/>
        <v>60.16</v>
      </c>
      <c r="S114" s="4">
        <f t="shared" si="12"/>
        <v>69.760000000000019</v>
      </c>
      <c r="T114" s="6">
        <f t="shared" si="13"/>
        <v>0.53694581280788189</v>
      </c>
    </row>
    <row r="115" spans="1:20" x14ac:dyDescent="0.3">
      <c r="A115" s="2">
        <v>1384</v>
      </c>
      <c r="B115" s="3">
        <v>46063</v>
      </c>
      <c r="C115" s="2">
        <f t="shared" si="8"/>
        <v>2026</v>
      </c>
      <c r="D115" s="2">
        <f t="shared" si="14"/>
        <v>1</v>
      </c>
      <c r="E115" s="2">
        <f t="shared" si="9"/>
        <v>2</v>
      </c>
      <c r="F115" s="2" t="str">
        <f t="shared" si="15"/>
        <v>Feb</v>
      </c>
      <c r="G115" s="2" t="s">
        <v>48</v>
      </c>
      <c r="H115" s="2" t="s">
        <v>63</v>
      </c>
      <c r="I115" s="2" t="s">
        <v>23</v>
      </c>
      <c r="J115" s="2" t="s">
        <v>38</v>
      </c>
      <c r="K115" s="2" t="s">
        <v>28</v>
      </c>
      <c r="L115" s="2" t="s">
        <v>39</v>
      </c>
      <c r="M115" s="2">
        <v>3</v>
      </c>
      <c r="N115" s="4">
        <v>153.38999999999999</v>
      </c>
      <c r="O115" s="5">
        <v>0</v>
      </c>
      <c r="P115" s="4">
        <v>78.59</v>
      </c>
      <c r="Q115" s="4">
        <f t="shared" si="10"/>
        <v>460.16999999999996</v>
      </c>
      <c r="R115" s="4">
        <f t="shared" si="11"/>
        <v>235.77</v>
      </c>
      <c r="S115" s="4">
        <f t="shared" si="12"/>
        <v>224.39999999999995</v>
      </c>
      <c r="T115" s="6">
        <f t="shared" si="13"/>
        <v>0.48764587000456344</v>
      </c>
    </row>
    <row r="116" spans="1:20" x14ac:dyDescent="0.3">
      <c r="A116" s="2">
        <v>1254</v>
      </c>
      <c r="B116" s="3">
        <v>46064</v>
      </c>
      <c r="C116" s="2">
        <f t="shared" si="8"/>
        <v>2026</v>
      </c>
      <c r="D116" s="2">
        <f t="shared" si="14"/>
        <v>1</v>
      </c>
      <c r="E116" s="2">
        <f t="shared" si="9"/>
        <v>2</v>
      </c>
      <c r="F116" s="2" t="str">
        <f t="shared" si="15"/>
        <v>Feb</v>
      </c>
      <c r="G116" s="2" t="s">
        <v>30</v>
      </c>
      <c r="H116" s="2" t="s">
        <v>31</v>
      </c>
      <c r="I116" s="2" t="s">
        <v>27</v>
      </c>
      <c r="J116" s="2" t="s">
        <v>19</v>
      </c>
      <c r="K116" s="2" t="s">
        <v>28</v>
      </c>
      <c r="L116" s="2" t="s">
        <v>64</v>
      </c>
      <c r="M116" s="2">
        <v>12</v>
      </c>
      <c r="N116" s="4">
        <v>94.18</v>
      </c>
      <c r="O116" s="5">
        <v>0.05</v>
      </c>
      <c r="P116" s="4">
        <v>45.03</v>
      </c>
      <c r="Q116" s="4">
        <f t="shared" si="10"/>
        <v>1073.652</v>
      </c>
      <c r="R116" s="4">
        <f t="shared" si="11"/>
        <v>540.36</v>
      </c>
      <c r="S116" s="4">
        <f t="shared" si="12"/>
        <v>533.29200000000003</v>
      </c>
      <c r="T116" s="6">
        <f t="shared" si="13"/>
        <v>0.49670843066468467</v>
      </c>
    </row>
    <row r="117" spans="1:20" x14ac:dyDescent="0.3">
      <c r="A117" s="2">
        <v>1412</v>
      </c>
      <c r="B117" s="3">
        <v>46064</v>
      </c>
      <c r="C117" s="2">
        <f t="shared" si="8"/>
        <v>2026</v>
      </c>
      <c r="D117" s="2">
        <f t="shared" si="14"/>
        <v>1</v>
      </c>
      <c r="E117" s="2">
        <f t="shared" si="9"/>
        <v>2</v>
      </c>
      <c r="F117" s="2" t="str">
        <f t="shared" si="15"/>
        <v>Feb</v>
      </c>
      <c r="G117" s="2" t="s">
        <v>16</v>
      </c>
      <c r="H117" s="2" t="s">
        <v>22</v>
      </c>
      <c r="I117" s="2" t="s">
        <v>33</v>
      </c>
      <c r="J117" s="2" t="s">
        <v>19</v>
      </c>
      <c r="K117" s="2" t="s">
        <v>43</v>
      </c>
      <c r="L117" s="2" t="s">
        <v>50</v>
      </c>
      <c r="M117" s="2">
        <v>10</v>
      </c>
      <c r="N117" s="4">
        <v>100.12</v>
      </c>
      <c r="O117" s="5">
        <v>0.15</v>
      </c>
      <c r="P117" s="4">
        <v>49.67</v>
      </c>
      <c r="Q117" s="4">
        <f t="shared" si="10"/>
        <v>851.02</v>
      </c>
      <c r="R117" s="4">
        <f t="shared" si="11"/>
        <v>496.70000000000005</v>
      </c>
      <c r="S117" s="4">
        <f t="shared" si="12"/>
        <v>354.31999999999994</v>
      </c>
      <c r="T117" s="6">
        <f t="shared" si="13"/>
        <v>0.41634744189325745</v>
      </c>
    </row>
    <row r="118" spans="1:20" x14ac:dyDescent="0.3">
      <c r="A118" s="2">
        <v>1466</v>
      </c>
      <c r="B118" s="3">
        <v>46064</v>
      </c>
      <c r="C118" s="2">
        <f t="shared" si="8"/>
        <v>2026</v>
      </c>
      <c r="D118" s="2">
        <f t="shared" si="14"/>
        <v>1</v>
      </c>
      <c r="E118" s="2">
        <f t="shared" si="9"/>
        <v>2</v>
      </c>
      <c r="F118" s="2" t="str">
        <f t="shared" si="15"/>
        <v>Feb</v>
      </c>
      <c r="G118" s="2" t="s">
        <v>16</v>
      </c>
      <c r="H118" s="2" t="s">
        <v>22</v>
      </c>
      <c r="I118" s="2" t="s">
        <v>27</v>
      </c>
      <c r="J118" s="2" t="s">
        <v>24</v>
      </c>
      <c r="K118" s="2" t="s">
        <v>25</v>
      </c>
      <c r="L118" s="2" t="s">
        <v>54</v>
      </c>
      <c r="M118" s="2">
        <v>12</v>
      </c>
      <c r="N118" s="4">
        <v>41.22</v>
      </c>
      <c r="O118" s="5">
        <v>0.1</v>
      </c>
      <c r="P118" s="4">
        <v>16.64</v>
      </c>
      <c r="Q118" s="4">
        <f t="shared" si="10"/>
        <v>445.17599999999999</v>
      </c>
      <c r="R118" s="4">
        <f t="shared" si="11"/>
        <v>199.68</v>
      </c>
      <c r="S118" s="4">
        <f t="shared" si="12"/>
        <v>245.49599999999998</v>
      </c>
      <c r="T118" s="6">
        <f t="shared" si="13"/>
        <v>0.55145829963879456</v>
      </c>
    </row>
    <row r="119" spans="1:20" x14ac:dyDescent="0.3">
      <c r="A119" s="2">
        <v>1069</v>
      </c>
      <c r="B119" s="3">
        <v>46065</v>
      </c>
      <c r="C119" s="2">
        <f t="shared" si="8"/>
        <v>2026</v>
      </c>
      <c r="D119" s="2">
        <f t="shared" si="14"/>
        <v>1</v>
      </c>
      <c r="E119" s="2">
        <f t="shared" si="9"/>
        <v>2</v>
      </c>
      <c r="F119" s="2" t="str">
        <f t="shared" si="15"/>
        <v>Feb</v>
      </c>
      <c r="G119" s="2" t="s">
        <v>30</v>
      </c>
      <c r="H119" s="2" t="s">
        <v>45</v>
      </c>
      <c r="I119" s="2" t="s">
        <v>18</v>
      </c>
      <c r="J119" s="2" t="s">
        <v>24</v>
      </c>
      <c r="K119" s="2" t="s">
        <v>36</v>
      </c>
      <c r="L119" s="2" t="s">
        <v>47</v>
      </c>
      <c r="M119" s="2">
        <v>15</v>
      </c>
      <c r="N119" s="4">
        <v>40.6</v>
      </c>
      <c r="O119" s="5">
        <v>0.1</v>
      </c>
      <c r="P119" s="4">
        <v>15.04</v>
      </c>
      <c r="Q119" s="4">
        <f t="shared" si="10"/>
        <v>548.1</v>
      </c>
      <c r="R119" s="4">
        <f t="shared" si="11"/>
        <v>225.6</v>
      </c>
      <c r="S119" s="4">
        <f t="shared" si="12"/>
        <v>322.5</v>
      </c>
      <c r="T119" s="6">
        <f t="shared" si="13"/>
        <v>0.58839627805145045</v>
      </c>
    </row>
    <row r="120" spans="1:20" x14ac:dyDescent="0.3">
      <c r="A120" s="2">
        <v>1218</v>
      </c>
      <c r="B120" s="3">
        <v>46065</v>
      </c>
      <c r="C120" s="2">
        <f t="shared" si="8"/>
        <v>2026</v>
      </c>
      <c r="D120" s="2">
        <f t="shared" si="14"/>
        <v>1</v>
      </c>
      <c r="E120" s="2">
        <f t="shared" si="9"/>
        <v>2</v>
      </c>
      <c r="F120" s="2" t="str">
        <f t="shared" si="15"/>
        <v>Feb</v>
      </c>
      <c r="G120" s="2" t="s">
        <v>41</v>
      </c>
      <c r="H120" s="2" t="s">
        <v>42</v>
      </c>
      <c r="I120" s="2" t="s">
        <v>18</v>
      </c>
      <c r="J120" s="2" t="s">
        <v>38</v>
      </c>
      <c r="K120" s="2" t="s">
        <v>28</v>
      </c>
      <c r="L120" s="2" t="s">
        <v>39</v>
      </c>
      <c r="M120" s="2">
        <v>9</v>
      </c>
      <c r="N120" s="4">
        <v>153.38999999999999</v>
      </c>
      <c r="O120" s="5">
        <v>0.05</v>
      </c>
      <c r="P120" s="4">
        <v>78.59</v>
      </c>
      <c r="Q120" s="4">
        <f t="shared" si="10"/>
        <v>1311.4844999999998</v>
      </c>
      <c r="R120" s="4">
        <f t="shared" si="11"/>
        <v>707.31000000000006</v>
      </c>
      <c r="S120" s="4">
        <f t="shared" si="12"/>
        <v>604.17449999999974</v>
      </c>
      <c r="T120" s="6">
        <f t="shared" si="13"/>
        <v>0.46067986316269832</v>
      </c>
    </row>
    <row r="121" spans="1:20" x14ac:dyDescent="0.3">
      <c r="A121" s="2">
        <v>1332</v>
      </c>
      <c r="B121" s="3">
        <v>46065</v>
      </c>
      <c r="C121" s="2">
        <f t="shared" si="8"/>
        <v>2026</v>
      </c>
      <c r="D121" s="2">
        <f t="shared" si="14"/>
        <v>1</v>
      </c>
      <c r="E121" s="2">
        <f t="shared" si="9"/>
        <v>2</v>
      </c>
      <c r="F121" s="2" t="str">
        <f t="shared" si="15"/>
        <v>Feb</v>
      </c>
      <c r="G121" s="2" t="s">
        <v>30</v>
      </c>
      <c r="H121" s="2" t="s">
        <v>31</v>
      </c>
      <c r="I121" s="2" t="s">
        <v>18</v>
      </c>
      <c r="J121" s="2" t="s">
        <v>38</v>
      </c>
      <c r="K121" s="2" t="s">
        <v>28</v>
      </c>
      <c r="L121" s="2" t="s">
        <v>40</v>
      </c>
      <c r="M121" s="2">
        <v>6</v>
      </c>
      <c r="N121" s="4">
        <v>143.66999999999999</v>
      </c>
      <c r="O121" s="5">
        <v>0.1</v>
      </c>
      <c r="P121" s="4">
        <v>81.22</v>
      </c>
      <c r="Q121" s="4">
        <f t="shared" si="10"/>
        <v>775.81799999999998</v>
      </c>
      <c r="R121" s="4">
        <f t="shared" si="11"/>
        <v>487.32</v>
      </c>
      <c r="S121" s="4">
        <f t="shared" si="12"/>
        <v>288.49799999999999</v>
      </c>
      <c r="T121" s="6">
        <f t="shared" si="13"/>
        <v>0.37186298848441257</v>
      </c>
    </row>
    <row r="122" spans="1:20" x14ac:dyDescent="0.3">
      <c r="A122" s="2">
        <v>1459</v>
      </c>
      <c r="B122" s="3">
        <v>46065</v>
      </c>
      <c r="C122" s="2">
        <f t="shared" si="8"/>
        <v>2026</v>
      </c>
      <c r="D122" s="2">
        <f t="shared" si="14"/>
        <v>1</v>
      </c>
      <c r="E122" s="2">
        <f t="shared" si="9"/>
        <v>2</v>
      </c>
      <c r="F122" s="2" t="str">
        <f t="shared" si="15"/>
        <v>Feb</v>
      </c>
      <c r="G122" s="2" t="s">
        <v>30</v>
      </c>
      <c r="H122" s="2" t="s">
        <v>35</v>
      </c>
      <c r="I122" s="2" t="s">
        <v>23</v>
      </c>
      <c r="J122" s="2" t="s">
        <v>19</v>
      </c>
      <c r="K122" s="2" t="s">
        <v>28</v>
      </c>
      <c r="L122" s="2" t="s">
        <v>40</v>
      </c>
      <c r="M122" s="2">
        <v>12</v>
      </c>
      <c r="N122" s="4">
        <v>143.66999999999999</v>
      </c>
      <c r="O122" s="5">
        <v>0</v>
      </c>
      <c r="P122" s="4">
        <v>81.22</v>
      </c>
      <c r="Q122" s="4">
        <f t="shared" si="10"/>
        <v>1724.04</v>
      </c>
      <c r="R122" s="4">
        <f t="shared" si="11"/>
        <v>974.64</v>
      </c>
      <c r="S122" s="4">
        <f t="shared" si="12"/>
        <v>749.4</v>
      </c>
      <c r="T122" s="6">
        <f t="shared" si="13"/>
        <v>0.43467668963597134</v>
      </c>
    </row>
    <row r="123" spans="1:20" x14ac:dyDescent="0.3">
      <c r="A123" s="2">
        <v>1167</v>
      </c>
      <c r="B123" s="3">
        <v>46066</v>
      </c>
      <c r="C123" s="2">
        <f t="shared" si="8"/>
        <v>2026</v>
      </c>
      <c r="D123" s="2">
        <f t="shared" si="14"/>
        <v>1</v>
      </c>
      <c r="E123" s="2">
        <f t="shared" si="9"/>
        <v>2</v>
      </c>
      <c r="F123" s="2" t="str">
        <f t="shared" si="15"/>
        <v>Feb</v>
      </c>
      <c r="G123" s="2" t="s">
        <v>16</v>
      </c>
      <c r="H123" s="2" t="s">
        <v>22</v>
      </c>
      <c r="I123" s="2" t="s">
        <v>27</v>
      </c>
      <c r="J123" s="2" t="s">
        <v>19</v>
      </c>
      <c r="K123" s="2" t="s">
        <v>43</v>
      </c>
      <c r="L123" s="2" t="s">
        <v>44</v>
      </c>
      <c r="M123" s="2">
        <v>15</v>
      </c>
      <c r="N123" s="4">
        <v>49.6</v>
      </c>
      <c r="O123" s="5">
        <v>0.05</v>
      </c>
      <c r="P123" s="4">
        <v>23.05</v>
      </c>
      <c r="Q123" s="4">
        <f t="shared" si="10"/>
        <v>706.8</v>
      </c>
      <c r="R123" s="4">
        <f t="shared" si="11"/>
        <v>345.75</v>
      </c>
      <c r="S123" s="4">
        <f t="shared" si="12"/>
        <v>361.04999999999995</v>
      </c>
      <c r="T123" s="6">
        <f t="shared" si="13"/>
        <v>0.51082342954159587</v>
      </c>
    </row>
    <row r="124" spans="1:20" x14ac:dyDescent="0.3">
      <c r="A124" s="2">
        <v>1287</v>
      </c>
      <c r="B124" s="3">
        <v>46066</v>
      </c>
      <c r="C124" s="2">
        <f t="shared" si="8"/>
        <v>2026</v>
      </c>
      <c r="D124" s="2">
        <f t="shared" si="14"/>
        <v>1</v>
      </c>
      <c r="E124" s="2">
        <f t="shared" si="9"/>
        <v>2</v>
      </c>
      <c r="F124" s="2" t="str">
        <f t="shared" si="15"/>
        <v>Feb</v>
      </c>
      <c r="G124" s="2" t="s">
        <v>48</v>
      </c>
      <c r="H124" s="2" t="s">
        <v>61</v>
      </c>
      <c r="I124" s="2" t="s">
        <v>18</v>
      </c>
      <c r="J124" s="2" t="s">
        <v>19</v>
      </c>
      <c r="K124" s="2" t="s">
        <v>28</v>
      </c>
      <c r="L124" s="2" t="s">
        <v>29</v>
      </c>
      <c r="M124" s="2">
        <v>3</v>
      </c>
      <c r="N124" s="4">
        <v>54.75</v>
      </c>
      <c r="O124" s="5">
        <v>0.15</v>
      </c>
      <c r="P124" s="4">
        <v>24.3</v>
      </c>
      <c r="Q124" s="4">
        <f t="shared" si="10"/>
        <v>139.61249999999998</v>
      </c>
      <c r="R124" s="4">
        <f t="shared" si="11"/>
        <v>72.900000000000006</v>
      </c>
      <c r="S124" s="4">
        <f t="shared" si="12"/>
        <v>66.712499999999977</v>
      </c>
      <c r="T124" s="6">
        <f t="shared" si="13"/>
        <v>0.47784045124899266</v>
      </c>
    </row>
    <row r="125" spans="1:20" x14ac:dyDescent="0.3">
      <c r="A125" s="2">
        <v>1295</v>
      </c>
      <c r="B125" s="3">
        <v>46066</v>
      </c>
      <c r="C125" s="2">
        <f t="shared" si="8"/>
        <v>2026</v>
      </c>
      <c r="D125" s="2">
        <f t="shared" si="14"/>
        <v>1</v>
      </c>
      <c r="E125" s="2">
        <f t="shared" si="9"/>
        <v>2</v>
      </c>
      <c r="F125" s="2" t="str">
        <f t="shared" si="15"/>
        <v>Feb</v>
      </c>
      <c r="G125" s="2" t="s">
        <v>16</v>
      </c>
      <c r="H125" s="2" t="s">
        <v>32</v>
      </c>
      <c r="I125" s="2" t="s">
        <v>18</v>
      </c>
      <c r="J125" s="2" t="s">
        <v>24</v>
      </c>
      <c r="K125" s="2" t="s">
        <v>25</v>
      </c>
      <c r="L125" s="2" t="s">
        <v>55</v>
      </c>
      <c r="M125" s="2">
        <v>10</v>
      </c>
      <c r="N125" s="4">
        <v>194.35</v>
      </c>
      <c r="O125" s="5">
        <v>0</v>
      </c>
      <c r="P125" s="4">
        <v>104.22</v>
      </c>
      <c r="Q125" s="4">
        <f t="shared" si="10"/>
        <v>1943.5</v>
      </c>
      <c r="R125" s="4">
        <f t="shared" si="11"/>
        <v>1042.2</v>
      </c>
      <c r="S125" s="4">
        <f t="shared" si="12"/>
        <v>901.3</v>
      </c>
      <c r="T125" s="6">
        <f t="shared" si="13"/>
        <v>0.46375096475430921</v>
      </c>
    </row>
    <row r="126" spans="1:20" x14ac:dyDescent="0.3">
      <c r="A126" s="2">
        <v>1417</v>
      </c>
      <c r="B126" s="3">
        <v>46066</v>
      </c>
      <c r="C126" s="2">
        <f t="shared" si="8"/>
        <v>2026</v>
      </c>
      <c r="D126" s="2">
        <f t="shared" si="14"/>
        <v>1</v>
      </c>
      <c r="E126" s="2">
        <f t="shared" si="9"/>
        <v>2</v>
      </c>
      <c r="F126" s="2" t="str">
        <f t="shared" si="15"/>
        <v>Feb</v>
      </c>
      <c r="G126" s="2" t="s">
        <v>48</v>
      </c>
      <c r="H126" s="2" t="s">
        <v>63</v>
      </c>
      <c r="I126" s="2" t="s">
        <v>33</v>
      </c>
      <c r="J126" s="2" t="s">
        <v>38</v>
      </c>
      <c r="K126" s="2" t="s">
        <v>25</v>
      </c>
      <c r="L126" s="2" t="s">
        <v>26</v>
      </c>
      <c r="M126" s="2">
        <v>5</v>
      </c>
      <c r="N126" s="4">
        <v>347.51</v>
      </c>
      <c r="O126" s="5">
        <v>0.1</v>
      </c>
      <c r="P126" s="4">
        <v>190.16</v>
      </c>
      <c r="Q126" s="4">
        <f t="shared" si="10"/>
        <v>1563.7950000000001</v>
      </c>
      <c r="R126" s="4">
        <f t="shared" si="11"/>
        <v>950.8</v>
      </c>
      <c r="S126" s="4">
        <f t="shared" si="12"/>
        <v>612.99500000000012</v>
      </c>
      <c r="T126" s="6">
        <f t="shared" si="13"/>
        <v>0.3919919170991083</v>
      </c>
    </row>
    <row r="127" spans="1:20" x14ac:dyDescent="0.3">
      <c r="A127" s="2">
        <v>1242</v>
      </c>
      <c r="B127" s="3">
        <v>46067</v>
      </c>
      <c r="C127" s="2">
        <f t="shared" si="8"/>
        <v>2026</v>
      </c>
      <c r="D127" s="2">
        <f t="shared" si="14"/>
        <v>1</v>
      </c>
      <c r="E127" s="2">
        <f t="shared" si="9"/>
        <v>2</v>
      </c>
      <c r="F127" s="2" t="str">
        <f t="shared" si="15"/>
        <v>Feb</v>
      </c>
      <c r="G127" s="2" t="s">
        <v>30</v>
      </c>
      <c r="H127" s="2" t="s">
        <v>31</v>
      </c>
      <c r="I127" s="2" t="s">
        <v>27</v>
      </c>
      <c r="J127" s="2" t="s">
        <v>19</v>
      </c>
      <c r="K127" s="2" t="s">
        <v>36</v>
      </c>
      <c r="L127" s="2" t="s">
        <v>37</v>
      </c>
      <c r="M127" s="2">
        <v>11</v>
      </c>
      <c r="N127" s="4">
        <v>35.78</v>
      </c>
      <c r="O127" s="5">
        <v>0.2</v>
      </c>
      <c r="P127" s="4">
        <v>13.84</v>
      </c>
      <c r="Q127" s="4">
        <f t="shared" si="10"/>
        <v>314.86400000000003</v>
      </c>
      <c r="R127" s="4">
        <f t="shared" si="11"/>
        <v>152.24</v>
      </c>
      <c r="S127" s="4">
        <f t="shared" si="12"/>
        <v>162.62400000000002</v>
      </c>
      <c r="T127" s="6">
        <f t="shared" si="13"/>
        <v>0.51648965902738964</v>
      </c>
    </row>
    <row r="128" spans="1:20" x14ac:dyDescent="0.3">
      <c r="A128" s="2">
        <v>1324</v>
      </c>
      <c r="B128" s="3">
        <v>46067</v>
      </c>
      <c r="C128" s="2">
        <f t="shared" si="8"/>
        <v>2026</v>
      </c>
      <c r="D128" s="2">
        <f t="shared" si="14"/>
        <v>1</v>
      </c>
      <c r="E128" s="2">
        <f t="shared" si="9"/>
        <v>2</v>
      </c>
      <c r="F128" s="2" t="str">
        <f t="shared" si="15"/>
        <v>Feb</v>
      </c>
      <c r="G128" s="2" t="s">
        <v>41</v>
      </c>
      <c r="H128" s="2" t="s">
        <v>42</v>
      </c>
      <c r="I128" s="2" t="s">
        <v>33</v>
      </c>
      <c r="J128" s="2" t="s">
        <v>19</v>
      </c>
      <c r="K128" s="2" t="s">
        <v>36</v>
      </c>
      <c r="L128" s="2" t="s">
        <v>58</v>
      </c>
      <c r="M128" s="2">
        <v>8</v>
      </c>
      <c r="N128" s="4">
        <v>32.99</v>
      </c>
      <c r="O128" s="5">
        <v>0</v>
      </c>
      <c r="P128" s="4">
        <v>12.5</v>
      </c>
      <c r="Q128" s="4">
        <f t="shared" si="10"/>
        <v>263.92</v>
      </c>
      <c r="R128" s="4">
        <f t="shared" si="11"/>
        <v>100</v>
      </c>
      <c r="S128" s="4">
        <f t="shared" si="12"/>
        <v>163.92000000000002</v>
      </c>
      <c r="T128" s="6">
        <f t="shared" si="13"/>
        <v>0.6210973022127918</v>
      </c>
    </row>
    <row r="129" spans="1:20" x14ac:dyDescent="0.3">
      <c r="A129" s="2">
        <v>1401</v>
      </c>
      <c r="B129" s="3">
        <v>46068</v>
      </c>
      <c r="C129" s="2">
        <f t="shared" si="8"/>
        <v>2026</v>
      </c>
      <c r="D129" s="2">
        <f t="shared" si="14"/>
        <v>1</v>
      </c>
      <c r="E129" s="2">
        <f t="shared" si="9"/>
        <v>2</v>
      </c>
      <c r="F129" s="2" t="str">
        <f t="shared" si="15"/>
        <v>Feb</v>
      </c>
      <c r="G129" s="2" t="s">
        <v>48</v>
      </c>
      <c r="H129" s="2" t="s">
        <v>63</v>
      </c>
      <c r="I129" s="2" t="s">
        <v>23</v>
      </c>
      <c r="J129" s="2" t="s">
        <v>24</v>
      </c>
      <c r="K129" s="2" t="s">
        <v>43</v>
      </c>
      <c r="L129" s="2" t="s">
        <v>44</v>
      </c>
      <c r="M129" s="2">
        <v>10</v>
      </c>
      <c r="N129" s="4">
        <v>49.6</v>
      </c>
      <c r="O129" s="5">
        <v>0.2</v>
      </c>
      <c r="P129" s="4">
        <v>23.05</v>
      </c>
      <c r="Q129" s="4">
        <f t="shared" si="10"/>
        <v>396.8</v>
      </c>
      <c r="R129" s="4">
        <f t="shared" si="11"/>
        <v>230.5</v>
      </c>
      <c r="S129" s="4">
        <f t="shared" si="12"/>
        <v>166.3</v>
      </c>
      <c r="T129" s="6">
        <f t="shared" si="13"/>
        <v>0.41910282258064518</v>
      </c>
    </row>
    <row r="130" spans="1:20" x14ac:dyDescent="0.3">
      <c r="A130" s="2">
        <v>1405</v>
      </c>
      <c r="B130" s="3">
        <v>46068</v>
      </c>
      <c r="C130" s="2">
        <f t="shared" ref="C130:C193" si="16">YEAR(B130)</f>
        <v>2026</v>
      </c>
      <c r="D130" s="2">
        <f t="shared" si="14"/>
        <v>1</v>
      </c>
      <c r="E130" s="2">
        <f t="shared" ref="E130:E193" si="17">MONTH(B130)</f>
        <v>2</v>
      </c>
      <c r="F130" s="2" t="str">
        <f t="shared" si="15"/>
        <v>Feb</v>
      </c>
      <c r="G130" s="2" t="s">
        <v>16</v>
      </c>
      <c r="H130" s="2" t="s">
        <v>22</v>
      </c>
      <c r="I130" s="2" t="s">
        <v>18</v>
      </c>
      <c r="J130" s="2" t="s">
        <v>24</v>
      </c>
      <c r="K130" s="2" t="s">
        <v>36</v>
      </c>
      <c r="L130" s="2" t="s">
        <v>58</v>
      </c>
      <c r="M130" s="2">
        <v>14</v>
      </c>
      <c r="N130" s="4">
        <v>32.99</v>
      </c>
      <c r="O130" s="5">
        <v>0.15</v>
      </c>
      <c r="P130" s="4">
        <v>12.5</v>
      </c>
      <c r="Q130" s="4">
        <f t="shared" ref="Q130:Q193" si="18">M130*N130*(1-O130)</f>
        <v>392.58100000000002</v>
      </c>
      <c r="R130" s="4">
        <f t="shared" ref="R130:R193" si="19">M130*P130</f>
        <v>175</v>
      </c>
      <c r="S130" s="4">
        <f t="shared" ref="S130:S193" si="20">Q130-R130</f>
        <v>217.58100000000002</v>
      </c>
      <c r="T130" s="6">
        <f t="shared" ref="T130:T193" si="21">IFERROR(S130/Q130,0)</f>
        <v>0.5542321202503433</v>
      </c>
    </row>
    <row r="131" spans="1:20" x14ac:dyDescent="0.3">
      <c r="A131" s="2">
        <v>1082</v>
      </c>
      <c r="B131" s="3">
        <v>46069</v>
      </c>
      <c r="C131" s="2">
        <f t="shared" si="16"/>
        <v>2026</v>
      </c>
      <c r="D131" s="2">
        <f t="shared" ref="D131:D194" si="22">ROUNDUP(MONTH(B131)/3,0)</f>
        <v>1</v>
      </c>
      <c r="E131" s="2">
        <f t="shared" si="17"/>
        <v>2</v>
      </c>
      <c r="F131" s="2" t="str">
        <f t="shared" ref="F131:F194" si="23">TEXT(B131,"MMM")</f>
        <v>Feb</v>
      </c>
      <c r="G131" s="2" t="s">
        <v>30</v>
      </c>
      <c r="H131" s="2" t="s">
        <v>45</v>
      </c>
      <c r="I131" s="2" t="s">
        <v>27</v>
      </c>
      <c r="J131" s="2" t="s">
        <v>19</v>
      </c>
      <c r="K131" s="2" t="s">
        <v>20</v>
      </c>
      <c r="L131" s="2" t="s">
        <v>34</v>
      </c>
      <c r="M131" s="2">
        <v>6</v>
      </c>
      <c r="N131" s="4">
        <v>29.95</v>
      </c>
      <c r="O131" s="5">
        <v>0.05</v>
      </c>
      <c r="P131" s="4">
        <v>11.5</v>
      </c>
      <c r="Q131" s="4">
        <f t="shared" si="18"/>
        <v>170.71499999999997</v>
      </c>
      <c r="R131" s="4">
        <f t="shared" si="19"/>
        <v>69</v>
      </c>
      <c r="S131" s="4">
        <f t="shared" si="20"/>
        <v>101.71499999999997</v>
      </c>
      <c r="T131" s="6">
        <f t="shared" si="21"/>
        <v>0.59581759072137763</v>
      </c>
    </row>
    <row r="132" spans="1:20" x14ac:dyDescent="0.3">
      <c r="A132" s="2">
        <v>1154</v>
      </c>
      <c r="B132" s="3">
        <v>46069</v>
      </c>
      <c r="C132" s="2">
        <f t="shared" si="16"/>
        <v>2026</v>
      </c>
      <c r="D132" s="2">
        <f t="shared" si="22"/>
        <v>1</v>
      </c>
      <c r="E132" s="2">
        <f t="shared" si="17"/>
        <v>2</v>
      </c>
      <c r="F132" s="2" t="str">
        <f t="shared" si="23"/>
        <v>Feb</v>
      </c>
      <c r="G132" s="2" t="s">
        <v>48</v>
      </c>
      <c r="H132" s="2" t="s">
        <v>49</v>
      </c>
      <c r="I132" s="2" t="s">
        <v>23</v>
      </c>
      <c r="J132" s="2" t="s">
        <v>19</v>
      </c>
      <c r="K132" s="2" t="s">
        <v>20</v>
      </c>
      <c r="L132" s="2" t="s">
        <v>34</v>
      </c>
      <c r="M132" s="2">
        <v>1</v>
      </c>
      <c r="N132" s="4">
        <v>29.95</v>
      </c>
      <c r="O132" s="5">
        <v>0</v>
      </c>
      <c r="P132" s="4">
        <v>11.5</v>
      </c>
      <c r="Q132" s="4">
        <f t="shared" si="18"/>
        <v>29.95</v>
      </c>
      <c r="R132" s="4">
        <f t="shared" si="19"/>
        <v>11.5</v>
      </c>
      <c r="S132" s="4">
        <f t="shared" si="20"/>
        <v>18.45</v>
      </c>
      <c r="T132" s="6">
        <f t="shared" si="21"/>
        <v>0.61602671118530883</v>
      </c>
    </row>
    <row r="133" spans="1:20" x14ac:dyDescent="0.3">
      <c r="A133" s="2">
        <v>1182</v>
      </c>
      <c r="B133" s="3">
        <v>46069</v>
      </c>
      <c r="C133" s="2">
        <f t="shared" si="16"/>
        <v>2026</v>
      </c>
      <c r="D133" s="2">
        <f t="shared" si="22"/>
        <v>1</v>
      </c>
      <c r="E133" s="2">
        <f t="shared" si="17"/>
        <v>2</v>
      </c>
      <c r="F133" s="2" t="str">
        <f t="shared" si="23"/>
        <v>Feb</v>
      </c>
      <c r="G133" s="2" t="s">
        <v>41</v>
      </c>
      <c r="H133" s="2" t="s">
        <v>59</v>
      </c>
      <c r="I133" s="2" t="s">
        <v>23</v>
      </c>
      <c r="J133" s="2" t="s">
        <v>38</v>
      </c>
      <c r="K133" s="2" t="s">
        <v>43</v>
      </c>
      <c r="L133" s="2" t="s">
        <v>65</v>
      </c>
      <c r="M133" s="2">
        <v>6</v>
      </c>
      <c r="N133" s="4">
        <v>28.5</v>
      </c>
      <c r="O133" s="5">
        <v>0.2</v>
      </c>
      <c r="P133" s="4">
        <v>12.8</v>
      </c>
      <c r="Q133" s="4">
        <f t="shared" si="18"/>
        <v>136.80000000000001</v>
      </c>
      <c r="R133" s="4">
        <f t="shared" si="19"/>
        <v>76.800000000000011</v>
      </c>
      <c r="S133" s="4">
        <f t="shared" si="20"/>
        <v>60</v>
      </c>
      <c r="T133" s="6">
        <f t="shared" si="21"/>
        <v>0.43859649122807015</v>
      </c>
    </row>
    <row r="134" spans="1:20" x14ac:dyDescent="0.3">
      <c r="A134" s="2">
        <v>1325</v>
      </c>
      <c r="B134" s="3">
        <v>46070</v>
      </c>
      <c r="C134" s="2">
        <f t="shared" si="16"/>
        <v>2026</v>
      </c>
      <c r="D134" s="2">
        <f t="shared" si="22"/>
        <v>1</v>
      </c>
      <c r="E134" s="2">
        <f t="shared" si="17"/>
        <v>2</v>
      </c>
      <c r="F134" s="2" t="str">
        <f t="shared" si="23"/>
        <v>Feb</v>
      </c>
      <c r="G134" s="2" t="s">
        <v>41</v>
      </c>
      <c r="H134" s="2" t="s">
        <v>59</v>
      </c>
      <c r="I134" s="2" t="s">
        <v>23</v>
      </c>
      <c r="J134" s="2" t="s">
        <v>38</v>
      </c>
      <c r="K134" s="2" t="s">
        <v>25</v>
      </c>
      <c r="L134" s="2" t="s">
        <v>26</v>
      </c>
      <c r="M134" s="2">
        <v>12</v>
      </c>
      <c r="N134" s="4">
        <v>347.51</v>
      </c>
      <c r="O134" s="5">
        <v>0.15</v>
      </c>
      <c r="P134" s="4">
        <v>190.16</v>
      </c>
      <c r="Q134" s="4">
        <f t="shared" si="18"/>
        <v>3544.6019999999999</v>
      </c>
      <c r="R134" s="4">
        <f t="shared" si="19"/>
        <v>2281.92</v>
      </c>
      <c r="S134" s="4">
        <f t="shared" si="20"/>
        <v>1262.6819999999998</v>
      </c>
      <c r="T134" s="6">
        <f t="shared" si="21"/>
        <v>0.35622673575199693</v>
      </c>
    </row>
    <row r="135" spans="1:20" x14ac:dyDescent="0.3">
      <c r="A135" s="2">
        <v>1419</v>
      </c>
      <c r="B135" s="3">
        <v>46070</v>
      </c>
      <c r="C135" s="2">
        <f t="shared" si="16"/>
        <v>2026</v>
      </c>
      <c r="D135" s="2">
        <f t="shared" si="22"/>
        <v>1</v>
      </c>
      <c r="E135" s="2">
        <f t="shared" si="17"/>
        <v>2</v>
      </c>
      <c r="F135" s="2" t="str">
        <f t="shared" si="23"/>
        <v>Feb</v>
      </c>
      <c r="G135" s="2" t="s">
        <v>30</v>
      </c>
      <c r="H135" s="2" t="s">
        <v>35</v>
      </c>
      <c r="I135" s="2" t="s">
        <v>23</v>
      </c>
      <c r="J135" s="2" t="s">
        <v>38</v>
      </c>
      <c r="K135" s="2" t="s">
        <v>20</v>
      </c>
      <c r="L135" s="2" t="s">
        <v>52</v>
      </c>
      <c r="M135" s="2">
        <v>8</v>
      </c>
      <c r="N135" s="4">
        <v>89.99</v>
      </c>
      <c r="O135" s="5">
        <v>0.05</v>
      </c>
      <c r="P135" s="4">
        <v>42.25</v>
      </c>
      <c r="Q135" s="4">
        <f t="shared" si="18"/>
        <v>683.92399999999998</v>
      </c>
      <c r="R135" s="4">
        <f t="shared" si="19"/>
        <v>338</v>
      </c>
      <c r="S135" s="4">
        <f t="shared" si="20"/>
        <v>345.92399999999998</v>
      </c>
      <c r="T135" s="6">
        <f t="shared" si="21"/>
        <v>0.50579304133207781</v>
      </c>
    </row>
    <row r="136" spans="1:20" x14ac:dyDescent="0.3">
      <c r="A136" s="2">
        <v>1031</v>
      </c>
      <c r="B136" s="3">
        <v>46071</v>
      </c>
      <c r="C136" s="2">
        <f t="shared" si="16"/>
        <v>2026</v>
      </c>
      <c r="D136" s="2">
        <f t="shared" si="22"/>
        <v>1</v>
      </c>
      <c r="E136" s="2">
        <f t="shared" si="17"/>
        <v>2</v>
      </c>
      <c r="F136" s="2" t="str">
        <f t="shared" si="23"/>
        <v>Feb</v>
      </c>
      <c r="G136" s="2" t="s">
        <v>48</v>
      </c>
      <c r="H136" s="2" t="s">
        <v>61</v>
      </c>
      <c r="I136" s="2" t="s">
        <v>18</v>
      </c>
      <c r="J136" s="2" t="s">
        <v>24</v>
      </c>
      <c r="K136" s="2" t="s">
        <v>43</v>
      </c>
      <c r="L136" s="2" t="s">
        <v>57</v>
      </c>
      <c r="M136" s="2">
        <v>12</v>
      </c>
      <c r="N136" s="4">
        <v>82.06</v>
      </c>
      <c r="O136" s="5">
        <v>0.05</v>
      </c>
      <c r="P136" s="4">
        <v>42.94</v>
      </c>
      <c r="Q136" s="4">
        <f t="shared" si="18"/>
        <v>935.48400000000004</v>
      </c>
      <c r="R136" s="4">
        <f t="shared" si="19"/>
        <v>515.28</v>
      </c>
      <c r="S136" s="4">
        <f t="shared" si="20"/>
        <v>420.20400000000006</v>
      </c>
      <c r="T136" s="6">
        <f t="shared" si="21"/>
        <v>0.44918352425054842</v>
      </c>
    </row>
    <row r="137" spans="1:20" x14ac:dyDescent="0.3">
      <c r="A137" s="2">
        <v>1110</v>
      </c>
      <c r="B137" s="3">
        <v>46071</v>
      </c>
      <c r="C137" s="2">
        <f t="shared" si="16"/>
        <v>2026</v>
      </c>
      <c r="D137" s="2">
        <f t="shared" si="22"/>
        <v>1</v>
      </c>
      <c r="E137" s="2">
        <f t="shared" si="17"/>
        <v>2</v>
      </c>
      <c r="F137" s="2" t="str">
        <f t="shared" si="23"/>
        <v>Feb</v>
      </c>
      <c r="G137" s="2" t="s">
        <v>41</v>
      </c>
      <c r="H137" s="2" t="s">
        <v>51</v>
      </c>
      <c r="I137" s="2" t="s">
        <v>27</v>
      </c>
      <c r="J137" s="2" t="s">
        <v>24</v>
      </c>
      <c r="K137" s="2" t="s">
        <v>20</v>
      </c>
      <c r="L137" s="2" t="s">
        <v>52</v>
      </c>
      <c r="M137" s="2">
        <v>6</v>
      </c>
      <c r="N137" s="4">
        <v>89.99</v>
      </c>
      <c r="O137" s="5">
        <v>0.15</v>
      </c>
      <c r="P137" s="4">
        <v>42.25</v>
      </c>
      <c r="Q137" s="4">
        <f t="shared" si="18"/>
        <v>458.94899999999996</v>
      </c>
      <c r="R137" s="4">
        <f t="shared" si="19"/>
        <v>253.5</v>
      </c>
      <c r="S137" s="4">
        <f t="shared" si="20"/>
        <v>205.44899999999996</v>
      </c>
      <c r="T137" s="6">
        <f t="shared" si="21"/>
        <v>0.44765104619467516</v>
      </c>
    </row>
    <row r="138" spans="1:20" x14ac:dyDescent="0.3">
      <c r="A138" s="2">
        <v>1271</v>
      </c>
      <c r="B138" s="3">
        <v>46071</v>
      </c>
      <c r="C138" s="2">
        <f t="shared" si="16"/>
        <v>2026</v>
      </c>
      <c r="D138" s="2">
        <f t="shared" si="22"/>
        <v>1</v>
      </c>
      <c r="E138" s="2">
        <f t="shared" si="17"/>
        <v>2</v>
      </c>
      <c r="F138" s="2" t="str">
        <f t="shared" si="23"/>
        <v>Feb</v>
      </c>
      <c r="G138" s="2" t="s">
        <v>16</v>
      </c>
      <c r="H138" s="2" t="s">
        <v>17</v>
      </c>
      <c r="I138" s="2" t="s">
        <v>18</v>
      </c>
      <c r="J138" s="2" t="s">
        <v>24</v>
      </c>
      <c r="K138" s="2" t="s">
        <v>25</v>
      </c>
      <c r="L138" s="2" t="s">
        <v>26</v>
      </c>
      <c r="M138" s="2">
        <v>4</v>
      </c>
      <c r="N138" s="4">
        <v>347.51</v>
      </c>
      <c r="O138" s="5">
        <v>0</v>
      </c>
      <c r="P138" s="4">
        <v>190.16</v>
      </c>
      <c r="Q138" s="4">
        <f t="shared" si="18"/>
        <v>1390.04</v>
      </c>
      <c r="R138" s="4">
        <f t="shared" si="19"/>
        <v>760.64</v>
      </c>
      <c r="S138" s="4">
        <f t="shared" si="20"/>
        <v>629.4</v>
      </c>
      <c r="T138" s="6">
        <f t="shared" si="21"/>
        <v>0.4527927253891974</v>
      </c>
    </row>
    <row r="139" spans="1:20" x14ac:dyDescent="0.3">
      <c r="A139" s="2">
        <v>1281</v>
      </c>
      <c r="B139" s="3">
        <v>46071</v>
      </c>
      <c r="C139" s="2">
        <f t="shared" si="16"/>
        <v>2026</v>
      </c>
      <c r="D139" s="2">
        <f t="shared" si="22"/>
        <v>1</v>
      </c>
      <c r="E139" s="2">
        <f t="shared" si="17"/>
        <v>2</v>
      </c>
      <c r="F139" s="2" t="str">
        <f t="shared" si="23"/>
        <v>Feb</v>
      </c>
      <c r="G139" s="2" t="s">
        <v>41</v>
      </c>
      <c r="H139" s="2" t="s">
        <v>59</v>
      </c>
      <c r="I139" s="2" t="s">
        <v>23</v>
      </c>
      <c r="J139" s="2" t="s">
        <v>24</v>
      </c>
      <c r="K139" s="2" t="s">
        <v>28</v>
      </c>
      <c r="L139" s="2" t="s">
        <v>39</v>
      </c>
      <c r="M139" s="2">
        <v>5</v>
      </c>
      <c r="N139" s="4">
        <v>153.38999999999999</v>
      </c>
      <c r="O139" s="5">
        <v>0</v>
      </c>
      <c r="P139" s="4">
        <v>78.59</v>
      </c>
      <c r="Q139" s="4">
        <f t="shared" si="18"/>
        <v>766.94999999999993</v>
      </c>
      <c r="R139" s="4">
        <f t="shared" si="19"/>
        <v>392.95000000000005</v>
      </c>
      <c r="S139" s="4">
        <f t="shared" si="20"/>
        <v>373.99999999999989</v>
      </c>
      <c r="T139" s="6">
        <f t="shared" si="21"/>
        <v>0.48764587000456344</v>
      </c>
    </row>
    <row r="140" spans="1:20" x14ac:dyDescent="0.3">
      <c r="A140" s="2">
        <v>1007</v>
      </c>
      <c r="B140" s="3">
        <v>46072</v>
      </c>
      <c r="C140" s="2">
        <f t="shared" si="16"/>
        <v>2026</v>
      </c>
      <c r="D140" s="2">
        <f t="shared" si="22"/>
        <v>1</v>
      </c>
      <c r="E140" s="2">
        <f t="shared" si="17"/>
        <v>2</v>
      </c>
      <c r="F140" s="2" t="str">
        <f t="shared" si="23"/>
        <v>Feb</v>
      </c>
      <c r="G140" s="2" t="s">
        <v>16</v>
      </c>
      <c r="H140" s="2" t="s">
        <v>17</v>
      </c>
      <c r="I140" s="2" t="s">
        <v>18</v>
      </c>
      <c r="J140" s="2" t="s">
        <v>38</v>
      </c>
      <c r="K140" s="2" t="s">
        <v>28</v>
      </c>
      <c r="L140" s="2" t="s">
        <v>39</v>
      </c>
      <c r="M140" s="2">
        <v>2</v>
      </c>
      <c r="N140" s="4">
        <v>153.38999999999999</v>
      </c>
      <c r="O140" s="5">
        <v>0</v>
      </c>
      <c r="P140" s="4">
        <v>78.59</v>
      </c>
      <c r="Q140" s="4">
        <f t="shared" si="18"/>
        <v>306.77999999999997</v>
      </c>
      <c r="R140" s="4">
        <f t="shared" si="19"/>
        <v>157.18</v>
      </c>
      <c r="S140" s="4">
        <f t="shared" si="20"/>
        <v>149.59999999999997</v>
      </c>
      <c r="T140" s="6">
        <f t="shared" si="21"/>
        <v>0.48764587000456344</v>
      </c>
    </row>
    <row r="141" spans="1:20" x14ac:dyDescent="0.3">
      <c r="A141" s="2">
        <v>1088</v>
      </c>
      <c r="B141" s="3">
        <v>46072</v>
      </c>
      <c r="C141" s="2">
        <f t="shared" si="16"/>
        <v>2026</v>
      </c>
      <c r="D141" s="2">
        <f t="shared" si="22"/>
        <v>1</v>
      </c>
      <c r="E141" s="2">
        <f t="shared" si="17"/>
        <v>2</v>
      </c>
      <c r="F141" s="2" t="str">
        <f t="shared" si="23"/>
        <v>Feb</v>
      </c>
      <c r="G141" s="2" t="s">
        <v>48</v>
      </c>
      <c r="H141" s="2" t="s">
        <v>61</v>
      </c>
      <c r="I141" s="2" t="s">
        <v>23</v>
      </c>
      <c r="J141" s="2" t="s">
        <v>38</v>
      </c>
      <c r="K141" s="2" t="s">
        <v>20</v>
      </c>
      <c r="L141" s="2" t="s">
        <v>21</v>
      </c>
      <c r="M141" s="2">
        <v>5</v>
      </c>
      <c r="N141" s="4">
        <v>46.99</v>
      </c>
      <c r="O141" s="5">
        <v>0</v>
      </c>
      <c r="P141" s="4">
        <v>18.11</v>
      </c>
      <c r="Q141" s="4">
        <f t="shared" si="18"/>
        <v>234.95000000000002</v>
      </c>
      <c r="R141" s="4">
        <f t="shared" si="19"/>
        <v>90.55</v>
      </c>
      <c r="S141" s="4">
        <f t="shared" si="20"/>
        <v>144.40000000000003</v>
      </c>
      <c r="T141" s="6">
        <f t="shared" si="21"/>
        <v>0.61459885081932331</v>
      </c>
    </row>
    <row r="142" spans="1:20" x14ac:dyDescent="0.3">
      <c r="A142" s="2">
        <v>1292</v>
      </c>
      <c r="B142" s="3">
        <v>46072</v>
      </c>
      <c r="C142" s="2">
        <f t="shared" si="16"/>
        <v>2026</v>
      </c>
      <c r="D142" s="2">
        <f t="shared" si="22"/>
        <v>1</v>
      </c>
      <c r="E142" s="2">
        <f t="shared" si="17"/>
        <v>2</v>
      </c>
      <c r="F142" s="2" t="str">
        <f t="shared" si="23"/>
        <v>Feb</v>
      </c>
      <c r="G142" s="2" t="s">
        <v>48</v>
      </c>
      <c r="H142" s="2" t="s">
        <v>49</v>
      </c>
      <c r="I142" s="2" t="s">
        <v>33</v>
      </c>
      <c r="J142" s="2" t="s">
        <v>38</v>
      </c>
      <c r="K142" s="2" t="s">
        <v>20</v>
      </c>
      <c r="L142" s="2" t="s">
        <v>52</v>
      </c>
      <c r="M142" s="2">
        <v>2</v>
      </c>
      <c r="N142" s="4">
        <v>89.99</v>
      </c>
      <c r="O142" s="5">
        <v>0.05</v>
      </c>
      <c r="P142" s="4">
        <v>42.25</v>
      </c>
      <c r="Q142" s="4">
        <f t="shared" si="18"/>
        <v>170.98099999999999</v>
      </c>
      <c r="R142" s="4">
        <f t="shared" si="19"/>
        <v>84.5</v>
      </c>
      <c r="S142" s="4">
        <f t="shared" si="20"/>
        <v>86.480999999999995</v>
      </c>
      <c r="T142" s="6">
        <f t="shared" si="21"/>
        <v>0.50579304133207781</v>
      </c>
    </row>
    <row r="143" spans="1:20" x14ac:dyDescent="0.3">
      <c r="A143" s="2">
        <v>1219</v>
      </c>
      <c r="B143" s="3">
        <v>46073</v>
      </c>
      <c r="C143" s="2">
        <f t="shared" si="16"/>
        <v>2026</v>
      </c>
      <c r="D143" s="2">
        <f t="shared" si="22"/>
        <v>1</v>
      </c>
      <c r="E143" s="2">
        <f t="shared" si="17"/>
        <v>2</v>
      </c>
      <c r="F143" s="2" t="str">
        <f t="shared" si="23"/>
        <v>Feb</v>
      </c>
      <c r="G143" s="2" t="s">
        <v>48</v>
      </c>
      <c r="H143" s="2" t="s">
        <v>61</v>
      </c>
      <c r="I143" s="2" t="s">
        <v>23</v>
      </c>
      <c r="J143" s="2" t="s">
        <v>19</v>
      </c>
      <c r="K143" s="2" t="s">
        <v>20</v>
      </c>
      <c r="L143" s="2" t="s">
        <v>56</v>
      </c>
      <c r="M143" s="2">
        <v>9</v>
      </c>
      <c r="N143" s="4">
        <v>36.72</v>
      </c>
      <c r="O143" s="5">
        <v>0.2</v>
      </c>
      <c r="P143" s="4">
        <v>13.76</v>
      </c>
      <c r="Q143" s="4">
        <f t="shared" si="18"/>
        <v>264.38400000000001</v>
      </c>
      <c r="R143" s="4">
        <f t="shared" si="19"/>
        <v>123.84</v>
      </c>
      <c r="S143" s="4">
        <f t="shared" si="20"/>
        <v>140.54400000000001</v>
      </c>
      <c r="T143" s="6">
        <f t="shared" si="21"/>
        <v>0.53159041394335516</v>
      </c>
    </row>
    <row r="144" spans="1:20" x14ac:dyDescent="0.3">
      <c r="A144" s="2">
        <v>1234</v>
      </c>
      <c r="B144" s="3">
        <v>46073</v>
      </c>
      <c r="C144" s="2">
        <f t="shared" si="16"/>
        <v>2026</v>
      </c>
      <c r="D144" s="2">
        <f t="shared" si="22"/>
        <v>1</v>
      </c>
      <c r="E144" s="2">
        <f t="shared" si="17"/>
        <v>2</v>
      </c>
      <c r="F144" s="2" t="str">
        <f t="shared" si="23"/>
        <v>Feb</v>
      </c>
      <c r="G144" s="2" t="s">
        <v>30</v>
      </c>
      <c r="H144" s="2" t="s">
        <v>35</v>
      </c>
      <c r="I144" s="2" t="s">
        <v>27</v>
      </c>
      <c r="J144" s="2" t="s">
        <v>38</v>
      </c>
      <c r="K144" s="2" t="s">
        <v>43</v>
      </c>
      <c r="L144" s="2" t="s">
        <v>57</v>
      </c>
      <c r="M144" s="2">
        <v>3</v>
      </c>
      <c r="N144" s="4">
        <v>82.06</v>
      </c>
      <c r="O144" s="5">
        <v>0.2</v>
      </c>
      <c r="P144" s="4">
        <v>42.94</v>
      </c>
      <c r="Q144" s="4">
        <f t="shared" si="18"/>
        <v>196.94400000000002</v>
      </c>
      <c r="R144" s="4">
        <f t="shared" si="19"/>
        <v>128.82</v>
      </c>
      <c r="S144" s="4">
        <f t="shared" si="20"/>
        <v>68.124000000000024</v>
      </c>
      <c r="T144" s="6">
        <f t="shared" si="21"/>
        <v>0.3459054350475263</v>
      </c>
    </row>
    <row r="145" spans="1:20" x14ac:dyDescent="0.3">
      <c r="A145" s="2">
        <v>1465</v>
      </c>
      <c r="B145" s="3">
        <v>46073</v>
      </c>
      <c r="C145" s="2">
        <f t="shared" si="16"/>
        <v>2026</v>
      </c>
      <c r="D145" s="2">
        <f t="shared" si="22"/>
        <v>1</v>
      </c>
      <c r="E145" s="2">
        <f t="shared" si="17"/>
        <v>2</v>
      </c>
      <c r="F145" s="2" t="str">
        <f t="shared" si="23"/>
        <v>Feb</v>
      </c>
      <c r="G145" s="2" t="s">
        <v>41</v>
      </c>
      <c r="H145" s="2" t="s">
        <v>42</v>
      </c>
      <c r="I145" s="2" t="s">
        <v>33</v>
      </c>
      <c r="J145" s="2" t="s">
        <v>38</v>
      </c>
      <c r="K145" s="2" t="s">
        <v>36</v>
      </c>
      <c r="L145" s="2" t="s">
        <v>62</v>
      </c>
      <c r="M145" s="2">
        <v>6</v>
      </c>
      <c r="N145" s="4">
        <v>124.97</v>
      </c>
      <c r="O145" s="5">
        <v>0.2</v>
      </c>
      <c r="P145" s="4">
        <v>67.36</v>
      </c>
      <c r="Q145" s="4">
        <f t="shared" si="18"/>
        <v>599.85599999999999</v>
      </c>
      <c r="R145" s="4">
        <f t="shared" si="19"/>
        <v>404.15999999999997</v>
      </c>
      <c r="S145" s="4">
        <f t="shared" si="20"/>
        <v>195.69600000000003</v>
      </c>
      <c r="T145" s="6">
        <f t="shared" si="21"/>
        <v>0.32623829719132597</v>
      </c>
    </row>
    <row r="146" spans="1:20" x14ac:dyDescent="0.3">
      <c r="A146" s="2">
        <v>1047</v>
      </c>
      <c r="B146" s="3">
        <v>46074</v>
      </c>
      <c r="C146" s="2">
        <f t="shared" si="16"/>
        <v>2026</v>
      </c>
      <c r="D146" s="2">
        <f t="shared" si="22"/>
        <v>1</v>
      </c>
      <c r="E146" s="2">
        <f t="shared" si="17"/>
        <v>2</v>
      </c>
      <c r="F146" s="2" t="str">
        <f t="shared" si="23"/>
        <v>Feb</v>
      </c>
      <c r="G146" s="2" t="s">
        <v>30</v>
      </c>
      <c r="H146" s="2" t="s">
        <v>31</v>
      </c>
      <c r="I146" s="2" t="s">
        <v>23</v>
      </c>
      <c r="J146" s="2" t="s">
        <v>38</v>
      </c>
      <c r="K146" s="2" t="s">
        <v>20</v>
      </c>
      <c r="L146" s="2" t="s">
        <v>21</v>
      </c>
      <c r="M146" s="2">
        <v>4</v>
      </c>
      <c r="N146" s="4">
        <v>46.99</v>
      </c>
      <c r="O146" s="5">
        <v>0</v>
      </c>
      <c r="P146" s="4">
        <v>18.11</v>
      </c>
      <c r="Q146" s="4">
        <f t="shared" si="18"/>
        <v>187.96</v>
      </c>
      <c r="R146" s="4">
        <f t="shared" si="19"/>
        <v>72.44</v>
      </c>
      <c r="S146" s="4">
        <f t="shared" si="20"/>
        <v>115.52000000000001</v>
      </c>
      <c r="T146" s="6">
        <f t="shared" si="21"/>
        <v>0.61459885081932331</v>
      </c>
    </row>
    <row r="147" spans="1:20" x14ac:dyDescent="0.3">
      <c r="A147" s="2">
        <v>1185</v>
      </c>
      <c r="B147" s="3">
        <v>46074</v>
      </c>
      <c r="C147" s="2">
        <f t="shared" si="16"/>
        <v>2026</v>
      </c>
      <c r="D147" s="2">
        <f t="shared" si="22"/>
        <v>1</v>
      </c>
      <c r="E147" s="2">
        <f t="shared" si="17"/>
        <v>2</v>
      </c>
      <c r="F147" s="2" t="str">
        <f t="shared" si="23"/>
        <v>Feb</v>
      </c>
      <c r="G147" s="2" t="s">
        <v>41</v>
      </c>
      <c r="H147" s="2" t="s">
        <v>42</v>
      </c>
      <c r="I147" s="2" t="s">
        <v>18</v>
      </c>
      <c r="J147" s="2" t="s">
        <v>19</v>
      </c>
      <c r="K147" s="2" t="s">
        <v>43</v>
      </c>
      <c r="L147" s="2" t="s">
        <v>65</v>
      </c>
      <c r="M147" s="2">
        <v>14</v>
      </c>
      <c r="N147" s="4">
        <v>28.5</v>
      </c>
      <c r="O147" s="5">
        <v>0.05</v>
      </c>
      <c r="P147" s="4">
        <v>12.8</v>
      </c>
      <c r="Q147" s="4">
        <f t="shared" si="18"/>
        <v>379.04999999999995</v>
      </c>
      <c r="R147" s="4">
        <f t="shared" si="19"/>
        <v>179.20000000000002</v>
      </c>
      <c r="S147" s="4">
        <f t="shared" si="20"/>
        <v>199.84999999999994</v>
      </c>
      <c r="T147" s="6">
        <f t="shared" si="21"/>
        <v>0.52723915050784842</v>
      </c>
    </row>
    <row r="148" spans="1:20" x14ac:dyDescent="0.3">
      <c r="A148" s="2">
        <v>1250</v>
      </c>
      <c r="B148" s="3">
        <v>46074</v>
      </c>
      <c r="C148" s="2">
        <f t="shared" si="16"/>
        <v>2026</v>
      </c>
      <c r="D148" s="2">
        <f t="shared" si="22"/>
        <v>1</v>
      </c>
      <c r="E148" s="2">
        <f t="shared" si="17"/>
        <v>2</v>
      </c>
      <c r="F148" s="2" t="str">
        <f t="shared" si="23"/>
        <v>Feb</v>
      </c>
      <c r="G148" s="2" t="s">
        <v>48</v>
      </c>
      <c r="H148" s="2" t="s">
        <v>49</v>
      </c>
      <c r="I148" s="2" t="s">
        <v>23</v>
      </c>
      <c r="J148" s="2" t="s">
        <v>19</v>
      </c>
      <c r="K148" s="2" t="s">
        <v>20</v>
      </c>
      <c r="L148" s="2" t="s">
        <v>56</v>
      </c>
      <c r="M148" s="2">
        <v>15</v>
      </c>
      <c r="N148" s="4">
        <v>36.72</v>
      </c>
      <c r="O148" s="5">
        <v>0</v>
      </c>
      <c r="P148" s="4">
        <v>13.76</v>
      </c>
      <c r="Q148" s="4">
        <f t="shared" si="18"/>
        <v>550.79999999999995</v>
      </c>
      <c r="R148" s="4">
        <f t="shared" si="19"/>
        <v>206.4</v>
      </c>
      <c r="S148" s="4">
        <f t="shared" si="20"/>
        <v>344.4</v>
      </c>
      <c r="T148" s="6">
        <f t="shared" si="21"/>
        <v>0.62527233115468406</v>
      </c>
    </row>
    <row r="149" spans="1:20" x14ac:dyDescent="0.3">
      <c r="A149" s="2">
        <v>1066</v>
      </c>
      <c r="B149" s="3">
        <v>46075</v>
      </c>
      <c r="C149" s="2">
        <f t="shared" si="16"/>
        <v>2026</v>
      </c>
      <c r="D149" s="2">
        <f t="shared" si="22"/>
        <v>1</v>
      </c>
      <c r="E149" s="2">
        <f t="shared" si="17"/>
        <v>2</v>
      </c>
      <c r="F149" s="2" t="str">
        <f t="shared" si="23"/>
        <v>Feb</v>
      </c>
      <c r="G149" s="2" t="s">
        <v>30</v>
      </c>
      <c r="H149" s="2" t="s">
        <v>46</v>
      </c>
      <c r="I149" s="2" t="s">
        <v>33</v>
      </c>
      <c r="J149" s="2" t="s">
        <v>38</v>
      </c>
      <c r="K149" s="2" t="s">
        <v>36</v>
      </c>
      <c r="L149" s="2" t="s">
        <v>47</v>
      </c>
      <c r="M149" s="2">
        <v>14</v>
      </c>
      <c r="N149" s="4">
        <v>40.6</v>
      </c>
      <c r="O149" s="5">
        <v>0.15</v>
      </c>
      <c r="P149" s="4">
        <v>15.04</v>
      </c>
      <c r="Q149" s="4">
        <f t="shared" si="18"/>
        <v>483.14</v>
      </c>
      <c r="R149" s="4">
        <f t="shared" si="19"/>
        <v>210.56</v>
      </c>
      <c r="S149" s="4">
        <f t="shared" si="20"/>
        <v>272.58</v>
      </c>
      <c r="T149" s="6">
        <f t="shared" si="21"/>
        <v>0.56418429440741813</v>
      </c>
    </row>
    <row r="150" spans="1:20" x14ac:dyDescent="0.3">
      <c r="A150" s="2">
        <v>1414</v>
      </c>
      <c r="B150" s="3">
        <v>46075</v>
      </c>
      <c r="C150" s="2">
        <f t="shared" si="16"/>
        <v>2026</v>
      </c>
      <c r="D150" s="2">
        <f t="shared" si="22"/>
        <v>1</v>
      </c>
      <c r="E150" s="2">
        <f t="shared" si="17"/>
        <v>2</v>
      </c>
      <c r="F150" s="2" t="str">
        <f t="shared" si="23"/>
        <v>Feb</v>
      </c>
      <c r="G150" s="2" t="s">
        <v>41</v>
      </c>
      <c r="H150" s="2" t="s">
        <v>59</v>
      </c>
      <c r="I150" s="2" t="s">
        <v>27</v>
      </c>
      <c r="J150" s="2" t="s">
        <v>24</v>
      </c>
      <c r="K150" s="2" t="s">
        <v>36</v>
      </c>
      <c r="L150" s="2" t="s">
        <v>37</v>
      </c>
      <c r="M150" s="2">
        <v>11</v>
      </c>
      <c r="N150" s="4">
        <v>35.78</v>
      </c>
      <c r="O150" s="5">
        <v>0.05</v>
      </c>
      <c r="P150" s="4">
        <v>13.84</v>
      </c>
      <c r="Q150" s="4">
        <f t="shared" si="18"/>
        <v>373.90100000000001</v>
      </c>
      <c r="R150" s="4">
        <f t="shared" si="19"/>
        <v>152.24</v>
      </c>
      <c r="S150" s="4">
        <f t="shared" si="20"/>
        <v>221.661</v>
      </c>
      <c r="T150" s="6">
        <f t="shared" si="21"/>
        <v>0.59283339707569649</v>
      </c>
    </row>
    <row r="151" spans="1:20" x14ac:dyDescent="0.3">
      <c r="A151" s="2">
        <v>1439</v>
      </c>
      <c r="B151" s="3">
        <v>46075</v>
      </c>
      <c r="C151" s="2">
        <f t="shared" si="16"/>
        <v>2026</v>
      </c>
      <c r="D151" s="2">
        <f t="shared" si="22"/>
        <v>1</v>
      </c>
      <c r="E151" s="2">
        <f t="shared" si="17"/>
        <v>2</v>
      </c>
      <c r="F151" s="2" t="str">
        <f t="shared" si="23"/>
        <v>Feb</v>
      </c>
      <c r="G151" s="2" t="s">
        <v>48</v>
      </c>
      <c r="H151" s="2" t="s">
        <v>66</v>
      </c>
      <c r="I151" s="2" t="s">
        <v>18</v>
      </c>
      <c r="J151" s="2" t="s">
        <v>38</v>
      </c>
      <c r="K151" s="2" t="s">
        <v>36</v>
      </c>
      <c r="L151" s="2" t="s">
        <v>47</v>
      </c>
      <c r="M151" s="2">
        <v>14</v>
      </c>
      <c r="N151" s="4">
        <v>40.6</v>
      </c>
      <c r="O151" s="5">
        <v>0.2</v>
      </c>
      <c r="P151" s="4">
        <v>15.04</v>
      </c>
      <c r="Q151" s="4">
        <f t="shared" si="18"/>
        <v>454.72</v>
      </c>
      <c r="R151" s="4">
        <f t="shared" si="19"/>
        <v>210.56</v>
      </c>
      <c r="S151" s="4">
        <f t="shared" si="20"/>
        <v>244.16000000000003</v>
      </c>
      <c r="T151" s="6">
        <f t="shared" si="21"/>
        <v>0.53694581280788178</v>
      </c>
    </row>
    <row r="152" spans="1:20" x14ac:dyDescent="0.3">
      <c r="A152" s="2">
        <v>1244</v>
      </c>
      <c r="B152" s="3">
        <v>46076</v>
      </c>
      <c r="C152" s="2">
        <f t="shared" si="16"/>
        <v>2026</v>
      </c>
      <c r="D152" s="2">
        <f t="shared" si="22"/>
        <v>1</v>
      </c>
      <c r="E152" s="2">
        <f t="shared" si="17"/>
        <v>2</v>
      </c>
      <c r="F152" s="2" t="str">
        <f t="shared" si="23"/>
        <v>Feb</v>
      </c>
      <c r="G152" s="2" t="s">
        <v>30</v>
      </c>
      <c r="H152" s="2" t="s">
        <v>31</v>
      </c>
      <c r="I152" s="2" t="s">
        <v>27</v>
      </c>
      <c r="J152" s="2" t="s">
        <v>38</v>
      </c>
      <c r="K152" s="2" t="s">
        <v>25</v>
      </c>
      <c r="L152" s="2" t="s">
        <v>55</v>
      </c>
      <c r="M152" s="2">
        <v>9</v>
      </c>
      <c r="N152" s="4">
        <v>194.35</v>
      </c>
      <c r="O152" s="5">
        <v>0.2</v>
      </c>
      <c r="P152" s="4">
        <v>104.22</v>
      </c>
      <c r="Q152" s="4">
        <f t="shared" si="18"/>
        <v>1399.32</v>
      </c>
      <c r="R152" s="4">
        <f t="shared" si="19"/>
        <v>937.98</v>
      </c>
      <c r="S152" s="4">
        <f t="shared" si="20"/>
        <v>461.33999999999992</v>
      </c>
      <c r="T152" s="6">
        <f t="shared" si="21"/>
        <v>0.32968870594288652</v>
      </c>
    </row>
    <row r="153" spans="1:20" x14ac:dyDescent="0.3">
      <c r="A153" s="2">
        <v>1056</v>
      </c>
      <c r="B153" s="3">
        <v>46077</v>
      </c>
      <c r="C153" s="2">
        <f t="shared" si="16"/>
        <v>2026</v>
      </c>
      <c r="D153" s="2">
        <f t="shared" si="22"/>
        <v>1</v>
      </c>
      <c r="E153" s="2">
        <f t="shared" si="17"/>
        <v>2</v>
      </c>
      <c r="F153" s="2" t="str">
        <f t="shared" si="23"/>
        <v>Feb</v>
      </c>
      <c r="G153" s="2" t="s">
        <v>30</v>
      </c>
      <c r="H153" s="2" t="s">
        <v>45</v>
      </c>
      <c r="I153" s="2" t="s">
        <v>27</v>
      </c>
      <c r="J153" s="2" t="s">
        <v>24</v>
      </c>
      <c r="K153" s="2" t="s">
        <v>43</v>
      </c>
      <c r="L153" s="2" t="s">
        <v>50</v>
      </c>
      <c r="M153" s="2">
        <v>9</v>
      </c>
      <c r="N153" s="4">
        <v>100.12</v>
      </c>
      <c r="O153" s="5">
        <v>0.2</v>
      </c>
      <c r="P153" s="4">
        <v>49.67</v>
      </c>
      <c r="Q153" s="4">
        <f t="shared" si="18"/>
        <v>720.86400000000003</v>
      </c>
      <c r="R153" s="4">
        <f t="shared" si="19"/>
        <v>447.03000000000003</v>
      </c>
      <c r="S153" s="4">
        <f t="shared" si="20"/>
        <v>273.834</v>
      </c>
      <c r="T153" s="6">
        <f t="shared" si="21"/>
        <v>0.37986915701158608</v>
      </c>
    </row>
    <row r="154" spans="1:20" x14ac:dyDescent="0.3">
      <c r="A154" s="2">
        <v>1065</v>
      </c>
      <c r="B154" s="3">
        <v>46077</v>
      </c>
      <c r="C154" s="2">
        <f t="shared" si="16"/>
        <v>2026</v>
      </c>
      <c r="D154" s="2">
        <f t="shared" si="22"/>
        <v>1</v>
      </c>
      <c r="E154" s="2">
        <f t="shared" si="17"/>
        <v>2</v>
      </c>
      <c r="F154" s="2" t="str">
        <f t="shared" si="23"/>
        <v>Feb</v>
      </c>
      <c r="G154" s="2" t="s">
        <v>16</v>
      </c>
      <c r="H154" s="2" t="s">
        <v>32</v>
      </c>
      <c r="I154" s="2" t="s">
        <v>33</v>
      </c>
      <c r="J154" s="2" t="s">
        <v>24</v>
      </c>
      <c r="K154" s="2" t="s">
        <v>25</v>
      </c>
      <c r="L154" s="2" t="s">
        <v>55</v>
      </c>
      <c r="M154" s="2">
        <v>9</v>
      </c>
      <c r="N154" s="4">
        <v>194.35</v>
      </c>
      <c r="O154" s="5">
        <v>0.1</v>
      </c>
      <c r="P154" s="4">
        <v>104.22</v>
      </c>
      <c r="Q154" s="4">
        <f t="shared" si="18"/>
        <v>1574.2349999999999</v>
      </c>
      <c r="R154" s="4">
        <f t="shared" si="19"/>
        <v>937.98</v>
      </c>
      <c r="S154" s="4">
        <f t="shared" si="20"/>
        <v>636.25499999999988</v>
      </c>
      <c r="T154" s="6">
        <f t="shared" si="21"/>
        <v>0.40416773861589911</v>
      </c>
    </row>
    <row r="155" spans="1:20" x14ac:dyDescent="0.3">
      <c r="A155" s="2">
        <v>1071</v>
      </c>
      <c r="B155" s="3">
        <v>46077</v>
      </c>
      <c r="C155" s="2">
        <f t="shared" si="16"/>
        <v>2026</v>
      </c>
      <c r="D155" s="2">
        <f t="shared" si="22"/>
        <v>1</v>
      </c>
      <c r="E155" s="2">
        <f t="shared" si="17"/>
        <v>2</v>
      </c>
      <c r="F155" s="2" t="str">
        <f t="shared" si="23"/>
        <v>Feb</v>
      </c>
      <c r="G155" s="2" t="s">
        <v>30</v>
      </c>
      <c r="H155" s="2" t="s">
        <v>31</v>
      </c>
      <c r="I155" s="2" t="s">
        <v>27</v>
      </c>
      <c r="J155" s="2" t="s">
        <v>24</v>
      </c>
      <c r="K155" s="2" t="s">
        <v>20</v>
      </c>
      <c r="L155" s="2" t="s">
        <v>52</v>
      </c>
      <c r="M155" s="2">
        <v>5</v>
      </c>
      <c r="N155" s="4">
        <v>89.99</v>
      </c>
      <c r="O155" s="5">
        <v>0.1</v>
      </c>
      <c r="P155" s="4">
        <v>42.25</v>
      </c>
      <c r="Q155" s="4">
        <f t="shared" si="18"/>
        <v>404.95499999999998</v>
      </c>
      <c r="R155" s="4">
        <f t="shared" si="19"/>
        <v>211.25</v>
      </c>
      <c r="S155" s="4">
        <f t="shared" si="20"/>
        <v>193.70499999999998</v>
      </c>
      <c r="T155" s="6">
        <f t="shared" si="21"/>
        <v>0.47833709918385992</v>
      </c>
    </row>
    <row r="156" spans="1:20" x14ac:dyDescent="0.3">
      <c r="A156" s="2">
        <v>1180</v>
      </c>
      <c r="B156" s="3">
        <v>46077</v>
      </c>
      <c r="C156" s="2">
        <f t="shared" si="16"/>
        <v>2026</v>
      </c>
      <c r="D156" s="2">
        <f t="shared" si="22"/>
        <v>1</v>
      </c>
      <c r="E156" s="2">
        <f t="shared" si="17"/>
        <v>2</v>
      </c>
      <c r="F156" s="2" t="str">
        <f t="shared" si="23"/>
        <v>Feb</v>
      </c>
      <c r="G156" s="2" t="s">
        <v>48</v>
      </c>
      <c r="H156" s="2" t="s">
        <v>66</v>
      </c>
      <c r="I156" s="2" t="s">
        <v>18</v>
      </c>
      <c r="J156" s="2" t="s">
        <v>38</v>
      </c>
      <c r="K156" s="2" t="s">
        <v>28</v>
      </c>
      <c r="L156" s="2" t="s">
        <v>40</v>
      </c>
      <c r="M156" s="2">
        <v>3</v>
      </c>
      <c r="N156" s="4">
        <v>143.66999999999999</v>
      </c>
      <c r="O156" s="5">
        <v>0</v>
      </c>
      <c r="P156" s="4">
        <v>81.22</v>
      </c>
      <c r="Q156" s="4">
        <f t="shared" si="18"/>
        <v>431.01</v>
      </c>
      <c r="R156" s="4">
        <f t="shared" si="19"/>
        <v>243.66</v>
      </c>
      <c r="S156" s="4">
        <f t="shared" si="20"/>
        <v>187.35</v>
      </c>
      <c r="T156" s="6">
        <f t="shared" si="21"/>
        <v>0.43467668963597134</v>
      </c>
    </row>
    <row r="157" spans="1:20" x14ac:dyDescent="0.3">
      <c r="A157" s="2">
        <v>1296</v>
      </c>
      <c r="B157" s="3">
        <v>46077</v>
      </c>
      <c r="C157" s="2">
        <f t="shared" si="16"/>
        <v>2026</v>
      </c>
      <c r="D157" s="2">
        <f t="shared" si="22"/>
        <v>1</v>
      </c>
      <c r="E157" s="2">
        <f t="shared" si="17"/>
        <v>2</v>
      </c>
      <c r="F157" s="2" t="str">
        <f t="shared" si="23"/>
        <v>Feb</v>
      </c>
      <c r="G157" s="2" t="s">
        <v>30</v>
      </c>
      <c r="H157" s="2" t="s">
        <v>31</v>
      </c>
      <c r="I157" s="2" t="s">
        <v>18</v>
      </c>
      <c r="J157" s="2" t="s">
        <v>24</v>
      </c>
      <c r="K157" s="2" t="s">
        <v>43</v>
      </c>
      <c r="L157" s="2" t="s">
        <v>57</v>
      </c>
      <c r="M157" s="2">
        <v>11</v>
      </c>
      <c r="N157" s="4">
        <v>82.06</v>
      </c>
      <c r="O157" s="5">
        <v>0.05</v>
      </c>
      <c r="P157" s="4">
        <v>42.94</v>
      </c>
      <c r="Q157" s="4">
        <f t="shared" si="18"/>
        <v>857.52700000000004</v>
      </c>
      <c r="R157" s="4">
        <f t="shared" si="19"/>
        <v>472.34</v>
      </c>
      <c r="S157" s="4">
        <f t="shared" si="20"/>
        <v>385.18700000000007</v>
      </c>
      <c r="T157" s="6">
        <f t="shared" si="21"/>
        <v>0.44918352425054842</v>
      </c>
    </row>
    <row r="158" spans="1:20" x14ac:dyDescent="0.3">
      <c r="A158" s="2">
        <v>1159</v>
      </c>
      <c r="B158" s="3">
        <v>46078</v>
      </c>
      <c r="C158" s="2">
        <f t="shared" si="16"/>
        <v>2026</v>
      </c>
      <c r="D158" s="2">
        <f t="shared" si="22"/>
        <v>1</v>
      </c>
      <c r="E158" s="2">
        <f t="shared" si="17"/>
        <v>2</v>
      </c>
      <c r="F158" s="2" t="str">
        <f t="shared" si="23"/>
        <v>Feb</v>
      </c>
      <c r="G158" s="2" t="s">
        <v>16</v>
      </c>
      <c r="H158" s="2" t="s">
        <v>32</v>
      </c>
      <c r="I158" s="2" t="s">
        <v>33</v>
      </c>
      <c r="J158" s="2" t="s">
        <v>19</v>
      </c>
      <c r="K158" s="2" t="s">
        <v>25</v>
      </c>
      <c r="L158" s="2" t="s">
        <v>26</v>
      </c>
      <c r="M158" s="2">
        <v>5</v>
      </c>
      <c r="N158" s="4">
        <v>347.51</v>
      </c>
      <c r="O158" s="5">
        <v>0.2</v>
      </c>
      <c r="P158" s="4">
        <v>190.16</v>
      </c>
      <c r="Q158" s="4">
        <f t="shared" si="18"/>
        <v>1390.04</v>
      </c>
      <c r="R158" s="4">
        <f t="shared" si="19"/>
        <v>950.8</v>
      </c>
      <c r="S158" s="4">
        <f t="shared" si="20"/>
        <v>439.24</v>
      </c>
      <c r="T158" s="6">
        <f t="shared" si="21"/>
        <v>0.31599090673649682</v>
      </c>
    </row>
    <row r="159" spans="1:20" x14ac:dyDescent="0.3">
      <c r="A159" s="2">
        <v>1023</v>
      </c>
      <c r="B159" s="3">
        <v>46079</v>
      </c>
      <c r="C159" s="2">
        <f t="shared" si="16"/>
        <v>2026</v>
      </c>
      <c r="D159" s="2">
        <f t="shared" si="22"/>
        <v>1</v>
      </c>
      <c r="E159" s="2">
        <f t="shared" si="17"/>
        <v>2</v>
      </c>
      <c r="F159" s="2" t="str">
        <f t="shared" si="23"/>
        <v>Feb</v>
      </c>
      <c r="G159" s="2" t="s">
        <v>16</v>
      </c>
      <c r="H159" s="2" t="s">
        <v>17</v>
      </c>
      <c r="I159" s="2" t="s">
        <v>27</v>
      </c>
      <c r="J159" s="2" t="s">
        <v>24</v>
      </c>
      <c r="K159" s="2" t="s">
        <v>43</v>
      </c>
      <c r="L159" s="2" t="s">
        <v>44</v>
      </c>
      <c r="M159" s="2">
        <v>2</v>
      </c>
      <c r="N159" s="4">
        <v>49.6</v>
      </c>
      <c r="O159" s="5">
        <v>0</v>
      </c>
      <c r="P159" s="4">
        <v>23.05</v>
      </c>
      <c r="Q159" s="4">
        <f t="shared" si="18"/>
        <v>99.2</v>
      </c>
      <c r="R159" s="4">
        <f t="shared" si="19"/>
        <v>46.1</v>
      </c>
      <c r="S159" s="4">
        <f t="shared" si="20"/>
        <v>53.1</v>
      </c>
      <c r="T159" s="6">
        <f t="shared" si="21"/>
        <v>0.53528225806451613</v>
      </c>
    </row>
    <row r="160" spans="1:20" x14ac:dyDescent="0.3">
      <c r="A160" s="2">
        <v>1068</v>
      </c>
      <c r="B160" s="3">
        <v>46079</v>
      </c>
      <c r="C160" s="2">
        <f t="shared" si="16"/>
        <v>2026</v>
      </c>
      <c r="D160" s="2">
        <f t="shared" si="22"/>
        <v>1</v>
      </c>
      <c r="E160" s="2">
        <f t="shared" si="17"/>
        <v>2</v>
      </c>
      <c r="F160" s="2" t="str">
        <f t="shared" si="23"/>
        <v>Feb</v>
      </c>
      <c r="G160" s="2" t="s">
        <v>48</v>
      </c>
      <c r="H160" s="2" t="s">
        <v>66</v>
      </c>
      <c r="I160" s="2" t="s">
        <v>33</v>
      </c>
      <c r="J160" s="2" t="s">
        <v>19</v>
      </c>
      <c r="K160" s="2" t="s">
        <v>25</v>
      </c>
      <c r="L160" s="2" t="s">
        <v>26</v>
      </c>
      <c r="M160" s="2">
        <v>7</v>
      </c>
      <c r="N160" s="4">
        <v>347.51</v>
      </c>
      <c r="O160" s="5">
        <v>0.05</v>
      </c>
      <c r="P160" s="4">
        <v>190.16</v>
      </c>
      <c r="Q160" s="4">
        <f t="shared" si="18"/>
        <v>2310.9414999999995</v>
      </c>
      <c r="R160" s="4">
        <f t="shared" si="19"/>
        <v>1331.12</v>
      </c>
      <c r="S160" s="4">
        <f t="shared" si="20"/>
        <v>979.82149999999956</v>
      </c>
      <c r="T160" s="6">
        <f t="shared" si="21"/>
        <v>0.42399234251494455</v>
      </c>
    </row>
    <row r="161" spans="1:20" x14ac:dyDescent="0.3">
      <c r="A161" s="2">
        <v>1285</v>
      </c>
      <c r="B161" s="3">
        <v>46079</v>
      </c>
      <c r="C161" s="2">
        <f t="shared" si="16"/>
        <v>2026</v>
      </c>
      <c r="D161" s="2">
        <f t="shared" si="22"/>
        <v>1</v>
      </c>
      <c r="E161" s="2">
        <f t="shared" si="17"/>
        <v>2</v>
      </c>
      <c r="F161" s="2" t="str">
        <f t="shared" si="23"/>
        <v>Feb</v>
      </c>
      <c r="G161" s="2" t="s">
        <v>41</v>
      </c>
      <c r="H161" s="2" t="s">
        <v>51</v>
      </c>
      <c r="I161" s="2" t="s">
        <v>23</v>
      </c>
      <c r="J161" s="2" t="s">
        <v>38</v>
      </c>
      <c r="K161" s="2" t="s">
        <v>20</v>
      </c>
      <c r="L161" s="2" t="s">
        <v>52</v>
      </c>
      <c r="M161" s="2">
        <v>5</v>
      </c>
      <c r="N161" s="4">
        <v>89.99</v>
      </c>
      <c r="O161" s="5">
        <v>0</v>
      </c>
      <c r="P161" s="4">
        <v>42.25</v>
      </c>
      <c r="Q161" s="4">
        <f t="shared" si="18"/>
        <v>449.95</v>
      </c>
      <c r="R161" s="4">
        <f t="shared" si="19"/>
        <v>211.25</v>
      </c>
      <c r="S161" s="4">
        <f t="shared" si="20"/>
        <v>238.7</v>
      </c>
      <c r="T161" s="6">
        <f t="shared" si="21"/>
        <v>0.53050338926547391</v>
      </c>
    </row>
    <row r="162" spans="1:20" x14ac:dyDescent="0.3">
      <c r="A162" s="2">
        <v>1286</v>
      </c>
      <c r="B162" s="3">
        <v>46081</v>
      </c>
      <c r="C162" s="2">
        <f t="shared" si="16"/>
        <v>2026</v>
      </c>
      <c r="D162" s="2">
        <f t="shared" si="22"/>
        <v>1</v>
      </c>
      <c r="E162" s="2">
        <f t="shared" si="17"/>
        <v>2</v>
      </c>
      <c r="F162" s="2" t="str">
        <f t="shared" si="23"/>
        <v>Feb</v>
      </c>
      <c r="G162" s="2" t="s">
        <v>30</v>
      </c>
      <c r="H162" s="2" t="s">
        <v>45</v>
      </c>
      <c r="I162" s="2" t="s">
        <v>33</v>
      </c>
      <c r="J162" s="2" t="s">
        <v>38</v>
      </c>
      <c r="K162" s="2" t="s">
        <v>25</v>
      </c>
      <c r="L162" s="2" t="s">
        <v>55</v>
      </c>
      <c r="M162" s="2">
        <v>5</v>
      </c>
      <c r="N162" s="4">
        <v>194.35</v>
      </c>
      <c r="O162" s="5">
        <v>0.1</v>
      </c>
      <c r="P162" s="4">
        <v>104.22</v>
      </c>
      <c r="Q162" s="4">
        <f t="shared" si="18"/>
        <v>874.57500000000005</v>
      </c>
      <c r="R162" s="4">
        <f t="shared" si="19"/>
        <v>521.1</v>
      </c>
      <c r="S162" s="4">
        <f t="shared" si="20"/>
        <v>353.47500000000002</v>
      </c>
      <c r="T162" s="6">
        <f t="shared" si="21"/>
        <v>0.40416773861589916</v>
      </c>
    </row>
    <row r="163" spans="1:20" x14ac:dyDescent="0.3">
      <c r="A163" s="2">
        <v>1421</v>
      </c>
      <c r="B163" s="3">
        <v>46081</v>
      </c>
      <c r="C163" s="2">
        <f t="shared" si="16"/>
        <v>2026</v>
      </c>
      <c r="D163" s="2">
        <f t="shared" si="22"/>
        <v>1</v>
      </c>
      <c r="E163" s="2">
        <f t="shared" si="17"/>
        <v>2</v>
      </c>
      <c r="F163" s="2" t="str">
        <f t="shared" si="23"/>
        <v>Feb</v>
      </c>
      <c r="G163" s="2" t="s">
        <v>16</v>
      </c>
      <c r="H163" s="2" t="s">
        <v>32</v>
      </c>
      <c r="I163" s="2" t="s">
        <v>33</v>
      </c>
      <c r="J163" s="2" t="s">
        <v>19</v>
      </c>
      <c r="K163" s="2" t="s">
        <v>36</v>
      </c>
      <c r="L163" s="2" t="s">
        <v>58</v>
      </c>
      <c r="M163" s="2">
        <v>9</v>
      </c>
      <c r="N163" s="4">
        <v>32.99</v>
      </c>
      <c r="O163" s="5">
        <v>0.2</v>
      </c>
      <c r="P163" s="4">
        <v>12.5</v>
      </c>
      <c r="Q163" s="4">
        <f t="shared" si="18"/>
        <v>237.52800000000002</v>
      </c>
      <c r="R163" s="4">
        <f t="shared" si="19"/>
        <v>112.5</v>
      </c>
      <c r="S163" s="4">
        <f t="shared" si="20"/>
        <v>125.02800000000002</v>
      </c>
      <c r="T163" s="6">
        <f t="shared" si="21"/>
        <v>0.52637162776598978</v>
      </c>
    </row>
    <row r="164" spans="1:20" x14ac:dyDescent="0.3">
      <c r="A164" s="2">
        <v>1248</v>
      </c>
      <c r="B164" s="3">
        <v>46082</v>
      </c>
      <c r="C164" s="2">
        <f t="shared" si="16"/>
        <v>2026</v>
      </c>
      <c r="D164" s="2">
        <f t="shared" si="22"/>
        <v>1</v>
      </c>
      <c r="E164" s="2">
        <f t="shared" si="17"/>
        <v>3</v>
      </c>
      <c r="F164" s="2" t="str">
        <f t="shared" si="23"/>
        <v>Mar</v>
      </c>
      <c r="G164" s="2" t="s">
        <v>16</v>
      </c>
      <c r="H164" s="2" t="s">
        <v>17</v>
      </c>
      <c r="I164" s="2" t="s">
        <v>18</v>
      </c>
      <c r="J164" s="2" t="s">
        <v>19</v>
      </c>
      <c r="K164" s="2" t="s">
        <v>25</v>
      </c>
      <c r="L164" s="2" t="s">
        <v>55</v>
      </c>
      <c r="M164" s="2">
        <v>12</v>
      </c>
      <c r="N164" s="4">
        <v>194.35</v>
      </c>
      <c r="O164" s="5">
        <v>0.1</v>
      </c>
      <c r="P164" s="4">
        <v>104.22</v>
      </c>
      <c r="Q164" s="4">
        <f t="shared" si="18"/>
        <v>2098.98</v>
      </c>
      <c r="R164" s="4">
        <f t="shared" si="19"/>
        <v>1250.6399999999999</v>
      </c>
      <c r="S164" s="4">
        <f t="shared" si="20"/>
        <v>848.34000000000015</v>
      </c>
      <c r="T164" s="6">
        <f t="shared" si="21"/>
        <v>0.40416773861589922</v>
      </c>
    </row>
    <row r="165" spans="1:20" x14ac:dyDescent="0.3">
      <c r="A165" s="2">
        <v>1376</v>
      </c>
      <c r="B165" s="3">
        <v>46082</v>
      </c>
      <c r="C165" s="2">
        <f t="shared" si="16"/>
        <v>2026</v>
      </c>
      <c r="D165" s="2">
        <f t="shared" si="22"/>
        <v>1</v>
      </c>
      <c r="E165" s="2">
        <f t="shared" si="17"/>
        <v>3</v>
      </c>
      <c r="F165" s="2" t="str">
        <f t="shared" si="23"/>
        <v>Mar</v>
      </c>
      <c r="G165" s="2" t="s">
        <v>48</v>
      </c>
      <c r="H165" s="2" t="s">
        <v>63</v>
      </c>
      <c r="I165" s="2" t="s">
        <v>33</v>
      </c>
      <c r="J165" s="2" t="s">
        <v>19</v>
      </c>
      <c r="K165" s="2" t="s">
        <v>20</v>
      </c>
      <c r="L165" s="2" t="s">
        <v>56</v>
      </c>
      <c r="M165" s="2">
        <v>13</v>
      </c>
      <c r="N165" s="4">
        <v>36.72</v>
      </c>
      <c r="O165" s="5">
        <v>0.2</v>
      </c>
      <c r="P165" s="4">
        <v>13.76</v>
      </c>
      <c r="Q165" s="4">
        <f t="shared" si="18"/>
        <v>381.88800000000003</v>
      </c>
      <c r="R165" s="4">
        <f t="shared" si="19"/>
        <v>178.88</v>
      </c>
      <c r="S165" s="4">
        <f t="shared" si="20"/>
        <v>203.00800000000004</v>
      </c>
      <c r="T165" s="6">
        <f t="shared" si="21"/>
        <v>0.53159041394335516</v>
      </c>
    </row>
    <row r="166" spans="1:20" x14ac:dyDescent="0.3">
      <c r="A166" s="2">
        <v>1396</v>
      </c>
      <c r="B166" s="3">
        <v>46082</v>
      </c>
      <c r="C166" s="2">
        <f t="shared" si="16"/>
        <v>2026</v>
      </c>
      <c r="D166" s="2">
        <f t="shared" si="22"/>
        <v>1</v>
      </c>
      <c r="E166" s="2">
        <f t="shared" si="17"/>
        <v>3</v>
      </c>
      <c r="F166" s="2" t="str">
        <f t="shared" si="23"/>
        <v>Mar</v>
      </c>
      <c r="G166" s="2" t="s">
        <v>41</v>
      </c>
      <c r="H166" s="2" t="s">
        <v>51</v>
      </c>
      <c r="I166" s="2" t="s">
        <v>18</v>
      </c>
      <c r="J166" s="2" t="s">
        <v>24</v>
      </c>
      <c r="K166" s="2" t="s">
        <v>28</v>
      </c>
      <c r="L166" s="2" t="s">
        <v>40</v>
      </c>
      <c r="M166" s="2">
        <v>5</v>
      </c>
      <c r="N166" s="4">
        <v>143.66999999999999</v>
      </c>
      <c r="O166" s="5">
        <v>0.15</v>
      </c>
      <c r="P166" s="4">
        <v>81.22</v>
      </c>
      <c r="Q166" s="4">
        <f t="shared" si="18"/>
        <v>610.59749999999985</v>
      </c>
      <c r="R166" s="4">
        <f t="shared" si="19"/>
        <v>406.1</v>
      </c>
      <c r="S166" s="4">
        <f t="shared" si="20"/>
        <v>204.49749999999983</v>
      </c>
      <c r="T166" s="6">
        <f t="shared" si="21"/>
        <v>0.33491375251290723</v>
      </c>
    </row>
    <row r="167" spans="1:20" x14ac:dyDescent="0.3">
      <c r="A167" s="2">
        <v>1029</v>
      </c>
      <c r="B167" s="3">
        <v>46083</v>
      </c>
      <c r="C167" s="2">
        <f t="shared" si="16"/>
        <v>2026</v>
      </c>
      <c r="D167" s="2">
        <f t="shared" si="22"/>
        <v>1</v>
      </c>
      <c r="E167" s="2">
        <f t="shared" si="17"/>
        <v>3</v>
      </c>
      <c r="F167" s="2" t="str">
        <f t="shared" si="23"/>
        <v>Mar</v>
      </c>
      <c r="G167" s="2" t="s">
        <v>41</v>
      </c>
      <c r="H167" s="2" t="s">
        <v>59</v>
      </c>
      <c r="I167" s="2" t="s">
        <v>18</v>
      </c>
      <c r="J167" s="2" t="s">
        <v>24</v>
      </c>
      <c r="K167" s="2" t="s">
        <v>25</v>
      </c>
      <c r="L167" s="2" t="s">
        <v>60</v>
      </c>
      <c r="M167" s="2">
        <v>4</v>
      </c>
      <c r="N167" s="4">
        <v>81.260000000000005</v>
      </c>
      <c r="O167" s="5">
        <v>0.1</v>
      </c>
      <c r="P167" s="4">
        <v>39.119999999999997</v>
      </c>
      <c r="Q167" s="4">
        <f t="shared" si="18"/>
        <v>292.536</v>
      </c>
      <c r="R167" s="4">
        <f t="shared" si="19"/>
        <v>156.47999999999999</v>
      </c>
      <c r="S167" s="4">
        <f t="shared" si="20"/>
        <v>136.05600000000001</v>
      </c>
      <c r="T167" s="6">
        <f t="shared" si="21"/>
        <v>0.46509147592091232</v>
      </c>
    </row>
    <row r="168" spans="1:20" x14ac:dyDescent="0.3">
      <c r="A168" s="2">
        <v>1057</v>
      </c>
      <c r="B168" s="3">
        <v>46083</v>
      </c>
      <c r="C168" s="2">
        <f t="shared" si="16"/>
        <v>2026</v>
      </c>
      <c r="D168" s="2">
        <f t="shared" si="22"/>
        <v>1</v>
      </c>
      <c r="E168" s="2">
        <f t="shared" si="17"/>
        <v>3</v>
      </c>
      <c r="F168" s="2" t="str">
        <f t="shared" si="23"/>
        <v>Mar</v>
      </c>
      <c r="G168" s="2" t="s">
        <v>48</v>
      </c>
      <c r="H168" s="2" t="s">
        <v>61</v>
      </c>
      <c r="I168" s="2" t="s">
        <v>23</v>
      </c>
      <c r="J168" s="2" t="s">
        <v>38</v>
      </c>
      <c r="K168" s="2" t="s">
        <v>28</v>
      </c>
      <c r="L168" s="2" t="s">
        <v>40</v>
      </c>
      <c r="M168" s="2">
        <v>1</v>
      </c>
      <c r="N168" s="4">
        <v>143.66999999999999</v>
      </c>
      <c r="O168" s="5">
        <v>0</v>
      </c>
      <c r="P168" s="4">
        <v>81.22</v>
      </c>
      <c r="Q168" s="4">
        <f t="shared" si="18"/>
        <v>143.66999999999999</v>
      </c>
      <c r="R168" s="4">
        <f t="shared" si="19"/>
        <v>81.22</v>
      </c>
      <c r="S168" s="4">
        <f t="shared" si="20"/>
        <v>62.449999999999989</v>
      </c>
      <c r="T168" s="6">
        <f t="shared" si="21"/>
        <v>0.43467668963597128</v>
      </c>
    </row>
    <row r="169" spans="1:20" x14ac:dyDescent="0.3">
      <c r="A169" s="2">
        <v>1134</v>
      </c>
      <c r="B169" s="3">
        <v>46083</v>
      </c>
      <c r="C169" s="2">
        <f t="shared" si="16"/>
        <v>2026</v>
      </c>
      <c r="D169" s="2">
        <f t="shared" si="22"/>
        <v>1</v>
      </c>
      <c r="E169" s="2">
        <f t="shared" si="17"/>
        <v>3</v>
      </c>
      <c r="F169" s="2" t="str">
        <f t="shared" si="23"/>
        <v>Mar</v>
      </c>
      <c r="G169" s="2" t="s">
        <v>41</v>
      </c>
      <c r="H169" s="2" t="s">
        <v>59</v>
      </c>
      <c r="I169" s="2" t="s">
        <v>33</v>
      </c>
      <c r="J169" s="2" t="s">
        <v>19</v>
      </c>
      <c r="K169" s="2" t="s">
        <v>25</v>
      </c>
      <c r="L169" s="2" t="s">
        <v>55</v>
      </c>
      <c r="M169" s="2">
        <v>11</v>
      </c>
      <c r="N169" s="4">
        <v>194.35</v>
      </c>
      <c r="O169" s="5">
        <v>0.2</v>
      </c>
      <c r="P169" s="4">
        <v>104.22</v>
      </c>
      <c r="Q169" s="4">
        <f t="shared" si="18"/>
        <v>1710.28</v>
      </c>
      <c r="R169" s="4">
        <f t="shared" si="19"/>
        <v>1146.42</v>
      </c>
      <c r="S169" s="4">
        <f t="shared" si="20"/>
        <v>563.8599999999999</v>
      </c>
      <c r="T169" s="6">
        <f t="shared" si="21"/>
        <v>0.32968870594288652</v>
      </c>
    </row>
    <row r="170" spans="1:20" x14ac:dyDescent="0.3">
      <c r="A170" s="2">
        <v>1422</v>
      </c>
      <c r="B170" s="3">
        <v>46083</v>
      </c>
      <c r="C170" s="2">
        <f t="shared" si="16"/>
        <v>2026</v>
      </c>
      <c r="D170" s="2">
        <f t="shared" si="22"/>
        <v>1</v>
      </c>
      <c r="E170" s="2">
        <f t="shared" si="17"/>
        <v>3</v>
      </c>
      <c r="F170" s="2" t="str">
        <f t="shared" si="23"/>
        <v>Mar</v>
      </c>
      <c r="G170" s="2" t="s">
        <v>30</v>
      </c>
      <c r="H170" s="2" t="s">
        <v>31</v>
      </c>
      <c r="I170" s="2" t="s">
        <v>18</v>
      </c>
      <c r="J170" s="2" t="s">
        <v>19</v>
      </c>
      <c r="K170" s="2" t="s">
        <v>43</v>
      </c>
      <c r="L170" s="2" t="s">
        <v>65</v>
      </c>
      <c r="M170" s="2">
        <v>15</v>
      </c>
      <c r="N170" s="4">
        <v>28.5</v>
      </c>
      <c r="O170" s="5">
        <v>0.2</v>
      </c>
      <c r="P170" s="4">
        <v>12.8</v>
      </c>
      <c r="Q170" s="4">
        <f t="shared" si="18"/>
        <v>342</v>
      </c>
      <c r="R170" s="4">
        <f t="shared" si="19"/>
        <v>192</v>
      </c>
      <c r="S170" s="4">
        <f t="shared" si="20"/>
        <v>150</v>
      </c>
      <c r="T170" s="6">
        <f t="shared" si="21"/>
        <v>0.43859649122807015</v>
      </c>
    </row>
    <row r="171" spans="1:20" x14ac:dyDescent="0.3">
      <c r="A171" s="2">
        <v>1019</v>
      </c>
      <c r="B171" s="3">
        <v>46084</v>
      </c>
      <c r="C171" s="2">
        <f t="shared" si="16"/>
        <v>2026</v>
      </c>
      <c r="D171" s="2">
        <f t="shared" si="22"/>
        <v>1</v>
      </c>
      <c r="E171" s="2">
        <f t="shared" si="17"/>
        <v>3</v>
      </c>
      <c r="F171" s="2" t="str">
        <f t="shared" si="23"/>
        <v>Mar</v>
      </c>
      <c r="G171" s="2" t="s">
        <v>16</v>
      </c>
      <c r="H171" s="2" t="s">
        <v>17</v>
      </c>
      <c r="I171" s="2" t="s">
        <v>33</v>
      </c>
      <c r="J171" s="2" t="s">
        <v>24</v>
      </c>
      <c r="K171" s="2" t="s">
        <v>36</v>
      </c>
      <c r="L171" s="2" t="s">
        <v>47</v>
      </c>
      <c r="M171" s="2">
        <v>2</v>
      </c>
      <c r="N171" s="4">
        <v>40.6</v>
      </c>
      <c r="O171" s="5">
        <v>0.2</v>
      </c>
      <c r="P171" s="4">
        <v>15.04</v>
      </c>
      <c r="Q171" s="4">
        <f t="shared" si="18"/>
        <v>64.960000000000008</v>
      </c>
      <c r="R171" s="4">
        <f t="shared" si="19"/>
        <v>30.08</v>
      </c>
      <c r="S171" s="4">
        <f t="shared" si="20"/>
        <v>34.88000000000001</v>
      </c>
      <c r="T171" s="6">
        <f t="shared" si="21"/>
        <v>0.53694581280788189</v>
      </c>
    </row>
    <row r="172" spans="1:20" x14ac:dyDescent="0.3">
      <c r="A172" s="2">
        <v>1063</v>
      </c>
      <c r="B172" s="3">
        <v>46084</v>
      </c>
      <c r="C172" s="2">
        <f t="shared" si="16"/>
        <v>2026</v>
      </c>
      <c r="D172" s="2">
        <f t="shared" si="22"/>
        <v>1</v>
      </c>
      <c r="E172" s="2">
        <f t="shared" si="17"/>
        <v>3</v>
      </c>
      <c r="F172" s="2" t="str">
        <f t="shared" si="23"/>
        <v>Mar</v>
      </c>
      <c r="G172" s="2" t="s">
        <v>48</v>
      </c>
      <c r="H172" s="2" t="s">
        <v>66</v>
      </c>
      <c r="I172" s="2" t="s">
        <v>27</v>
      </c>
      <c r="J172" s="2" t="s">
        <v>38</v>
      </c>
      <c r="K172" s="2" t="s">
        <v>43</v>
      </c>
      <c r="L172" s="2" t="s">
        <v>50</v>
      </c>
      <c r="M172" s="2">
        <v>4</v>
      </c>
      <c r="N172" s="4">
        <v>100.12</v>
      </c>
      <c r="O172" s="5">
        <v>0.05</v>
      </c>
      <c r="P172" s="4">
        <v>49.67</v>
      </c>
      <c r="Q172" s="4">
        <f t="shared" si="18"/>
        <v>380.45600000000002</v>
      </c>
      <c r="R172" s="4">
        <f t="shared" si="19"/>
        <v>198.68</v>
      </c>
      <c r="S172" s="4">
        <f t="shared" si="20"/>
        <v>181.77600000000001</v>
      </c>
      <c r="T172" s="6">
        <f t="shared" si="21"/>
        <v>0.47778455327291464</v>
      </c>
    </row>
    <row r="173" spans="1:20" x14ac:dyDescent="0.3">
      <c r="A173" s="2">
        <v>1226</v>
      </c>
      <c r="B173" s="3">
        <v>46084</v>
      </c>
      <c r="C173" s="2">
        <f t="shared" si="16"/>
        <v>2026</v>
      </c>
      <c r="D173" s="2">
        <f t="shared" si="22"/>
        <v>1</v>
      </c>
      <c r="E173" s="2">
        <f t="shared" si="17"/>
        <v>3</v>
      </c>
      <c r="F173" s="2" t="str">
        <f t="shared" si="23"/>
        <v>Mar</v>
      </c>
      <c r="G173" s="2" t="s">
        <v>30</v>
      </c>
      <c r="H173" s="2" t="s">
        <v>35</v>
      </c>
      <c r="I173" s="2" t="s">
        <v>18</v>
      </c>
      <c r="J173" s="2" t="s">
        <v>24</v>
      </c>
      <c r="K173" s="2" t="s">
        <v>20</v>
      </c>
      <c r="L173" s="2" t="s">
        <v>52</v>
      </c>
      <c r="M173" s="2">
        <v>4</v>
      </c>
      <c r="N173" s="4">
        <v>89.99</v>
      </c>
      <c r="O173" s="5">
        <v>0</v>
      </c>
      <c r="P173" s="4">
        <v>42.25</v>
      </c>
      <c r="Q173" s="4">
        <f t="shared" si="18"/>
        <v>359.96</v>
      </c>
      <c r="R173" s="4">
        <f t="shared" si="19"/>
        <v>169</v>
      </c>
      <c r="S173" s="4">
        <f t="shared" si="20"/>
        <v>190.95999999999998</v>
      </c>
      <c r="T173" s="6">
        <f t="shared" si="21"/>
        <v>0.53050338926547391</v>
      </c>
    </row>
    <row r="174" spans="1:20" x14ac:dyDescent="0.3">
      <c r="A174" s="2">
        <v>1330</v>
      </c>
      <c r="B174" s="3">
        <v>46084</v>
      </c>
      <c r="C174" s="2">
        <f t="shared" si="16"/>
        <v>2026</v>
      </c>
      <c r="D174" s="2">
        <f t="shared" si="22"/>
        <v>1</v>
      </c>
      <c r="E174" s="2">
        <f t="shared" si="17"/>
        <v>3</v>
      </c>
      <c r="F174" s="2" t="str">
        <f t="shared" si="23"/>
        <v>Mar</v>
      </c>
      <c r="G174" s="2" t="s">
        <v>48</v>
      </c>
      <c r="H174" s="2" t="s">
        <v>63</v>
      </c>
      <c r="I174" s="2" t="s">
        <v>33</v>
      </c>
      <c r="J174" s="2" t="s">
        <v>38</v>
      </c>
      <c r="K174" s="2" t="s">
        <v>28</v>
      </c>
      <c r="L174" s="2" t="s">
        <v>39</v>
      </c>
      <c r="M174" s="2">
        <v>12</v>
      </c>
      <c r="N174" s="4">
        <v>153.38999999999999</v>
      </c>
      <c r="O174" s="5">
        <v>0</v>
      </c>
      <c r="P174" s="4">
        <v>78.59</v>
      </c>
      <c r="Q174" s="4">
        <f t="shared" si="18"/>
        <v>1840.6799999999998</v>
      </c>
      <c r="R174" s="4">
        <f t="shared" si="19"/>
        <v>943.08</v>
      </c>
      <c r="S174" s="4">
        <f t="shared" si="20"/>
        <v>897.5999999999998</v>
      </c>
      <c r="T174" s="6">
        <f t="shared" si="21"/>
        <v>0.48764587000456344</v>
      </c>
    </row>
    <row r="175" spans="1:20" x14ac:dyDescent="0.3">
      <c r="A175" s="2">
        <v>1085</v>
      </c>
      <c r="B175" s="3">
        <v>46085</v>
      </c>
      <c r="C175" s="2">
        <f t="shared" si="16"/>
        <v>2026</v>
      </c>
      <c r="D175" s="2">
        <f t="shared" si="22"/>
        <v>1</v>
      </c>
      <c r="E175" s="2">
        <f t="shared" si="17"/>
        <v>3</v>
      </c>
      <c r="F175" s="2" t="str">
        <f t="shared" si="23"/>
        <v>Mar</v>
      </c>
      <c r="G175" s="2" t="s">
        <v>48</v>
      </c>
      <c r="H175" s="2" t="s">
        <v>49</v>
      </c>
      <c r="I175" s="2" t="s">
        <v>27</v>
      </c>
      <c r="J175" s="2" t="s">
        <v>38</v>
      </c>
      <c r="K175" s="2" t="s">
        <v>25</v>
      </c>
      <c r="L175" s="2" t="s">
        <v>55</v>
      </c>
      <c r="M175" s="2">
        <v>7</v>
      </c>
      <c r="N175" s="4">
        <v>194.35</v>
      </c>
      <c r="O175" s="5">
        <v>0.2</v>
      </c>
      <c r="P175" s="4">
        <v>104.22</v>
      </c>
      <c r="Q175" s="4">
        <f t="shared" si="18"/>
        <v>1088.3600000000001</v>
      </c>
      <c r="R175" s="4">
        <f t="shared" si="19"/>
        <v>729.54</v>
      </c>
      <c r="S175" s="4">
        <f t="shared" si="20"/>
        <v>358.82000000000016</v>
      </c>
      <c r="T175" s="6">
        <f t="shared" si="21"/>
        <v>0.32968870594288668</v>
      </c>
    </row>
    <row r="176" spans="1:20" x14ac:dyDescent="0.3">
      <c r="A176" s="2">
        <v>1279</v>
      </c>
      <c r="B176" s="3">
        <v>46085</v>
      </c>
      <c r="C176" s="2">
        <f t="shared" si="16"/>
        <v>2026</v>
      </c>
      <c r="D176" s="2">
        <f t="shared" si="22"/>
        <v>1</v>
      </c>
      <c r="E176" s="2">
        <f t="shared" si="17"/>
        <v>3</v>
      </c>
      <c r="F176" s="2" t="str">
        <f t="shared" si="23"/>
        <v>Mar</v>
      </c>
      <c r="G176" s="2" t="s">
        <v>48</v>
      </c>
      <c r="H176" s="2" t="s">
        <v>61</v>
      </c>
      <c r="I176" s="2" t="s">
        <v>27</v>
      </c>
      <c r="J176" s="2" t="s">
        <v>24</v>
      </c>
      <c r="K176" s="2" t="s">
        <v>20</v>
      </c>
      <c r="L176" s="2" t="s">
        <v>56</v>
      </c>
      <c r="M176" s="2">
        <v>15</v>
      </c>
      <c r="N176" s="4">
        <v>36.72</v>
      </c>
      <c r="O176" s="5">
        <v>0.1</v>
      </c>
      <c r="P176" s="4">
        <v>13.76</v>
      </c>
      <c r="Q176" s="4">
        <f t="shared" si="18"/>
        <v>495.71999999999997</v>
      </c>
      <c r="R176" s="4">
        <f t="shared" si="19"/>
        <v>206.4</v>
      </c>
      <c r="S176" s="4">
        <f t="shared" si="20"/>
        <v>289.31999999999994</v>
      </c>
      <c r="T176" s="6">
        <f t="shared" si="21"/>
        <v>0.58363592350520443</v>
      </c>
    </row>
    <row r="177" spans="1:20" x14ac:dyDescent="0.3">
      <c r="A177" s="2">
        <v>1022</v>
      </c>
      <c r="B177" s="3">
        <v>46086</v>
      </c>
      <c r="C177" s="2">
        <f t="shared" si="16"/>
        <v>2026</v>
      </c>
      <c r="D177" s="2">
        <f t="shared" si="22"/>
        <v>1</v>
      </c>
      <c r="E177" s="2">
        <f t="shared" si="17"/>
        <v>3</v>
      </c>
      <c r="F177" s="2" t="str">
        <f t="shared" si="23"/>
        <v>Mar</v>
      </c>
      <c r="G177" s="2" t="s">
        <v>41</v>
      </c>
      <c r="H177" s="2" t="s">
        <v>51</v>
      </c>
      <c r="I177" s="2" t="s">
        <v>23</v>
      </c>
      <c r="J177" s="2" t="s">
        <v>19</v>
      </c>
      <c r="K177" s="2" t="s">
        <v>20</v>
      </c>
      <c r="L177" s="2" t="s">
        <v>56</v>
      </c>
      <c r="M177" s="2">
        <v>10</v>
      </c>
      <c r="N177" s="4">
        <v>36.72</v>
      </c>
      <c r="O177" s="5">
        <v>0.15</v>
      </c>
      <c r="P177" s="4">
        <v>13.76</v>
      </c>
      <c r="Q177" s="4">
        <f t="shared" si="18"/>
        <v>312.12</v>
      </c>
      <c r="R177" s="4">
        <f t="shared" si="19"/>
        <v>137.6</v>
      </c>
      <c r="S177" s="4">
        <f t="shared" si="20"/>
        <v>174.52</v>
      </c>
      <c r="T177" s="6">
        <f t="shared" si="21"/>
        <v>0.55914391900551075</v>
      </c>
    </row>
    <row r="178" spans="1:20" x14ac:dyDescent="0.3">
      <c r="A178" s="2">
        <v>1027</v>
      </c>
      <c r="B178" s="3">
        <v>46086</v>
      </c>
      <c r="C178" s="2">
        <f t="shared" si="16"/>
        <v>2026</v>
      </c>
      <c r="D178" s="2">
        <f t="shared" si="22"/>
        <v>1</v>
      </c>
      <c r="E178" s="2">
        <f t="shared" si="17"/>
        <v>3</v>
      </c>
      <c r="F178" s="2" t="str">
        <f t="shared" si="23"/>
        <v>Mar</v>
      </c>
      <c r="G178" s="2" t="s">
        <v>41</v>
      </c>
      <c r="H178" s="2" t="s">
        <v>53</v>
      </c>
      <c r="I178" s="2" t="s">
        <v>23</v>
      </c>
      <c r="J178" s="2" t="s">
        <v>38</v>
      </c>
      <c r="K178" s="2" t="s">
        <v>36</v>
      </c>
      <c r="L178" s="2" t="s">
        <v>58</v>
      </c>
      <c r="M178" s="2">
        <v>3</v>
      </c>
      <c r="N178" s="4">
        <v>32.99</v>
      </c>
      <c r="O178" s="5">
        <v>0.1</v>
      </c>
      <c r="P178" s="4">
        <v>12.5</v>
      </c>
      <c r="Q178" s="4">
        <f t="shared" si="18"/>
        <v>89.073000000000008</v>
      </c>
      <c r="R178" s="4">
        <f t="shared" si="19"/>
        <v>37.5</v>
      </c>
      <c r="S178" s="4">
        <f t="shared" si="20"/>
        <v>51.573000000000008</v>
      </c>
      <c r="T178" s="6">
        <f t="shared" si="21"/>
        <v>0.57899700245865759</v>
      </c>
    </row>
    <row r="179" spans="1:20" x14ac:dyDescent="0.3">
      <c r="A179" s="2">
        <v>1175</v>
      </c>
      <c r="B179" s="3">
        <v>46086</v>
      </c>
      <c r="C179" s="2">
        <f t="shared" si="16"/>
        <v>2026</v>
      </c>
      <c r="D179" s="2">
        <f t="shared" si="22"/>
        <v>1</v>
      </c>
      <c r="E179" s="2">
        <f t="shared" si="17"/>
        <v>3</v>
      </c>
      <c r="F179" s="2" t="str">
        <f t="shared" si="23"/>
        <v>Mar</v>
      </c>
      <c r="G179" s="2" t="s">
        <v>30</v>
      </c>
      <c r="H179" s="2" t="s">
        <v>46</v>
      </c>
      <c r="I179" s="2" t="s">
        <v>27</v>
      </c>
      <c r="J179" s="2" t="s">
        <v>38</v>
      </c>
      <c r="K179" s="2" t="s">
        <v>36</v>
      </c>
      <c r="L179" s="2" t="s">
        <v>62</v>
      </c>
      <c r="M179" s="2">
        <v>6</v>
      </c>
      <c r="N179" s="4">
        <v>124.97</v>
      </c>
      <c r="O179" s="5">
        <v>0.05</v>
      </c>
      <c r="P179" s="4">
        <v>67.36</v>
      </c>
      <c r="Q179" s="4">
        <f t="shared" si="18"/>
        <v>712.32899999999995</v>
      </c>
      <c r="R179" s="4">
        <f t="shared" si="19"/>
        <v>404.15999999999997</v>
      </c>
      <c r="S179" s="4">
        <f t="shared" si="20"/>
        <v>308.16899999999998</v>
      </c>
      <c r="T179" s="6">
        <f t="shared" si="21"/>
        <v>0.43262172395059023</v>
      </c>
    </row>
    <row r="180" spans="1:20" x14ac:dyDescent="0.3">
      <c r="A180" s="2">
        <v>1123</v>
      </c>
      <c r="B180" s="3">
        <v>46087</v>
      </c>
      <c r="C180" s="2">
        <f t="shared" si="16"/>
        <v>2026</v>
      </c>
      <c r="D180" s="2">
        <f t="shared" si="22"/>
        <v>1</v>
      </c>
      <c r="E180" s="2">
        <f t="shared" si="17"/>
        <v>3</v>
      </c>
      <c r="F180" s="2" t="str">
        <f t="shared" si="23"/>
        <v>Mar</v>
      </c>
      <c r="G180" s="2" t="s">
        <v>30</v>
      </c>
      <c r="H180" s="2" t="s">
        <v>31</v>
      </c>
      <c r="I180" s="2" t="s">
        <v>18</v>
      </c>
      <c r="J180" s="2" t="s">
        <v>24</v>
      </c>
      <c r="K180" s="2" t="s">
        <v>28</v>
      </c>
      <c r="L180" s="2" t="s">
        <v>29</v>
      </c>
      <c r="M180" s="2">
        <v>14</v>
      </c>
      <c r="N180" s="4">
        <v>54.75</v>
      </c>
      <c r="O180" s="5">
        <v>0.1</v>
      </c>
      <c r="P180" s="4">
        <v>24.3</v>
      </c>
      <c r="Q180" s="4">
        <f t="shared" si="18"/>
        <v>689.85</v>
      </c>
      <c r="R180" s="4">
        <f t="shared" si="19"/>
        <v>340.2</v>
      </c>
      <c r="S180" s="4">
        <f t="shared" si="20"/>
        <v>349.65000000000003</v>
      </c>
      <c r="T180" s="6">
        <f t="shared" si="21"/>
        <v>0.50684931506849318</v>
      </c>
    </row>
    <row r="181" spans="1:20" x14ac:dyDescent="0.3">
      <c r="A181" s="2">
        <v>1177</v>
      </c>
      <c r="B181" s="3">
        <v>46087</v>
      </c>
      <c r="C181" s="2">
        <f t="shared" si="16"/>
        <v>2026</v>
      </c>
      <c r="D181" s="2">
        <f t="shared" si="22"/>
        <v>1</v>
      </c>
      <c r="E181" s="2">
        <f t="shared" si="17"/>
        <v>3</v>
      </c>
      <c r="F181" s="2" t="str">
        <f t="shared" si="23"/>
        <v>Mar</v>
      </c>
      <c r="G181" s="2" t="s">
        <v>41</v>
      </c>
      <c r="H181" s="2" t="s">
        <v>42</v>
      </c>
      <c r="I181" s="2" t="s">
        <v>27</v>
      </c>
      <c r="J181" s="2" t="s">
        <v>19</v>
      </c>
      <c r="K181" s="2" t="s">
        <v>43</v>
      </c>
      <c r="L181" s="2" t="s">
        <v>44</v>
      </c>
      <c r="M181" s="2">
        <v>15</v>
      </c>
      <c r="N181" s="4">
        <v>49.6</v>
      </c>
      <c r="O181" s="5">
        <v>0.05</v>
      </c>
      <c r="P181" s="4">
        <v>23.05</v>
      </c>
      <c r="Q181" s="4">
        <f t="shared" si="18"/>
        <v>706.8</v>
      </c>
      <c r="R181" s="4">
        <f t="shared" si="19"/>
        <v>345.75</v>
      </c>
      <c r="S181" s="4">
        <f t="shared" si="20"/>
        <v>361.04999999999995</v>
      </c>
      <c r="T181" s="6">
        <f t="shared" si="21"/>
        <v>0.51082342954159587</v>
      </c>
    </row>
    <row r="182" spans="1:20" x14ac:dyDescent="0.3">
      <c r="A182" s="2">
        <v>1129</v>
      </c>
      <c r="B182" s="3">
        <v>46088</v>
      </c>
      <c r="C182" s="2">
        <f t="shared" si="16"/>
        <v>2026</v>
      </c>
      <c r="D182" s="2">
        <f t="shared" si="22"/>
        <v>1</v>
      </c>
      <c r="E182" s="2">
        <f t="shared" si="17"/>
        <v>3</v>
      </c>
      <c r="F182" s="2" t="str">
        <f t="shared" si="23"/>
        <v>Mar</v>
      </c>
      <c r="G182" s="2" t="s">
        <v>30</v>
      </c>
      <c r="H182" s="2" t="s">
        <v>31</v>
      </c>
      <c r="I182" s="2" t="s">
        <v>23</v>
      </c>
      <c r="J182" s="2" t="s">
        <v>24</v>
      </c>
      <c r="K182" s="2" t="s">
        <v>20</v>
      </c>
      <c r="L182" s="2" t="s">
        <v>56</v>
      </c>
      <c r="M182" s="2">
        <v>8</v>
      </c>
      <c r="N182" s="4">
        <v>36.72</v>
      </c>
      <c r="O182" s="5">
        <v>0</v>
      </c>
      <c r="P182" s="4">
        <v>13.76</v>
      </c>
      <c r="Q182" s="4">
        <f t="shared" si="18"/>
        <v>293.76</v>
      </c>
      <c r="R182" s="4">
        <f t="shared" si="19"/>
        <v>110.08</v>
      </c>
      <c r="S182" s="4">
        <f t="shared" si="20"/>
        <v>183.68</v>
      </c>
      <c r="T182" s="6">
        <f t="shared" si="21"/>
        <v>0.62527233115468417</v>
      </c>
    </row>
    <row r="183" spans="1:20" x14ac:dyDescent="0.3">
      <c r="A183" s="2">
        <v>1210</v>
      </c>
      <c r="B183" s="3">
        <v>46089</v>
      </c>
      <c r="C183" s="2">
        <f t="shared" si="16"/>
        <v>2026</v>
      </c>
      <c r="D183" s="2">
        <f t="shared" si="22"/>
        <v>1</v>
      </c>
      <c r="E183" s="2">
        <f t="shared" si="17"/>
        <v>3</v>
      </c>
      <c r="F183" s="2" t="str">
        <f t="shared" si="23"/>
        <v>Mar</v>
      </c>
      <c r="G183" s="2" t="s">
        <v>30</v>
      </c>
      <c r="H183" s="2" t="s">
        <v>45</v>
      </c>
      <c r="I183" s="2" t="s">
        <v>23</v>
      </c>
      <c r="J183" s="2" t="s">
        <v>24</v>
      </c>
      <c r="K183" s="2" t="s">
        <v>36</v>
      </c>
      <c r="L183" s="2" t="s">
        <v>37</v>
      </c>
      <c r="M183" s="2">
        <v>12</v>
      </c>
      <c r="N183" s="4">
        <v>35.78</v>
      </c>
      <c r="O183" s="5">
        <v>0.1</v>
      </c>
      <c r="P183" s="4">
        <v>13.84</v>
      </c>
      <c r="Q183" s="4">
        <f t="shared" si="18"/>
        <v>386.42400000000004</v>
      </c>
      <c r="R183" s="4">
        <f t="shared" si="19"/>
        <v>166.07999999999998</v>
      </c>
      <c r="S183" s="4">
        <f t="shared" si="20"/>
        <v>220.34400000000005</v>
      </c>
      <c r="T183" s="6">
        <f t="shared" si="21"/>
        <v>0.57021303024656866</v>
      </c>
    </row>
    <row r="184" spans="1:20" x14ac:dyDescent="0.3">
      <c r="A184" s="2">
        <v>1425</v>
      </c>
      <c r="B184" s="3">
        <v>46089</v>
      </c>
      <c r="C184" s="2">
        <f t="shared" si="16"/>
        <v>2026</v>
      </c>
      <c r="D184" s="2">
        <f t="shared" si="22"/>
        <v>1</v>
      </c>
      <c r="E184" s="2">
        <f t="shared" si="17"/>
        <v>3</v>
      </c>
      <c r="F184" s="2" t="str">
        <f t="shared" si="23"/>
        <v>Mar</v>
      </c>
      <c r="G184" s="2" t="s">
        <v>48</v>
      </c>
      <c r="H184" s="2" t="s">
        <v>63</v>
      </c>
      <c r="I184" s="2" t="s">
        <v>27</v>
      </c>
      <c r="J184" s="2" t="s">
        <v>38</v>
      </c>
      <c r="K184" s="2" t="s">
        <v>43</v>
      </c>
      <c r="L184" s="2" t="s">
        <v>65</v>
      </c>
      <c r="M184" s="2">
        <v>9</v>
      </c>
      <c r="N184" s="4">
        <v>28.5</v>
      </c>
      <c r="O184" s="5">
        <v>0.1</v>
      </c>
      <c r="P184" s="4">
        <v>12.8</v>
      </c>
      <c r="Q184" s="4">
        <f t="shared" si="18"/>
        <v>230.85</v>
      </c>
      <c r="R184" s="4">
        <f t="shared" si="19"/>
        <v>115.2</v>
      </c>
      <c r="S184" s="4">
        <f t="shared" si="20"/>
        <v>115.64999999999999</v>
      </c>
      <c r="T184" s="6">
        <f t="shared" si="21"/>
        <v>0.50097465886939574</v>
      </c>
    </row>
    <row r="185" spans="1:20" x14ac:dyDescent="0.3">
      <c r="A185" s="2">
        <v>1017</v>
      </c>
      <c r="B185" s="3">
        <v>46090</v>
      </c>
      <c r="C185" s="2">
        <f t="shared" si="16"/>
        <v>2026</v>
      </c>
      <c r="D185" s="2">
        <f t="shared" si="22"/>
        <v>1</v>
      </c>
      <c r="E185" s="2">
        <f t="shared" si="17"/>
        <v>3</v>
      </c>
      <c r="F185" s="2" t="str">
        <f t="shared" si="23"/>
        <v>Mar</v>
      </c>
      <c r="G185" s="2" t="s">
        <v>41</v>
      </c>
      <c r="H185" s="2" t="s">
        <v>51</v>
      </c>
      <c r="I185" s="2" t="s">
        <v>23</v>
      </c>
      <c r="J185" s="2" t="s">
        <v>19</v>
      </c>
      <c r="K185" s="2" t="s">
        <v>20</v>
      </c>
      <c r="L185" s="2" t="s">
        <v>21</v>
      </c>
      <c r="M185" s="2">
        <v>3</v>
      </c>
      <c r="N185" s="4">
        <v>46.99</v>
      </c>
      <c r="O185" s="5">
        <v>0.05</v>
      </c>
      <c r="P185" s="4">
        <v>18.11</v>
      </c>
      <c r="Q185" s="4">
        <f t="shared" si="18"/>
        <v>133.92149999999998</v>
      </c>
      <c r="R185" s="4">
        <f t="shared" si="19"/>
        <v>54.33</v>
      </c>
      <c r="S185" s="4">
        <f t="shared" si="20"/>
        <v>79.591499999999982</v>
      </c>
      <c r="T185" s="6">
        <f t="shared" si="21"/>
        <v>0.59431457980981395</v>
      </c>
    </row>
    <row r="186" spans="1:20" x14ac:dyDescent="0.3">
      <c r="A186" s="2">
        <v>1035</v>
      </c>
      <c r="B186" s="3">
        <v>46090</v>
      </c>
      <c r="C186" s="2">
        <f t="shared" si="16"/>
        <v>2026</v>
      </c>
      <c r="D186" s="2">
        <f t="shared" si="22"/>
        <v>1</v>
      </c>
      <c r="E186" s="2">
        <f t="shared" si="17"/>
        <v>3</v>
      </c>
      <c r="F186" s="2" t="str">
        <f t="shared" si="23"/>
        <v>Mar</v>
      </c>
      <c r="G186" s="2" t="s">
        <v>30</v>
      </c>
      <c r="H186" s="2" t="s">
        <v>45</v>
      </c>
      <c r="I186" s="2" t="s">
        <v>18</v>
      </c>
      <c r="J186" s="2" t="s">
        <v>38</v>
      </c>
      <c r="K186" s="2" t="s">
        <v>20</v>
      </c>
      <c r="L186" s="2" t="s">
        <v>52</v>
      </c>
      <c r="M186" s="2">
        <v>6</v>
      </c>
      <c r="N186" s="4">
        <v>89.99</v>
      </c>
      <c r="O186" s="5">
        <v>0</v>
      </c>
      <c r="P186" s="4">
        <v>42.25</v>
      </c>
      <c r="Q186" s="4">
        <f t="shared" si="18"/>
        <v>539.93999999999994</v>
      </c>
      <c r="R186" s="4">
        <f t="shared" si="19"/>
        <v>253.5</v>
      </c>
      <c r="S186" s="4">
        <f t="shared" si="20"/>
        <v>286.43999999999994</v>
      </c>
      <c r="T186" s="6">
        <f t="shared" si="21"/>
        <v>0.53050338926547391</v>
      </c>
    </row>
    <row r="187" spans="1:20" x14ac:dyDescent="0.3">
      <c r="A187" s="2">
        <v>1039</v>
      </c>
      <c r="B187" s="3">
        <v>46090</v>
      </c>
      <c r="C187" s="2">
        <f t="shared" si="16"/>
        <v>2026</v>
      </c>
      <c r="D187" s="2">
        <f t="shared" si="22"/>
        <v>1</v>
      </c>
      <c r="E187" s="2">
        <f t="shared" si="17"/>
        <v>3</v>
      </c>
      <c r="F187" s="2" t="str">
        <f t="shared" si="23"/>
        <v>Mar</v>
      </c>
      <c r="G187" s="2" t="s">
        <v>16</v>
      </c>
      <c r="H187" s="2" t="s">
        <v>17</v>
      </c>
      <c r="I187" s="2" t="s">
        <v>23</v>
      </c>
      <c r="J187" s="2" t="s">
        <v>19</v>
      </c>
      <c r="K187" s="2" t="s">
        <v>36</v>
      </c>
      <c r="L187" s="2" t="s">
        <v>62</v>
      </c>
      <c r="M187" s="2">
        <v>5</v>
      </c>
      <c r="N187" s="4">
        <v>124.97</v>
      </c>
      <c r="O187" s="5">
        <v>0.05</v>
      </c>
      <c r="P187" s="4">
        <v>67.36</v>
      </c>
      <c r="Q187" s="4">
        <f t="shared" si="18"/>
        <v>593.60749999999996</v>
      </c>
      <c r="R187" s="4">
        <f t="shared" si="19"/>
        <v>336.8</v>
      </c>
      <c r="S187" s="4">
        <f t="shared" si="20"/>
        <v>256.80749999999995</v>
      </c>
      <c r="T187" s="6">
        <f t="shared" si="21"/>
        <v>0.43262172395059018</v>
      </c>
    </row>
    <row r="188" spans="1:20" x14ac:dyDescent="0.3">
      <c r="A188" s="2">
        <v>1231</v>
      </c>
      <c r="B188" s="3">
        <v>46090</v>
      </c>
      <c r="C188" s="2">
        <f t="shared" si="16"/>
        <v>2026</v>
      </c>
      <c r="D188" s="2">
        <f t="shared" si="22"/>
        <v>1</v>
      </c>
      <c r="E188" s="2">
        <f t="shared" si="17"/>
        <v>3</v>
      </c>
      <c r="F188" s="2" t="str">
        <f t="shared" si="23"/>
        <v>Mar</v>
      </c>
      <c r="G188" s="2" t="s">
        <v>48</v>
      </c>
      <c r="H188" s="2" t="s">
        <v>66</v>
      </c>
      <c r="I188" s="2" t="s">
        <v>23</v>
      </c>
      <c r="J188" s="2" t="s">
        <v>38</v>
      </c>
      <c r="K188" s="2" t="s">
        <v>20</v>
      </c>
      <c r="L188" s="2" t="s">
        <v>56</v>
      </c>
      <c r="M188" s="2">
        <v>7</v>
      </c>
      <c r="N188" s="4">
        <v>36.72</v>
      </c>
      <c r="O188" s="5">
        <v>0</v>
      </c>
      <c r="P188" s="4">
        <v>13.76</v>
      </c>
      <c r="Q188" s="4">
        <f t="shared" si="18"/>
        <v>257.03999999999996</v>
      </c>
      <c r="R188" s="4">
        <f t="shared" si="19"/>
        <v>96.32</v>
      </c>
      <c r="S188" s="4">
        <f t="shared" si="20"/>
        <v>160.71999999999997</v>
      </c>
      <c r="T188" s="6">
        <f t="shared" si="21"/>
        <v>0.62527233115468406</v>
      </c>
    </row>
    <row r="189" spans="1:20" x14ac:dyDescent="0.3">
      <c r="A189" s="2">
        <v>1428</v>
      </c>
      <c r="B189" s="3">
        <v>46090</v>
      </c>
      <c r="C189" s="2">
        <f t="shared" si="16"/>
        <v>2026</v>
      </c>
      <c r="D189" s="2">
        <f t="shared" si="22"/>
        <v>1</v>
      </c>
      <c r="E189" s="2">
        <f t="shared" si="17"/>
        <v>3</v>
      </c>
      <c r="F189" s="2" t="str">
        <f t="shared" si="23"/>
        <v>Mar</v>
      </c>
      <c r="G189" s="2" t="s">
        <v>30</v>
      </c>
      <c r="H189" s="2" t="s">
        <v>46</v>
      </c>
      <c r="I189" s="2" t="s">
        <v>27</v>
      </c>
      <c r="J189" s="2" t="s">
        <v>38</v>
      </c>
      <c r="K189" s="2" t="s">
        <v>36</v>
      </c>
      <c r="L189" s="2" t="s">
        <v>58</v>
      </c>
      <c r="M189" s="2">
        <v>1</v>
      </c>
      <c r="N189" s="4">
        <v>32.99</v>
      </c>
      <c r="O189" s="5">
        <v>0</v>
      </c>
      <c r="P189" s="4">
        <v>12.5</v>
      </c>
      <c r="Q189" s="4">
        <f t="shared" si="18"/>
        <v>32.99</v>
      </c>
      <c r="R189" s="4">
        <f t="shared" si="19"/>
        <v>12.5</v>
      </c>
      <c r="S189" s="4">
        <f t="shared" si="20"/>
        <v>20.490000000000002</v>
      </c>
      <c r="T189" s="6">
        <f t="shared" si="21"/>
        <v>0.6210973022127918</v>
      </c>
    </row>
    <row r="190" spans="1:20" x14ac:dyDescent="0.3">
      <c r="A190" s="2">
        <v>1469</v>
      </c>
      <c r="B190" s="3">
        <v>46090</v>
      </c>
      <c r="C190" s="2">
        <f t="shared" si="16"/>
        <v>2026</v>
      </c>
      <c r="D190" s="2">
        <f t="shared" si="22"/>
        <v>1</v>
      </c>
      <c r="E190" s="2">
        <f t="shared" si="17"/>
        <v>3</v>
      </c>
      <c r="F190" s="2" t="str">
        <f t="shared" si="23"/>
        <v>Mar</v>
      </c>
      <c r="G190" s="2" t="s">
        <v>30</v>
      </c>
      <c r="H190" s="2" t="s">
        <v>35</v>
      </c>
      <c r="I190" s="2" t="s">
        <v>27</v>
      </c>
      <c r="J190" s="2" t="s">
        <v>38</v>
      </c>
      <c r="K190" s="2" t="s">
        <v>43</v>
      </c>
      <c r="L190" s="2" t="s">
        <v>44</v>
      </c>
      <c r="M190" s="2">
        <v>14</v>
      </c>
      <c r="N190" s="4">
        <v>49.6</v>
      </c>
      <c r="O190" s="5">
        <v>0</v>
      </c>
      <c r="P190" s="4">
        <v>23.05</v>
      </c>
      <c r="Q190" s="4">
        <f t="shared" si="18"/>
        <v>694.4</v>
      </c>
      <c r="R190" s="4">
        <f t="shared" si="19"/>
        <v>322.7</v>
      </c>
      <c r="S190" s="4">
        <f t="shared" si="20"/>
        <v>371.7</v>
      </c>
      <c r="T190" s="6">
        <f t="shared" si="21"/>
        <v>0.53528225806451613</v>
      </c>
    </row>
    <row r="191" spans="1:20" x14ac:dyDescent="0.3">
      <c r="A191" s="2">
        <v>1011</v>
      </c>
      <c r="B191" s="3">
        <v>46091</v>
      </c>
      <c r="C191" s="2">
        <f t="shared" si="16"/>
        <v>2026</v>
      </c>
      <c r="D191" s="2">
        <f t="shared" si="22"/>
        <v>1</v>
      </c>
      <c r="E191" s="2">
        <f t="shared" si="17"/>
        <v>3</v>
      </c>
      <c r="F191" s="2" t="str">
        <f t="shared" si="23"/>
        <v>Mar</v>
      </c>
      <c r="G191" s="2" t="s">
        <v>16</v>
      </c>
      <c r="H191" s="2" t="s">
        <v>17</v>
      </c>
      <c r="I191" s="2" t="s">
        <v>33</v>
      </c>
      <c r="J191" s="2" t="s">
        <v>38</v>
      </c>
      <c r="K191" s="2" t="s">
        <v>36</v>
      </c>
      <c r="L191" s="2" t="s">
        <v>37</v>
      </c>
      <c r="M191" s="2">
        <v>4</v>
      </c>
      <c r="N191" s="4">
        <v>35.78</v>
      </c>
      <c r="O191" s="5">
        <v>0.2</v>
      </c>
      <c r="P191" s="4">
        <v>13.84</v>
      </c>
      <c r="Q191" s="4">
        <f t="shared" si="18"/>
        <v>114.49600000000001</v>
      </c>
      <c r="R191" s="4">
        <f t="shared" si="19"/>
        <v>55.36</v>
      </c>
      <c r="S191" s="4">
        <f t="shared" si="20"/>
        <v>59.13600000000001</v>
      </c>
      <c r="T191" s="6">
        <f t="shared" si="21"/>
        <v>0.51648965902738964</v>
      </c>
    </row>
    <row r="192" spans="1:20" x14ac:dyDescent="0.3">
      <c r="A192" s="2">
        <v>1101</v>
      </c>
      <c r="B192" s="3">
        <v>46091</v>
      </c>
      <c r="C192" s="2">
        <f t="shared" si="16"/>
        <v>2026</v>
      </c>
      <c r="D192" s="2">
        <f t="shared" si="22"/>
        <v>1</v>
      </c>
      <c r="E192" s="2">
        <f t="shared" si="17"/>
        <v>3</v>
      </c>
      <c r="F192" s="2" t="str">
        <f t="shared" si="23"/>
        <v>Mar</v>
      </c>
      <c r="G192" s="2" t="s">
        <v>16</v>
      </c>
      <c r="H192" s="2" t="s">
        <v>17</v>
      </c>
      <c r="I192" s="2" t="s">
        <v>23</v>
      </c>
      <c r="J192" s="2" t="s">
        <v>19</v>
      </c>
      <c r="K192" s="2" t="s">
        <v>25</v>
      </c>
      <c r="L192" s="2" t="s">
        <v>60</v>
      </c>
      <c r="M192" s="2">
        <v>15</v>
      </c>
      <c r="N192" s="4">
        <v>81.260000000000005</v>
      </c>
      <c r="O192" s="5">
        <v>0.05</v>
      </c>
      <c r="P192" s="4">
        <v>39.119999999999997</v>
      </c>
      <c r="Q192" s="4">
        <f t="shared" si="18"/>
        <v>1157.9549999999999</v>
      </c>
      <c r="R192" s="4">
        <f t="shared" si="19"/>
        <v>586.79999999999995</v>
      </c>
      <c r="S192" s="4">
        <f t="shared" si="20"/>
        <v>571.15499999999997</v>
      </c>
      <c r="T192" s="6">
        <f t="shared" si="21"/>
        <v>0.49324455613560114</v>
      </c>
    </row>
    <row r="193" spans="1:20" x14ac:dyDescent="0.3">
      <c r="A193" s="2">
        <v>1202</v>
      </c>
      <c r="B193" s="3">
        <v>46091</v>
      </c>
      <c r="C193" s="2">
        <f t="shared" si="16"/>
        <v>2026</v>
      </c>
      <c r="D193" s="2">
        <f t="shared" si="22"/>
        <v>1</v>
      </c>
      <c r="E193" s="2">
        <f t="shared" si="17"/>
        <v>3</v>
      </c>
      <c r="F193" s="2" t="str">
        <f t="shared" si="23"/>
        <v>Mar</v>
      </c>
      <c r="G193" s="2" t="s">
        <v>16</v>
      </c>
      <c r="H193" s="2" t="s">
        <v>22</v>
      </c>
      <c r="I193" s="2" t="s">
        <v>23</v>
      </c>
      <c r="J193" s="2" t="s">
        <v>19</v>
      </c>
      <c r="K193" s="2" t="s">
        <v>25</v>
      </c>
      <c r="L193" s="2" t="s">
        <v>26</v>
      </c>
      <c r="M193" s="2">
        <v>7</v>
      </c>
      <c r="N193" s="4">
        <v>347.51</v>
      </c>
      <c r="O193" s="5">
        <v>0.15</v>
      </c>
      <c r="P193" s="4">
        <v>190.16</v>
      </c>
      <c r="Q193" s="4">
        <f t="shared" si="18"/>
        <v>2067.6844999999998</v>
      </c>
      <c r="R193" s="4">
        <f t="shared" si="19"/>
        <v>1331.12</v>
      </c>
      <c r="S193" s="4">
        <f t="shared" si="20"/>
        <v>736.56449999999995</v>
      </c>
      <c r="T193" s="6">
        <f t="shared" si="21"/>
        <v>0.35622673575199698</v>
      </c>
    </row>
    <row r="194" spans="1:20" x14ac:dyDescent="0.3">
      <c r="A194" s="2">
        <v>1346</v>
      </c>
      <c r="B194" s="3">
        <v>46091</v>
      </c>
      <c r="C194" s="2">
        <f t="shared" ref="C194:C257" si="24">YEAR(B194)</f>
        <v>2026</v>
      </c>
      <c r="D194" s="2">
        <f t="shared" si="22"/>
        <v>1</v>
      </c>
      <c r="E194" s="2">
        <f t="shared" ref="E194:E257" si="25">MONTH(B194)</f>
        <v>3</v>
      </c>
      <c r="F194" s="2" t="str">
        <f t="shared" si="23"/>
        <v>Mar</v>
      </c>
      <c r="G194" s="2" t="s">
        <v>48</v>
      </c>
      <c r="H194" s="2" t="s">
        <v>49</v>
      </c>
      <c r="I194" s="2" t="s">
        <v>27</v>
      </c>
      <c r="J194" s="2" t="s">
        <v>19</v>
      </c>
      <c r="K194" s="2" t="s">
        <v>20</v>
      </c>
      <c r="L194" s="2" t="s">
        <v>21</v>
      </c>
      <c r="M194" s="2">
        <v>10</v>
      </c>
      <c r="N194" s="4">
        <v>46.99</v>
      </c>
      <c r="O194" s="5">
        <v>0.1</v>
      </c>
      <c r="P194" s="4">
        <v>18.11</v>
      </c>
      <c r="Q194" s="4">
        <f t="shared" ref="Q194:Q257" si="26">M194*N194*(1-O194)</f>
        <v>422.91</v>
      </c>
      <c r="R194" s="4">
        <f t="shared" ref="R194:R257" si="27">M194*P194</f>
        <v>181.1</v>
      </c>
      <c r="S194" s="4">
        <f t="shared" ref="S194:S257" si="28">Q194-R194</f>
        <v>241.81000000000003</v>
      </c>
      <c r="T194" s="6">
        <f t="shared" ref="T194:T257" si="29">IFERROR(S194/Q194,0)</f>
        <v>0.57177650091035925</v>
      </c>
    </row>
    <row r="195" spans="1:20" x14ac:dyDescent="0.3">
      <c r="A195" s="2">
        <v>1367</v>
      </c>
      <c r="B195" s="3">
        <v>46091</v>
      </c>
      <c r="C195" s="2">
        <f t="shared" si="24"/>
        <v>2026</v>
      </c>
      <c r="D195" s="2">
        <f t="shared" ref="D195:D258" si="30">ROUNDUP(MONTH(B195)/3,0)</f>
        <v>1</v>
      </c>
      <c r="E195" s="2">
        <f t="shared" si="25"/>
        <v>3</v>
      </c>
      <c r="F195" s="2" t="str">
        <f t="shared" ref="F195:F258" si="31">TEXT(B195,"MMM")</f>
        <v>Mar</v>
      </c>
      <c r="G195" s="2" t="s">
        <v>16</v>
      </c>
      <c r="H195" s="2" t="s">
        <v>17</v>
      </c>
      <c r="I195" s="2" t="s">
        <v>18</v>
      </c>
      <c r="J195" s="2" t="s">
        <v>38</v>
      </c>
      <c r="K195" s="2" t="s">
        <v>20</v>
      </c>
      <c r="L195" s="2" t="s">
        <v>52</v>
      </c>
      <c r="M195" s="2">
        <v>5</v>
      </c>
      <c r="N195" s="4">
        <v>89.99</v>
      </c>
      <c r="O195" s="5">
        <v>0.15</v>
      </c>
      <c r="P195" s="4">
        <v>42.25</v>
      </c>
      <c r="Q195" s="4">
        <f t="shared" si="26"/>
        <v>382.45749999999998</v>
      </c>
      <c r="R195" s="4">
        <f t="shared" si="27"/>
        <v>211.25</v>
      </c>
      <c r="S195" s="4">
        <f t="shared" si="28"/>
        <v>171.20749999999998</v>
      </c>
      <c r="T195" s="6">
        <f t="shared" si="29"/>
        <v>0.44765104619467522</v>
      </c>
    </row>
    <row r="196" spans="1:20" x14ac:dyDescent="0.3">
      <c r="A196" s="2">
        <v>1304</v>
      </c>
      <c r="B196" s="3">
        <v>46092</v>
      </c>
      <c r="C196" s="2">
        <f t="shared" si="24"/>
        <v>2026</v>
      </c>
      <c r="D196" s="2">
        <f t="shared" si="30"/>
        <v>1</v>
      </c>
      <c r="E196" s="2">
        <f t="shared" si="25"/>
        <v>3</v>
      </c>
      <c r="F196" s="2" t="str">
        <f t="shared" si="31"/>
        <v>Mar</v>
      </c>
      <c r="G196" s="2" t="s">
        <v>16</v>
      </c>
      <c r="H196" s="2" t="s">
        <v>17</v>
      </c>
      <c r="I196" s="2" t="s">
        <v>33</v>
      </c>
      <c r="J196" s="2" t="s">
        <v>24</v>
      </c>
      <c r="K196" s="2" t="s">
        <v>43</v>
      </c>
      <c r="L196" s="2" t="s">
        <v>44</v>
      </c>
      <c r="M196" s="2">
        <v>7</v>
      </c>
      <c r="N196" s="4">
        <v>49.6</v>
      </c>
      <c r="O196" s="5">
        <v>0.1</v>
      </c>
      <c r="P196" s="4">
        <v>23.05</v>
      </c>
      <c r="Q196" s="4">
        <f t="shared" si="26"/>
        <v>312.48</v>
      </c>
      <c r="R196" s="4">
        <f t="shared" si="27"/>
        <v>161.35</v>
      </c>
      <c r="S196" s="4">
        <f t="shared" si="28"/>
        <v>151.13000000000002</v>
      </c>
      <c r="T196" s="6">
        <f t="shared" si="29"/>
        <v>0.48364695340501795</v>
      </c>
    </row>
    <row r="197" spans="1:20" x14ac:dyDescent="0.3">
      <c r="A197" s="2">
        <v>1391</v>
      </c>
      <c r="B197" s="3">
        <v>46093</v>
      </c>
      <c r="C197" s="2">
        <f t="shared" si="24"/>
        <v>2026</v>
      </c>
      <c r="D197" s="2">
        <f t="shared" si="30"/>
        <v>1</v>
      </c>
      <c r="E197" s="2">
        <f t="shared" si="25"/>
        <v>3</v>
      </c>
      <c r="F197" s="2" t="str">
        <f t="shared" si="31"/>
        <v>Mar</v>
      </c>
      <c r="G197" s="2" t="s">
        <v>48</v>
      </c>
      <c r="H197" s="2" t="s">
        <v>66</v>
      </c>
      <c r="I197" s="2" t="s">
        <v>23</v>
      </c>
      <c r="J197" s="2" t="s">
        <v>19</v>
      </c>
      <c r="K197" s="2" t="s">
        <v>28</v>
      </c>
      <c r="L197" s="2" t="s">
        <v>64</v>
      </c>
      <c r="M197" s="2">
        <v>10</v>
      </c>
      <c r="N197" s="4">
        <v>94.18</v>
      </c>
      <c r="O197" s="5">
        <v>0.15</v>
      </c>
      <c r="P197" s="4">
        <v>45.03</v>
      </c>
      <c r="Q197" s="4">
        <f t="shared" si="26"/>
        <v>800.53000000000009</v>
      </c>
      <c r="R197" s="4">
        <f t="shared" si="27"/>
        <v>450.3</v>
      </c>
      <c r="S197" s="4">
        <f t="shared" si="28"/>
        <v>350.23000000000008</v>
      </c>
      <c r="T197" s="6">
        <f t="shared" si="29"/>
        <v>0.43749765780170641</v>
      </c>
    </row>
    <row r="198" spans="1:20" x14ac:dyDescent="0.3">
      <c r="A198" s="2">
        <v>1008</v>
      </c>
      <c r="B198" s="3">
        <v>46094</v>
      </c>
      <c r="C198" s="2">
        <f t="shared" si="24"/>
        <v>2026</v>
      </c>
      <c r="D198" s="2">
        <f t="shared" si="30"/>
        <v>1</v>
      </c>
      <c r="E198" s="2">
        <f t="shared" si="25"/>
        <v>3</v>
      </c>
      <c r="F198" s="2" t="str">
        <f t="shared" si="31"/>
        <v>Mar</v>
      </c>
      <c r="G198" s="2" t="s">
        <v>30</v>
      </c>
      <c r="H198" s="2" t="s">
        <v>31</v>
      </c>
      <c r="I198" s="2" t="s">
        <v>27</v>
      </c>
      <c r="J198" s="2" t="s">
        <v>19</v>
      </c>
      <c r="K198" s="2" t="s">
        <v>28</v>
      </c>
      <c r="L198" s="2" t="s">
        <v>39</v>
      </c>
      <c r="M198" s="2">
        <v>6</v>
      </c>
      <c r="N198" s="4">
        <v>153.38999999999999</v>
      </c>
      <c r="O198" s="5">
        <v>0</v>
      </c>
      <c r="P198" s="4">
        <v>78.59</v>
      </c>
      <c r="Q198" s="4">
        <f t="shared" si="26"/>
        <v>920.33999999999992</v>
      </c>
      <c r="R198" s="4">
        <f t="shared" si="27"/>
        <v>471.54</v>
      </c>
      <c r="S198" s="4">
        <f t="shared" si="28"/>
        <v>448.7999999999999</v>
      </c>
      <c r="T198" s="6">
        <f t="shared" si="29"/>
        <v>0.48764587000456344</v>
      </c>
    </row>
    <row r="199" spans="1:20" x14ac:dyDescent="0.3">
      <c r="A199" s="2">
        <v>1153</v>
      </c>
      <c r="B199" s="3">
        <v>46094</v>
      </c>
      <c r="C199" s="2">
        <f t="shared" si="24"/>
        <v>2026</v>
      </c>
      <c r="D199" s="2">
        <f t="shared" si="30"/>
        <v>1</v>
      </c>
      <c r="E199" s="2">
        <f t="shared" si="25"/>
        <v>3</v>
      </c>
      <c r="F199" s="2" t="str">
        <f t="shared" si="31"/>
        <v>Mar</v>
      </c>
      <c r="G199" s="2" t="s">
        <v>41</v>
      </c>
      <c r="H199" s="2" t="s">
        <v>59</v>
      </c>
      <c r="I199" s="2" t="s">
        <v>27</v>
      </c>
      <c r="J199" s="2" t="s">
        <v>24</v>
      </c>
      <c r="K199" s="2" t="s">
        <v>36</v>
      </c>
      <c r="L199" s="2" t="s">
        <v>47</v>
      </c>
      <c r="M199" s="2">
        <v>10</v>
      </c>
      <c r="N199" s="4">
        <v>40.6</v>
      </c>
      <c r="O199" s="5">
        <v>0.2</v>
      </c>
      <c r="P199" s="4">
        <v>15.04</v>
      </c>
      <c r="Q199" s="4">
        <f t="shared" si="26"/>
        <v>324.8</v>
      </c>
      <c r="R199" s="4">
        <f t="shared" si="27"/>
        <v>150.39999999999998</v>
      </c>
      <c r="S199" s="4">
        <f t="shared" si="28"/>
        <v>174.40000000000003</v>
      </c>
      <c r="T199" s="6">
        <f t="shared" si="29"/>
        <v>0.53694581280788189</v>
      </c>
    </row>
    <row r="200" spans="1:20" x14ac:dyDescent="0.3">
      <c r="A200" s="2">
        <v>1378</v>
      </c>
      <c r="B200" s="3">
        <v>46094</v>
      </c>
      <c r="C200" s="2">
        <f t="shared" si="24"/>
        <v>2026</v>
      </c>
      <c r="D200" s="2">
        <f t="shared" si="30"/>
        <v>1</v>
      </c>
      <c r="E200" s="2">
        <f t="shared" si="25"/>
        <v>3</v>
      </c>
      <c r="F200" s="2" t="str">
        <f t="shared" si="31"/>
        <v>Mar</v>
      </c>
      <c r="G200" s="2" t="s">
        <v>16</v>
      </c>
      <c r="H200" s="2" t="s">
        <v>17</v>
      </c>
      <c r="I200" s="2" t="s">
        <v>33</v>
      </c>
      <c r="J200" s="2" t="s">
        <v>19</v>
      </c>
      <c r="K200" s="2" t="s">
        <v>28</v>
      </c>
      <c r="L200" s="2" t="s">
        <v>29</v>
      </c>
      <c r="M200" s="2">
        <v>12</v>
      </c>
      <c r="N200" s="4">
        <v>54.75</v>
      </c>
      <c r="O200" s="5">
        <v>0.05</v>
      </c>
      <c r="P200" s="4">
        <v>24.3</v>
      </c>
      <c r="Q200" s="4">
        <f t="shared" si="26"/>
        <v>624.15</v>
      </c>
      <c r="R200" s="4">
        <f t="shared" si="27"/>
        <v>291.60000000000002</v>
      </c>
      <c r="S200" s="4">
        <f t="shared" si="28"/>
        <v>332.54999999999995</v>
      </c>
      <c r="T200" s="6">
        <f t="shared" si="29"/>
        <v>0.53280461427541448</v>
      </c>
    </row>
    <row r="201" spans="1:20" x14ac:dyDescent="0.3">
      <c r="A201" s="2">
        <v>1111</v>
      </c>
      <c r="B201" s="3">
        <v>46095</v>
      </c>
      <c r="C201" s="2">
        <f t="shared" si="24"/>
        <v>2026</v>
      </c>
      <c r="D201" s="2">
        <f t="shared" si="30"/>
        <v>1</v>
      </c>
      <c r="E201" s="2">
        <f t="shared" si="25"/>
        <v>3</v>
      </c>
      <c r="F201" s="2" t="str">
        <f t="shared" si="31"/>
        <v>Mar</v>
      </c>
      <c r="G201" s="2" t="s">
        <v>48</v>
      </c>
      <c r="H201" s="2" t="s">
        <v>66</v>
      </c>
      <c r="I201" s="2" t="s">
        <v>27</v>
      </c>
      <c r="J201" s="2" t="s">
        <v>38</v>
      </c>
      <c r="K201" s="2" t="s">
        <v>28</v>
      </c>
      <c r="L201" s="2" t="s">
        <v>29</v>
      </c>
      <c r="M201" s="2">
        <v>9</v>
      </c>
      <c r="N201" s="4">
        <v>54.75</v>
      </c>
      <c r="O201" s="5">
        <v>0.1</v>
      </c>
      <c r="P201" s="4">
        <v>24.3</v>
      </c>
      <c r="Q201" s="4">
        <f t="shared" si="26"/>
        <v>443.47500000000002</v>
      </c>
      <c r="R201" s="4">
        <f t="shared" si="27"/>
        <v>218.70000000000002</v>
      </c>
      <c r="S201" s="4">
        <f t="shared" si="28"/>
        <v>224.77500000000001</v>
      </c>
      <c r="T201" s="6">
        <f t="shared" si="29"/>
        <v>0.50684931506849318</v>
      </c>
    </row>
    <row r="202" spans="1:20" x14ac:dyDescent="0.3">
      <c r="A202" s="2">
        <v>1055</v>
      </c>
      <c r="B202" s="3">
        <v>46096</v>
      </c>
      <c r="C202" s="2">
        <f t="shared" si="24"/>
        <v>2026</v>
      </c>
      <c r="D202" s="2">
        <f t="shared" si="30"/>
        <v>1</v>
      </c>
      <c r="E202" s="2">
        <f t="shared" si="25"/>
        <v>3</v>
      </c>
      <c r="F202" s="2" t="str">
        <f t="shared" si="31"/>
        <v>Mar</v>
      </c>
      <c r="G202" s="2" t="s">
        <v>41</v>
      </c>
      <c r="H202" s="2" t="s">
        <v>59</v>
      </c>
      <c r="I202" s="2" t="s">
        <v>33</v>
      </c>
      <c r="J202" s="2" t="s">
        <v>19</v>
      </c>
      <c r="K202" s="2" t="s">
        <v>36</v>
      </c>
      <c r="L202" s="2" t="s">
        <v>37</v>
      </c>
      <c r="M202" s="2">
        <v>8</v>
      </c>
      <c r="N202" s="4">
        <v>35.78</v>
      </c>
      <c r="O202" s="5">
        <v>0.1</v>
      </c>
      <c r="P202" s="4">
        <v>13.84</v>
      </c>
      <c r="Q202" s="4">
        <f t="shared" si="26"/>
        <v>257.61600000000004</v>
      </c>
      <c r="R202" s="4">
        <f t="shared" si="27"/>
        <v>110.72</v>
      </c>
      <c r="S202" s="4">
        <f t="shared" si="28"/>
        <v>146.89600000000004</v>
      </c>
      <c r="T202" s="6">
        <f t="shared" si="29"/>
        <v>0.57021303024656866</v>
      </c>
    </row>
    <row r="203" spans="1:20" x14ac:dyDescent="0.3">
      <c r="A203" s="2">
        <v>1122</v>
      </c>
      <c r="B203" s="3">
        <v>46096</v>
      </c>
      <c r="C203" s="2">
        <f t="shared" si="24"/>
        <v>2026</v>
      </c>
      <c r="D203" s="2">
        <f t="shared" si="30"/>
        <v>1</v>
      </c>
      <c r="E203" s="2">
        <f t="shared" si="25"/>
        <v>3</v>
      </c>
      <c r="F203" s="2" t="str">
        <f t="shared" si="31"/>
        <v>Mar</v>
      </c>
      <c r="G203" s="2" t="s">
        <v>41</v>
      </c>
      <c r="H203" s="2" t="s">
        <v>51</v>
      </c>
      <c r="I203" s="2" t="s">
        <v>33</v>
      </c>
      <c r="J203" s="2" t="s">
        <v>19</v>
      </c>
      <c r="K203" s="2" t="s">
        <v>25</v>
      </c>
      <c r="L203" s="2" t="s">
        <v>55</v>
      </c>
      <c r="M203" s="2">
        <v>10</v>
      </c>
      <c r="N203" s="4">
        <v>194.35</v>
      </c>
      <c r="O203" s="5">
        <v>0.05</v>
      </c>
      <c r="P203" s="4">
        <v>104.22</v>
      </c>
      <c r="Q203" s="4">
        <f t="shared" si="26"/>
        <v>1846.3249999999998</v>
      </c>
      <c r="R203" s="4">
        <f t="shared" si="27"/>
        <v>1042.2</v>
      </c>
      <c r="S203" s="4">
        <f t="shared" si="28"/>
        <v>804.12499999999977</v>
      </c>
      <c r="T203" s="6">
        <f t="shared" si="29"/>
        <v>0.43552733132032545</v>
      </c>
    </row>
    <row r="204" spans="1:20" x14ac:dyDescent="0.3">
      <c r="A204" s="2">
        <v>1291</v>
      </c>
      <c r="B204" s="3">
        <v>46096</v>
      </c>
      <c r="C204" s="2">
        <f t="shared" si="24"/>
        <v>2026</v>
      </c>
      <c r="D204" s="2">
        <f t="shared" si="30"/>
        <v>1</v>
      </c>
      <c r="E204" s="2">
        <f t="shared" si="25"/>
        <v>3</v>
      </c>
      <c r="F204" s="2" t="str">
        <f t="shared" si="31"/>
        <v>Mar</v>
      </c>
      <c r="G204" s="2" t="s">
        <v>16</v>
      </c>
      <c r="H204" s="2" t="s">
        <v>22</v>
      </c>
      <c r="I204" s="2" t="s">
        <v>23</v>
      </c>
      <c r="J204" s="2" t="s">
        <v>24</v>
      </c>
      <c r="K204" s="2" t="s">
        <v>25</v>
      </c>
      <c r="L204" s="2" t="s">
        <v>54</v>
      </c>
      <c r="M204" s="2">
        <v>2</v>
      </c>
      <c r="N204" s="4">
        <v>41.22</v>
      </c>
      <c r="O204" s="5">
        <v>0</v>
      </c>
      <c r="P204" s="4">
        <v>16.64</v>
      </c>
      <c r="Q204" s="4">
        <f t="shared" si="26"/>
        <v>82.44</v>
      </c>
      <c r="R204" s="4">
        <f t="shared" si="27"/>
        <v>33.28</v>
      </c>
      <c r="S204" s="4">
        <f t="shared" si="28"/>
        <v>49.16</v>
      </c>
      <c r="T204" s="6">
        <f t="shared" si="29"/>
        <v>0.59631246967491502</v>
      </c>
    </row>
    <row r="205" spans="1:20" x14ac:dyDescent="0.3">
      <c r="A205" s="2">
        <v>1362</v>
      </c>
      <c r="B205" s="3">
        <v>46096</v>
      </c>
      <c r="C205" s="2">
        <f t="shared" si="24"/>
        <v>2026</v>
      </c>
      <c r="D205" s="2">
        <f t="shared" si="30"/>
        <v>1</v>
      </c>
      <c r="E205" s="2">
        <f t="shared" si="25"/>
        <v>3</v>
      </c>
      <c r="F205" s="2" t="str">
        <f t="shared" si="31"/>
        <v>Mar</v>
      </c>
      <c r="G205" s="2" t="s">
        <v>30</v>
      </c>
      <c r="H205" s="2" t="s">
        <v>46</v>
      </c>
      <c r="I205" s="2" t="s">
        <v>23</v>
      </c>
      <c r="J205" s="2" t="s">
        <v>38</v>
      </c>
      <c r="K205" s="2" t="s">
        <v>25</v>
      </c>
      <c r="L205" s="2" t="s">
        <v>26</v>
      </c>
      <c r="M205" s="2">
        <v>11</v>
      </c>
      <c r="N205" s="4">
        <v>347.51</v>
      </c>
      <c r="O205" s="5">
        <v>0.15</v>
      </c>
      <c r="P205" s="4">
        <v>190.16</v>
      </c>
      <c r="Q205" s="4">
        <f t="shared" si="26"/>
        <v>3249.2184999999995</v>
      </c>
      <c r="R205" s="4">
        <f t="shared" si="27"/>
        <v>2091.7599999999998</v>
      </c>
      <c r="S205" s="4">
        <f t="shared" si="28"/>
        <v>1157.4584999999997</v>
      </c>
      <c r="T205" s="6">
        <f t="shared" si="29"/>
        <v>0.35622673575199693</v>
      </c>
    </row>
    <row r="206" spans="1:20" x14ac:dyDescent="0.3">
      <c r="A206" s="2">
        <v>1109</v>
      </c>
      <c r="B206" s="3">
        <v>46097</v>
      </c>
      <c r="C206" s="2">
        <f t="shared" si="24"/>
        <v>2026</v>
      </c>
      <c r="D206" s="2">
        <f t="shared" si="30"/>
        <v>1</v>
      </c>
      <c r="E206" s="2">
        <f t="shared" si="25"/>
        <v>3</v>
      </c>
      <c r="F206" s="2" t="str">
        <f t="shared" si="31"/>
        <v>Mar</v>
      </c>
      <c r="G206" s="2" t="s">
        <v>48</v>
      </c>
      <c r="H206" s="2" t="s">
        <v>66</v>
      </c>
      <c r="I206" s="2" t="s">
        <v>23</v>
      </c>
      <c r="J206" s="2" t="s">
        <v>38</v>
      </c>
      <c r="K206" s="2" t="s">
        <v>25</v>
      </c>
      <c r="L206" s="2" t="s">
        <v>60</v>
      </c>
      <c r="M206" s="2">
        <v>4</v>
      </c>
      <c r="N206" s="4">
        <v>81.260000000000005</v>
      </c>
      <c r="O206" s="5">
        <v>0.1</v>
      </c>
      <c r="P206" s="4">
        <v>39.119999999999997</v>
      </c>
      <c r="Q206" s="4">
        <f t="shared" si="26"/>
        <v>292.536</v>
      </c>
      <c r="R206" s="4">
        <f t="shared" si="27"/>
        <v>156.47999999999999</v>
      </c>
      <c r="S206" s="4">
        <f t="shared" si="28"/>
        <v>136.05600000000001</v>
      </c>
      <c r="T206" s="6">
        <f t="shared" si="29"/>
        <v>0.46509147592091232</v>
      </c>
    </row>
    <row r="207" spans="1:20" x14ac:dyDescent="0.3">
      <c r="A207" s="2">
        <v>1227</v>
      </c>
      <c r="B207" s="3">
        <v>46097</v>
      </c>
      <c r="C207" s="2">
        <f t="shared" si="24"/>
        <v>2026</v>
      </c>
      <c r="D207" s="2">
        <f t="shared" si="30"/>
        <v>1</v>
      </c>
      <c r="E207" s="2">
        <f t="shared" si="25"/>
        <v>3</v>
      </c>
      <c r="F207" s="2" t="str">
        <f t="shared" si="31"/>
        <v>Mar</v>
      </c>
      <c r="G207" s="2" t="s">
        <v>30</v>
      </c>
      <c r="H207" s="2" t="s">
        <v>46</v>
      </c>
      <c r="I207" s="2" t="s">
        <v>27</v>
      </c>
      <c r="J207" s="2" t="s">
        <v>24</v>
      </c>
      <c r="K207" s="2" t="s">
        <v>28</v>
      </c>
      <c r="L207" s="2" t="s">
        <v>40</v>
      </c>
      <c r="M207" s="2">
        <v>14</v>
      </c>
      <c r="N207" s="4">
        <v>143.66999999999999</v>
      </c>
      <c r="O207" s="5">
        <v>0.05</v>
      </c>
      <c r="P207" s="4">
        <v>81.22</v>
      </c>
      <c r="Q207" s="4">
        <f t="shared" si="26"/>
        <v>1910.8109999999997</v>
      </c>
      <c r="R207" s="4">
        <f t="shared" si="27"/>
        <v>1137.08</v>
      </c>
      <c r="S207" s="4">
        <f t="shared" si="28"/>
        <v>773.73099999999977</v>
      </c>
      <c r="T207" s="6">
        <f t="shared" si="29"/>
        <v>0.40492283119575923</v>
      </c>
    </row>
    <row r="208" spans="1:20" x14ac:dyDescent="0.3">
      <c r="A208" s="2">
        <v>1252</v>
      </c>
      <c r="B208" s="3">
        <v>46097</v>
      </c>
      <c r="C208" s="2">
        <f t="shared" si="24"/>
        <v>2026</v>
      </c>
      <c r="D208" s="2">
        <f t="shared" si="30"/>
        <v>1</v>
      </c>
      <c r="E208" s="2">
        <f t="shared" si="25"/>
        <v>3</v>
      </c>
      <c r="F208" s="2" t="str">
        <f t="shared" si="31"/>
        <v>Mar</v>
      </c>
      <c r="G208" s="2" t="s">
        <v>16</v>
      </c>
      <c r="H208" s="2" t="s">
        <v>17</v>
      </c>
      <c r="I208" s="2" t="s">
        <v>27</v>
      </c>
      <c r="J208" s="2" t="s">
        <v>38</v>
      </c>
      <c r="K208" s="2" t="s">
        <v>20</v>
      </c>
      <c r="L208" s="2" t="s">
        <v>56</v>
      </c>
      <c r="M208" s="2">
        <v>15</v>
      </c>
      <c r="N208" s="4">
        <v>36.72</v>
      </c>
      <c r="O208" s="5">
        <v>0.05</v>
      </c>
      <c r="P208" s="4">
        <v>13.76</v>
      </c>
      <c r="Q208" s="4">
        <f t="shared" si="26"/>
        <v>523.25999999999988</v>
      </c>
      <c r="R208" s="4">
        <f t="shared" si="27"/>
        <v>206.4</v>
      </c>
      <c r="S208" s="4">
        <f t="shared" si="28"/>
        <v>316.8599999999999</v>
      </c>
      <c r="T208" s="6">
        <f t="shared" si="29"/>
        <v>0.60554982226808851</v>
      </c>
    </row>
    <row r="209" spans="1:20" x14ac:dyDescent="0.3">
      <c r="A209" s="2">
        <v>1335</v>
      </c>
      <c r="B209" s="3">
        <v>46097</v>
      </c>
      <c r="C209" s="2">
        <f t="shared" si="24"/>
        <v>2026</v>
      </c>
      <c r="D209" s="2">
        <f t="shared" si="30"/>
        <v>1</v>
      </c>
      <c r="E209" s="2">
        <f t="shared" si="25"/>
        <v>3</v>
      </c>
      <c r="F209" s="2" t="str">
        <f t="shared" si="31"/>
        <v>Mar</v>
      </c>
      <c r="G209" s="2" t="s">
        <v>16</v>
      </c>
      <c r="H209" s="2" t="s">
        <v>32</v>
      </c>
      <c r="I209" s="2" t="s">
        <v>33</v>
      </c>
      <c r="J209" s="2" t="s">
        <v>19</v>
      </c>
      <c r="K209" s="2" t="s">
        <v>28</v>
      </c>
      <c r="L209" s="2" t="s">
        <v>39</v>
      </c>
      <c r="M209" s="2">
        <v>3</v>
      </c>
      <c r="N209" s="4">
        <v>153.38999999999999</v>
      </c>
      <c r="O209" s="5">
        <v>0.1</v>
      </c>
      <c r="P209" s="4">
        <v>78.59</v>
      </c>
      <c r="Q209" s="4">
        <f t="shared" si="26"/>
        <v>414.15299999999996</v>
      </c>
      <c r="R209" s="4">
        <f t="shared" si="27"/>
        <v>235.77</v>
      </c>
      <c r="S209" s="4">
        <f t="shared" si="28"/>
        <v>178.38299999999995</v>
      </c>
      <c r="T209" s="6">
        <f t="shared" si="29"/>
        <v>0.43071763333840385</v>
      </c>
    </row>
    <row r="210" spans="1:20" x14ac:dyDescent="0.3">
      <c r="A210" s="2">
        <v>1203</v>
      </c>
      <c r="B210" s="3">
        <v>46098</v>
      </c>
      <c r="C210" s="2">
        <f t="shared" si="24"/>
        <v>2026</v>
      </c>
      <c r="D210" s="2">
        <f t="shared" si="30"/>
        <v>1</v>
      </c>
      <c r="E210" s="2">
        <f t="shared" si="25"/>
        <v>3</v>
      </c>
      <c r="F210" s="2" t="str">
        <f t="shared" si="31"/>
        <v>Mar</v>
      </c>
      <c r="G210" s="2" t="s">
        <v>48</v>
      </c>
      <c r="H210" s="2" t="s">
        <v>63</v>
      </c>
      <c r="I210" s="2" t="s">
        <v>27</v>
      </c>
      <c r="J210" s="2" t="s">
        <v>38</v>
      </c>
      <c r="K210" s="2" t="s">
        <v>43</v>
      </c>
      <c r="L210" s="2" t="s">
        <v>50</v>
      </c>
      <c r="M210" s="2">
        <v>11</v>
      </c>
      <c r="N210" s="4">
        <v>100.12</v>
      </c>
      <c r="O210" s="5">
        <v>0.05</v>
      </c>
      <c r="P210" s="4">
        <v>49.67</v>
      </c>
      <c r="Q210" s="4">
        <f t="shared" si="26"/>
        <v>1046.2540000000001</v>
      </c>
      <c r="R210" s="4">
        <f t="shared" si="27"/>
        <v>546.37</v>
      </c>
      <c r="S210" s="4">
        <f t="shared" si="28"/>
        <v>499.88400000000013</v>
      </c>
      <c r="T210" s="6">
        <f t="shared" si="29"/>
        <v>0.47778455327291469</v>
      </c>
    </row>
    <row r="211" spans="1:20" x14ac:dyDescent="0.3">
      <c r="A211" s="2">
        <v>1392</v>
      </c>
      <c r="B211" s="3">
        <v>46098</v>
      </c>
      <c r="C211" s="2">
        <f t="shared" si="24"/>
        <v>2026</v>
      </c>
      <c r="D211" s="2">
        <f t="shared" si="30"/>
        <v>1</v>
      </c>
      <c r="E211" s="2">
        <f t="shared" si="25"/>
        <v>3</v>
      </c>
      <c r="F211" s="2" t="str">
        <f t="shared" si="31"/>
        <v>Mar</v>
      </c>
      <c r="G211" s="2" t="s">
        <v>30</v>
      </c>
      <c r="H211" s="2" t="s">
        <v>46</v>
      </c>
      <c r="I211" s="2" t="s">
        <v>27</v>
      </c>
      <c r="J211" s="2" t="s">
        <v>38</v>
      </c>
      <c r="K211" s="2" t="s">
        <v>36</v>
      </c>
      <c r="L211" s="2" t="s">
        <v>58</v>
      </c>
      <c r="M211" s="2">
        <v>1</v>
      </c>
      <c r="N211" s="4">
        <v>32.99</v>
      </c>
      <c r="O211" s="5">
        <v>0</v>
      </c>
      <c r="P211" s="4">
        <v>12.5</v>
      </c>
      <c r="Q211" s="4">
        <f t="shared" si="26"/>
        <v>32.99</v>
      </c>
      <c r="R211" s="4">
        <f t="shared" si="27"/>
        <v>12.5</v>
      </c>
      <c r="S211" s="4">
        <f t="shared" si="28"/>
        <v>20.490000000000002</v>
      </c>
      <c r="T211" s="6">
        <f t="shared" si="29"/>
        <v>0.6210973022127918</v>
      </c>
    </row>
    <row r="212" spans="1:20" x14ac:dyDescent="0.3">
      <c r="A212" s="2">
        <v>1411</v>
      </c>
      <c r="B212" s="3">
        <v>46098</v>
      </c>
      <c r="C212" s="2">
        <f t="shared" si="24"/>
        <v>2026</v>
      </c>
      <c r="D212" s="2">
        <f t="shared" si="30"/>
        <v>1</v>
      </c>
      <c r="E212" s="2">
        <f t="shared" si="25"/>
        <v>3</v>
      </c>
      <c r="F212" s="2" t="str">
        <f t="shared" si="31"/>
        <v>Mar</v>
      </c>
      <c r="G212" s="2" t="s">
        <v>16</v>
      </c>
      <c r="H212" s="2" t="s">
        <v>32</v>
      </c>
      <c r="I212" s="2" t="s">
        <v>23</v>
      </c>
      <c r="J212" s="2" t="s">
        <v>38</v>
      </c>
      <c r="K212" s="2" t="s">
        <v>20</v>
      </c>
      <c r="L212" s="2" t="s">
        <v>56</v>
      </c>
      <c r="M212" s="2">
        <v>2</v>
      </c>
      <c r="N212" s="4">
        <v>36.72</v>
      </c>
      <c r="O212" s="5">
        <v>0.05</v>
      </c>
      <c r="P212" s="4">
        <v>13.76</v>
      </c>
      <c r="Q212" s="4">
        <f t="shared" si="26"/>
        <v>69.768000000000001</v>
      </c>
      <c r="R212" s="4">
        <f t="shared" si="27"/>
        <v>27.52</v>
      </c>
      <c r="S212" s="4">
        <f t="shared" si="28"/>
        <v>42.248000000000005</v>
      </c>
      <c r="T212" s="6">
        <f t="shared" si="29"/>
        <v>0.60554982226808862</v>
      </c>
    </row>
    <row r="213" spans="1:20" x14ac:dyDescent="0.3">
      <c r="A213" s="2">
        <v>1275</v>
      </c>
      <c r="B213" s="3">
        <v>46099</v>
      </c>
      <c r="C213" s="2">
        <f t="shared" si="24"/>
        <v>2026</v>
      </c>
      <c r="D213" s="2">
        <f t="shared" si="30"/>
        <v>1</v>
      </c>
      <c r="E213" s="2">
        <f t="shared" si="25"/>
        <v>3</v>
      </c>
      <c r="F213" s="2" t="str">
        <f t="shared" si="31"/>
        <v>Mar</v>
      </c>
      <c r="G213" s="2" t="s">
        <v>48</v>
      </c>
      <c r="H213" s="2" t="s">
        <v>63</v>
      </c>
      <c r="I213" s="2" t="s">
        <v>33</v>
      </c>
      <c r="J213" s="2" t="s">
        <v>19</v>
      </c>
      <c r="K213" s="2" t="s">
        <v>36</v>
      </c>
      <c r="L213" s="2" t="s">
        <v>62</v>
      </c>
      <c r="M213" s="2">
        <v>11</v>
      </c>
      <c r="N213" s="4">
        <v>124.97</v>
      </c>
      <c r="O213" s="5">
        <v>0.2</v>
      </c>
      <c r="P213" s="4">
        <v>67.36</v>
      </c>
      <c r="Q213" s="4">
        <f t="shared" si="26"/>
        <v>1099.7360000000001</v>
      </c>
      <c r="R213" s="4">
        <f t="shared" si="27"/>
        <v>740.96</v>
      </c>
      <c r="S213" s="4">
        <f t="shared" si="28"/>
        <v>358.77600000000007</v>
      </c>
      <c r="T213" s="6">
        <f t="shared" si="29"/>
        <v>0.32623829719132597</v>
      </c>
    </row>
    <row r="214" spans="1:20" x14ac:dyDescent="0.3">
      <c r="A214" s="2">
        <v>1277</v>
      </c>
      <c r="B214" s="3">
        <v>46099</v>
      </c>
      <c r="C214" s="2">
        <f t="shared" si="24"/>
        <v>2026</v>
      </c>
      <c r="D214" s="2">
        <f t="shared" si="30"/>
        <v>1</v>
      </c>
      <c r="E214" s="2">
        <f t="shared" si="25"/>
        <v>3</v>
      </c>
      <c r="F214" s="2" t="str">
        <f t="shared" si="31"/>
        <v>Mar</v>
      </c>
      <c r="G214" s="2" t="s">
        <v>30</v>
      </c>
      <c r="H214" s="2" t="s">
        <v>45</v>
      </c>
      <c r="I214" s="2" t="s">
        <v>27</v>
      </c>
      <c r="J214" s="2" t="s">
        <v>19</v>
      </c>
      <c r="K214" s="2" t="s">
        <v>36</v>
      </c>
      <c r="L214" s="2" t="s">
        <v>58</v>
      </c>
      <c r="M214" s="2">
        <v>4</v>
      </c>
      <c r="N214" s="4">
        <v>32.99</v>
      </c>
      <c r="O214" s="5">
        <v>0</v>
      </c>
      <c r="P214" s="4">
        <v>12.5</v>
      </c>
      <c r="Q214" s="4">
        <f t="shared" si="26"/>
        <v>131.96</v>
      </c>
      <c r="R214" s="4">
        <f t="shared" si="27"/>
        <v>50</v>
      </c>
      <c r="S214" s="4">
        <f t="shared" si="28"/>
        <v>81.960000000000008</v>
      </c>
      <c r="T214" s="6">
        <f t="shared" si="29"/>
        <v>0.6210973022127918</v>
      </c>
    </row>
    <row r="215" spans="1:20" x14ac:dyDescent="0.3">
      <c r="A215" s="2">
        <v>1298</v>
      </c>
      <c r="B215" s="3">
        <v>46099</v>
      </c>
      <c r="C215" s="2">
        <f t="shared" si="24"/>
        <v>2026</v>
      </c>
      <c r="D215" s="2">
        <f t="shared" si="30"/>
        <v>1</v>
      </c>
      <c r="E215" s="2">
        <f t="shared" si="25"/>
        <v>3</v>
      </c>
      <c r="F215" s="2" t="str">
        <f t="shared" si="31"/>
        <v>Mar</v>
      </c>
      <c r="G215" s="2" t="s">
        <v>41</v>
      </c>
      <c r="H215" s="2" t="s">
        <v>53</v>
      </c>
      <c r="I215" s="2" t="s">
        <v>27</v>
      </c>
      <c r="J215" s="2" t="s">
        <v>38</v>
      </c>
      <c r="K215" s="2" t="s">
        <v>36</v>
      </c>
      <c r="L215" s="2" t="s">
        <v>58</v>
      </c>
      <c r="M215" s="2">
        <v>11</v>
      </c>
      <c r="N215" s="4">
        <v>32.99</v>
      </c>
      <c r="O215" s="5">
        <v>0.15</v>
      </c>
      <c r="P215" s="4">
        <v>12.5</v>
      </c>
      <c r="Q215" s="4">
        <f t="shared" si="26"/>
        <v>308.45650000000001</v>
      </c>
      <c r="R215" s="4">
        <f t="shared" si="27"/>
        <v>137.5</v>
      </c>
      <c r="S215" s="4">
        <f t="shared" si="28"/>
        <v>170.95650000000001</v>
      </c>
      <c r="T215" s="6">
        <f t="shared" si="29"/>
        <v>0.5542321202503433</v>
      </c>
    </row>
    <row r="216" spans="1:20" x14ac:dyDescent="0.3">
      <c r="A216" s="2">
        <v>1447</v>
      </c>
      <c r="B216" s="3">
        <v>46099</v>
      </c>
      <c r="C216" s="2">
        <f t="shared" si="24"/>
        <v>2026</v>
      </c>
      <c r="D216" s="2">
        <f t="shared" si="30"/>
        <v>1</v>
      </c>
      <c r="E216" s="2">
        <f t="shared" si="25"/>
        <v>3</v>
      </c>
      <c r="F216" s="2" t="str">
        <f t="shared" si="31"/>
        <v>Mar</v>
      </c>
      <c r="G216" s="2" t="s">
        <v>41</v>
      </c>
      <c r="H216" s="2" t="s">
        <v>53</v>
      </c>
      <c r="I216" s="2" t="s">
        <v>27</v>
      </c>
      <c r="J216" s="2" t="s">
        <v>19</v>
      </c>
      <c r="K216" s="2" t="s">
        <v>20</v>
      </c>
      <c r="L216" s="2" t="s">
        <v>56</v>
      </c>
      <c r="M216" s="2">
        <v>8</v>
      </c>
      <c r="N216" s="4">
        <v>36.72</v>
      </c>
      <c r="O216" s="5">
        <v>0</v>
      </c>
      <c r="P216" s="4">
        <v>13.76</v>
      </c>
      <c r="Q216" s="4">
        <f t="shared" si="26"/>
        <v>293.76</v>
      </c>
      <c r="R216" s="4">
        <f t="shared" si="27"/>
        <v>110.08</v>
      </c>
      <c r="S216" s="4">
        <f t="shared" si="28"/>
        <v>183.68</v>
      </c>
      <c r="T216" s="6">
        <f t="shared" si="29"/>
        <v>0.62527233115468417</v>
      </c>
    </row>
    <row r="217" spans="1:20" x14ac:dyDescent="0.3">
      <c r="A217" s="2">
        <v>1451</v>
      </c>
      <c r="B217" s="3">
        <v>46099</v>
      </c>
      <c r="C217" s="2">
        <f t="shared" si="24"/>
        <v>2026</v>
      </c>
      <c r="D217" s="2">
        <f t="shared" si="30"/>
        <v>1</v>
      </c>
      <c r="E217" s="2">
        <f t="shared" si="25"/>
        <v>3</v>
      </c>
      <c r="F217" s="2" t="str">
        <f t="shared" si="31"/>
        <v>Mar</v>
      </c>
      <c r="G217" s="2" t="s">
        <v>30</v>
      </c>
      <c r="H217" s="2" t="s">
        <v>35</v>
      </c>
      <c r="I217" s="2" t="s">
        <v>33</v>
      </c>
      <c r="J217" s="2" t="s">
        <v>19</v>
      </c>
      <c r="K217" s="2" t="s">
        <v>28</v>
      </c>
      <c r="L217" s="2" t="s">
        <v>40</v>
      </c>
      <c r="M217" s="2">
        <v>4</v>
      </c>
      <c r="N217" s="4">
        <v>143.66999999999999</v>
      </c>
      <c r="O217" s="5">
        <v>0.05</v>
      </c>
      <c r="P217" s="4">
        <v>81.22</v>
      </c>
      <c r="Q217" s="4">
        <f t="shared" si="26"/>
        <v>545.94599999999991</v>
      </c>
      <c r="R217" s="4">
        <f t="shared" si="27"/>
        <v>324.88</v>
      </c>
      <c r="S217" s="4">
        <f t="shared" si="28"/>
        <v>221.06599999999992</v>
      </c>
      <c r="T217" s="6">
        <f t="shared" si="29"/>
        <v>0.40492283119575923</v>
      </c>
    </row>
    <row r="218" spans="1:20" x14ac:dyDescent="0.3">
      <c r="A218" s="2">
        <v>1099</v>
      </c>
      <c r="B218" s="3">
        <v>46100</v>
      </c>
      <c r="C218" s="2">
        <f t="shared" si="24"/>
        <v>2026</v>
      </c>
      <c r="D218" s="2">
        <f t="shared" si="30"/>
        <v>1</v>
      </c>
      <c r="E218" s="2">
        <f t="shared" si="25"/>
        <v>3</v>
      </c>
      <c r="F218" s="2" t="str">
        <f t="shared" si="31"/>
        <v>Mar</v>
      </c>
      <c r="G218" s="2" t="s">
        <v>30</v>
      </c>
      <c r="H218" s="2" t="s">
        <v>31</v>
      </c>
      <c r="I218" s="2" t="s">
        <v>18</v>
      </c>
      <c r="J218" s="2" t="s">
        <v>38</v>
      </c>
      <c r="K218" s="2" t="s">
        <v>36</v>
      </c>
      <c r="L218" s="2" t="s">
        <v>58</v>
      </c>
      <c r="M218" s="2">
        <v>8</v>
      </c>
      <c r="N218" s="4">
        <v>32.99</v>
      </c>
      <c r="O218" s="5">
        <v>0</v>
      </c>
      <c r="P218" s="4">
        <v>12.5</v>
      </c>
      <c r="Q218" s="4">
        <f t="shared" si="26"/>
        <v>263.92</v>
      </c>
      <c r="R218" s="4">
        <f t="shared" si="27"/>
        <v>100</v>
      </c>
      <c r="S218" s="4">
        <f t="shared" si="28"/>
        <v>163.92000000000002</v>
      </c>
      <c r="T218" s="6">
        <f t="shared" si="29"/>
        <v>0.6210973022127918</v>
      </c>
    </row>
    <row r="219" spans="1:20" x14ac:dyDescent="0.3">
      <c r="A219" s="2">
        <v>1161</v>
      </c>
      <c r="B219" s="3">
        <v>46100</v>
      </c>
      <c r="C219" s="2">
        <f t="shared" si="24"/>
        <v>2026</v>
      </c>
      <c r="D219" s="2">
        <f t="shared" si="30"/>
        <v>1</v>
      </c>
      <c r="E219" s="2">
        <f t="shared" si="25"/>
        <v>3</v>
      </c>
      <c r="F219" s="2" t="str">
        <f t="shared" si="31"/>
        <v>Mar</v>
      </c>
      <c r="G219" s="2" t="s">
        <v>41</v>
      </c>
      <c r="H219" s="2" t="s">
        <v>53</v>
      </c>
      <c r="I219" s="2" t="s">
        <v>18</v>
      </c>
      <c r="J219" s="2" t="s">
        <v>38</v>
      </c>
      <c r="K219" s="2" t="s">
        <v>20</v>
      </c>
      <c r="L219" s="2" t="s">
        <v>34</v>
      </c>
      <c r="M219" s="2">
        <v>6</v>
      </c>
      <c r="N219" s="4">
        <v>29.95</v>
      </c>
      <c r="O219" s="5">
        <v>0</v>
      </c>
      <c r="P219" s="4">
        <v>11.5</v>
      </c>
      <c r="Q219" s="4">
        <f t="shared" si="26"/>
        <v>179.7</v>
      </c>
      <c r="R219" s="4">
        <f t="shared" si="27"/>
        <v>69</v>
      </c>
      <c r="S219" s="4">
        <f t="shared" si="28"/>
        <v>110.69999999999999</v>
      </c>
      <c r="T219" s="6">
        <f t="shared" si="29"/>
        <v>0.61602671118530883</v>
      </c>
    </row>
    <row r="220" spans="1:20" x14ac:dyDescent="0.3">
      <c r="A220" s="2">
        <v>1171</v>
      </c>
      <c r="B220" s="3">
        <v>46100</v>
      </c>
      <c r="C220" s="2">
        <f t="shared" si="24"/>
        <v>2026</v>
      </c>
      <c r="D220" s="2">
        <f t="shared" si="30"/>
        <v>1</v>
      </c>
      <c r="E220" s="2">
        <f t="shared" si="25"/>
        <v>3</v>
      </c>
      <c r="F220" s="2" t="str">
        <f t="shared" si="31"/>
        <v>Mar</v>
      </c>
      <c r="G220" s="2" t="s">
        <v>48</v>
      </c>
      <c r="H220" s="2" t="s">
        <v>63</v>
      </c>
      <c r="I220" s="2" t="s">
        <v>33</v>
      </c>
      <c r="J220" s="2" t="s">
        <v>24</v>
      </c>
      <c r="K220" s="2" t="s">
        <v>20</v>
      </c>
      <c r="L220" s="2" t="s">
        <v>56</v>
      </c>
      <c r="M220" s="2">
        <v>5</v>
      </c>
      <c r="N220" s="4">
        <v>36.72</v>
      </c>
      <c r="O220" s="5">
        <v>0.1</v>
      </c>
      <c r="P220" s="4">
        <v>13.76</v>
      </c>
      <c r="Q220" s="4">
        <f t="shared" si="26"/>
        <v>165.24</v>
      </c>
      <c r="R220" s="4">
        <f t="shared" si="27"/>
        <v>68.8</v>
      </c>
      <c r="S220" s="4">
        <f t="shared" si="28"/>
        <v>96.440000000000012</v>
      </c>
      <c r="T220" s="6">
        <f t="shared" si="29"/>
        <v>0.58363592350520455</v>
      </c>
    </row>
    <row r="221" spans="1:20" x14ac:dyDescent="0.3">
      <c r="A221" s="2">
        <v>1358</v>
      </c>
      <c r="B221" s="3">
        <v>46100</v>
      </c>
      <c r="C221" s="2">
        <f t="shared" si="24"/>
        <v>2026</v>
      </c>
      <c r="D221" s="2">
        <f t="shared" si="30"/>
        <v>1</v>
      </c>
      <c r="E221" s="2">
        <f t="shared" si="25"/>
        <v>3</v>
      </c>
      <c r="F221" s="2" t="str">
        <f t="shared" si="31"/>
        <v>Mar</v>
      </c>
      <c r="G221" s="2" t="s">
        <v>41</v>
      </c>
      <c r="H221" s="2" t="s">
        <v>53</v>
      </c>
      <c r="I221" s="2" t="s">
        <v>23</v>
      </c>
      <c r="J221" s="2" t="s">
        <v>38</v>
      </c>
      <c r="K221" s="2" t="s">
        <v>25</v>
      </c>
      <c r="L221" s="2" t="s">
        <v>55</v>
      </c>
      <c r="M221" s="2">
        <v>11</v>
      </c>
      <c r="N221" s="4">
        <v>194.35</v>
      </c>
      <c r="O221" s="5">
        <v>0</v>
      </c>
      <c r="P221" s="4">
        <v>104.22</v>
      </c>
      <c r="Q221" s="4">
        <f t="shared" si="26"/>
        <v>2137.85</v>
      </c>
      <c r="R221" s="4">
        <f t="shared" si="27"/>
        <v>1146.42</v>
      </c>
      <c r="S221" s="4">
        <f t="shared" si="28"/>
        <v>991.42999999999984</v>
      </c>
      <c r="T221" s="6">
        <f t="shared" si="29"/>
        <v>0.46375096475430916</v>
      </c>
    </row>
    <row r="222" spans="1:20" x14ac:dyDescent="0.3">
      <c r="A222" s="2">
        <v>1377</v>
      </c>
      <c r="B222" s="3">
        <v>46101</v>
      </c>
      <c r="C222" s="2">
        <f t="shared" si="24"/>
        <v>2026</v>
      </c>
      <c r="D222" s="2">
        <f t="shared" si="30"/>
        <v>1</v>
      </c>
      <c r="E222" s="2">
        <f t="shared" si="25"/>
        <v>3</v>
      </c>
      <c r="F222" s="2" t="str">
        <f t="shared" si="31"/>
        <v>Mar</v>
      </c>
      <c r="G222" s="2" t="s">
        <v>16</v>
      </c>
      <c r="H222" s="2" t="s">
        <v>17</v>
      </c>
      <c r="I222" s="2" t="s">
        <v>18</v>
      </c>
      <c r="J222" s="2" t="s">
        <v>24</v>
      </c>
      <c r="K222" s="2" t="s">
        <v>36</v>
      </c>
      <c r="L222" s="2" t="s">
        <v>62</v>
      </c>
      <c r="M222" s="2">
        <v>7</v>
      </c>
      <c r="N222" s="4">
        <v>124.97</v>
      </c>
      <c r="O222" s="5">
        <v>0.1</v>
      </c>
      <c r="P222" s="4">
        <v>67.36</v>
      </c>
      <c r="Q222" s="4">
        <f t="shared" si="26"/>
        <v>787.31100000000004</v>
      </c>
      <c r="R222" s="4">
        <f t="shared" si="27"/>
        <v>471.52</v>
      </c>
      <c r="S222" s="4">
        <f t="shared" si="28"/>
        <v>315.79100000000005</v>
      </c>
      <c r="T222" s="6">
        <f t="shared" si="29"/>
        <v>0.40110070861451197</v>
      </c>
    </row>
    <row r="223" spans="1:20" x14ac:dyDescent="0.3">
      <c r="A223" s="2">
        <v>1053</v>
      </c>
      <c r="B223" s="3">
        <v>46102</v>
      </c>
      <c r="C223" s="2">
        <f t="shared" si="24"/>
        <v>2026</v>
      </c>
      <c r="D223" s="2">
        <f t="shared" si="30"/>
        <v>1</v>
      </c>
      <c r="E223" s="2">
        <f t="shared" si="25"/>
        <v>3</v>
      </c>
      <c r="F223" s="2" t="str">
        <f t="shared" si="31"/>
        <v>Mar</v>
      </c>
      <c r="G223" s="2" t="s">
        <v>30</v>
      </c>
      <c r="H223" s="2" t="s">
        <v>31</v>
      </c>
      <c r="I223" s="2" t="s">
        <v>23</v>
      </c>
      <c r="J223" s="2" t="s">
        <v>38</v>
      </c>
      <c r="K223" s="2" t="s">
        <v>25</v>
      </c>
      <c r="L223" s="2" t="s">
        <v>55</v>
      </c>
      <c r="M223" s="2">
        <v>9</v>
      </c>
      <c r="N223" s="4">
        <v>194.35</v>
      </c>
      <c r="O223" s="5">
        <v>0</v>
      </c>
      <c r="P223" s="4">
        <v>104.22</v>
      </c>
      <c r="Q223" s="4">
        <f t="shared" si="26"/>
        <v>1749.1499999999999</v>
      </c>
      <c r="R223" s="4">
        <f t="shared" si="27"/>
        <v>937.98</v>
      </c>
      <c r="S223" s="4">
        <f t="shared" si="28"/>
        <v>811.16999999999985</v>
      </c>
      <c r="T223" s="6">
        <f t="shared" si="29"/>
        <v>0.46375096475430916</v>
      </c>
    </row>
    <row r="224" spans="1:20" x14ac:dyDescent="0.3">
      <c r="A224" s="2">
        <v>1199</v>
      </c>
      <c r="B224" s="3">
        <v>46102</v>
      </c>
      <c r="C224" s="2">
        <f t="shared" si="24"/>
        <v>2026</v>
      </c>
      <c r="D224" s="2">
        <f t="shared" si="30"/>
        <v>1</v>
      </c>
      <c r="E224" s="2">
        <f t="shared" si="25"/>
        <v>3</v>
      </c>
      <c r="F224" s="2" t="str">
        <f t="shared" si="31"/>
        <v>Mar</v>
      </c>
      <c r="G224" s="2" t="s">
        <v>30</v>
      </c>
      <c r="H224" s="2" t="s">
        <v>46</v>
      </c>
      <c r="I224" s="2" t="s">
        <v>23</v>
      </c>
      <c r="J224" s="2" t="s">
        <v>38</v>
      </c>
      <c r="K224" s="2" t="s">
        <v>20</v>
      </c>
      <c r="L224" s="2" t="s">
        <v>56</v>
      </c>
      <c r="M224" s="2">
        <v>13</v>
      </c>
      <c r="N224" s="4">
        <v>36.72</v>
      </c>
      <c r="O224" s="5">
        <v>0.2</v>
      </c>
      <c r="P224" s="4">
        <v>13.76</v>
      </c>
      <c r="Q224" s="4">
        <f t="shared" si="26"/>
        <v>381.88800000000003</v>
      </c>
      <c r="R224" s="4">
        <f t="shared" si="27"/>
        <v>178.88</v>
      </c>
      <c r="S224" s="4">
        <f t="shared" si="28"/>
        <v>203.00800000000004</v>
      </c>
      <c r="T224" s="6">
        <f t="shared" si="29"/>
        <v>0.53159041394335516</v>
      </c>
    </row>
    <row r="225" spans="1:20" x14ac:dyDescent="0.3">
      <c r="A225" s="2">
        <v>1399</v>
      </c>
      <c r="B225" s="3">
        <v>46102</v>
      </c>
      <c r="C225" s="2">
        <f t="shared" si="24"/>
        <v>2026</v>
      </c>
      <c r="D225" s="2">
        <f t="shared" si="30"/>
        <v>1</v>
      </c>
      <c r="E225" s="2">
        <f t="shared" si="25"/>
        <v>3</v>
      </c>
      <c r="F225" s="2" t="str">
        <f t="shared" si="31"/>
        <v>Mar</v>
      </c>
      <c r="G225" s="2" t="s">
        <v>41</v>
      </c>
      <c r="H225" s="2" t="s">
        <v>59</v>
      </c>
      <c r="I225" s="2" t="s">
        <v>23</v>
      </c>
      <c r="J225" s="2" t="s">
        <v>24</v>
      </c>
      <c r="K225" s="2" t="s">
        <v>43</v>
      </c>
      <c r="L225" s="2" t="s">
        <v>57</v>
      </c>
      <c r="M225" s="2">
        <v>1</v>
      </c>
      <c r="N225" s="4">
        <v>82.06</v>
      </c>
      <c r="O225" s="5">
        <v>0</v>
      </c>
      <c r="P225" s="4">
        <v>42.94</v>
      </c>
      <c r="Q225" s="4">
        <f t="shared" si="26"/>
        <v>82.06</v>
      </c>
      <c r="R225" s="4">
        <f t="shared" si="27"/>
        <v>42.94</v>
      </c>
      <c r="S225" s="4">
        <f t="shared" si="28"/>
        <v>39.120000000000005</v>
      </c>
      <c r="T225" s="6">
        <f t="shared" si="29"/>
        <v>0.476724348038021</v>
      </c>
    </row>
    <row r="226" spans="1:20" x14ac:dyDescent="0.3">
      <c r="A226" s="2">
        <v>1297</v>
      </c>
      <c r="B226" s="3">
        <v>46103</v>
      </c>
      <c r="C226" s="2">
        <f t="shared" si="24"/>
        <v>2026</v>
      </c>
      <c r="D226" s="2">
        <f t="shared" si="30"/>
        <v>1</v>
      </c>
      <c r="E226" s="2">
        <f t="shared" si="25"/>
        <v>3</v>
      </c>
      <c r="F226" s="2" t="str">
        <f t="shared" si="31"/>
        <v>Mar</v>
      </c>
      <c r="G226" s="2" t="s">
        <v>16</v>
      </c>
      <c r="H226" s="2" t="s">
        <v>17</v>
      </c>
      <c r="I226" s="2" t="s">
        <v>33</v>
      </c>
      <c r="J226" s="2" t="s">
        <v>24</v>
      </c>
      <c r="K226" s="2" t="s">
        <v>36</v>
      </c>
      <c r="L226" s="2" t="s">
        <v>62</v>
      </c>
      <c r="M226" s="2">
        <v>13</v>
      </c>
      <c r="N226" s="4">
        <v>124.97</v>
      </c>
      <c r="O226" s="5">
        <v>0.2</v>
      </c>
      <c r="P226" s="4">
        <v>67.36</v>
      </c>
      <c r="Q226" s="4">
        <f t="shared" si="26"/>
        <v>1299.6880000000001</v>
      </c>
      <c r="R226" s="4">
        <f t="shared" si="27"/>
        <v>875.68</v>
      </c>
      <c r="S226" s="4">
        <f t="shared" si="28"/>
        <v>424.00800000000015</v>
      </c>
      <c r="T226" s="6">
        <f t="shared" si="29"/>
        <v>0.32623829719132602</v>
      </c>
    </row>
    <row r="227" spans="1:20" x14ac:dyDescent="0.3">
      <c r="A227" s="2">
        <v>1353</v>
      </c>
      <c r="B227" s="3">
        <v>46103</v>
      </c>
      <c r="C227" s="2">
        <f t="shared" si="24"/>
        <v>2026</v>
      </c>
      <c r="D227" s="2">
        <f t="shared" si="30"/>
        <v>1</v>
      </c>
      <c r="E227" s="2">
        <f t="shared" si="25"/>
        <v>3</v>
      </c>
      <c r="F227" s="2" t="str">
        <f t="shared" si="31"/>
        <v>Mar</v>
      </c>
      <c r="G227" s="2" t="s">
        <v>48</v>
      </c>
      <c r="H227" s="2" t="s">
        <v>49</v>
      </c>
      <c r="I227" s="2" t="s">
        <v>23</v>
      </c>
      <c r="J227" s="2" t="s">
        <v>24</v>
      </c>
      <c r="K227" s="2" t="s">
        <v>28</v>
      </c>
      <c r="L227" s="2" t="s">
        <v>29</v>
      </c>
      <c r="M227" s="2">
        <v>13</v>
      </c>
      <c r="N227" s="4">
        <v>54.75</v>
      </c>
      <c r="O227" s="5">
        <v>0</v>
      </c>
      <c r="P227" s="4">
        <v>24.3</v>
      </c>
      <c r="Q227" s="4">
        <f t="shared" si="26"/>
        <v>711.75</v>
      </c>
      <c r="R227" s="4">
        <f t="shared" si="27"/>
        <v>315.90000000000003</v>
      </c>
      <c r="S227" s="4">
        <f t="shared" si="28"/>
        <v>395.84999999999997</v>
      </c>
      <c r="T227" s="6">
        <f t="shared" si="29"/>
        <v>0.55616438356164377</v>
      </c>
    </row>
    <row r="228" spans="1:20" x14ac:dyDescent="0.3">
      <c r="A228" s="2">
        <v>1225</v>
      </c>
      <c r="B228" s="3">
        <v>46104</v>
      </c>
      <c r="C228" s="2">
        <f t="shared" si="24"/>
        <v>2026</v>
      </c>
      <c r="D228" s="2">
        <f t="shared" si="30"/>
        <v>1</v>
      </c>
      <c r="E228" s="2">
        <f t="shared" si="25"/>
        <v>3</v>
      </c>
      <c r="F228" s="2" t="str">
        <f t="shared" si="31"/>
        <v>Mar</v>
      </c>
      <c r="G228" s="2" t="s">
        <v>48</v>
      </c>
      <c r="H228" s="2" t="s">
        <v>66</v>
      </c>
      <c r="I228" s="2" t="s">
        <v>18</v>
      </c>
      <c r="J228" s="2" t="s">
        <v>38</v>
      </c>
      <c r="K228" s="2" t="s">
        <v>28</v>
      </c>
      <c r="L228" s="2" t="s">
        <v>39</v>
      </c>
      <c r="M228" s="2">
        <v>9</v>
      </c>
      <c r="N228" s="4">
        <v>153.38999999999999</v>
      </c>
      <c r="O228" s="5">
        <v>0.15</v>
      </c>
      <c r="P228" s="4">
        <v>78.59</v>
      </c>
      <c r="Q228" s="4">
        <f t="shared" si="26"/>
        <v>1173.4334999999999</v>
      </c>
      <c r="R228" s="4">
        <f t="shared" si="27"/>
        <v>707.31000000000006</v>
      </c>
      <c r="S228" s="4">
        <f t="shared" si="28"/>
        <v>466.12349999999981</v>
      </c>
      <c r="T228" s="6">
        <f t="shared" si="29"/>
        <v>0.39723043529948637</v>
      </c>
    </row>
    <row r="229" spans="1:20" x14ac:dyDescent="0.3">
      <c r="A229" s="2">
        <v>1312</v>
      </c>
      <c r="B229" s="3">
        <v>46104</v>
      </c>
      <c r="C229" s="2">
        <f t="shared" si="24"/>
        <v>2026</v>
      </c>
      <c r="D229" s="2">
        <f t="shared" si="30"/>
        <v>1</v>
      </c>
      <c r="E229" s="2">
        <f t="shared" si="25"/>
        <v>3</v>
      </c>
      <c r="F229" s="2" t="str">
        <f t="shared" si="31"/>
        <v>Mar</v>
      </c>
      <c r="G229" s="2" t="s">
        <v>48</v>
      </c>
      <c r="H229" s="2" t="s">
        <v>66</v>
      </c>
      <c r="I229" s="2" t="s">
        <v>27</v>
      </c>
      <c r="J229" s="2" t="s">
        <v>38</v>
      </c>
      <c r="K229" s="2" t="s">
        <v>36</v>
      </c>
      <c r="L229" s="2" t="s">
        <v>62</v>
      </c>
      <c r="M229" s="2">
        <v>6</v>
      </c>
      <c r="N229" s="4">
        <v>124.97</v>
      </c>
      <c r="O229" s="5">
        <v>0.1</v>
      </c>
      <c r="P229" s="4">
        <v>67.36</v>
      </c>
      <c r="Q229" s="4">
        <f t="shared" si="26"/>
        <v>674.83799999999997</v>
      </c>
      <c r="R229" s="4">
        <f t="shared" si="27"/>
        <v>404.15999999999997</v>
      </c>
      <c r="S229" s="4">
        <f t="shared" si="28"/>
        <v>270.678</v>
      </c>
      <c r="T229" s="6">
        <f t="shared" si="29"/>
        <v>0.40110070861451197</v>
      </c>
    </row>
    <row r="230" spans="1:20" x14ac:dyDescent="0.3">
      <c r="A230" s="2">
        <v>1395</v>
      </c>
      <c r="B230" s="3">
        <v>46104</v>
      </c>
      <c r="C230" s="2">
        <f t="shared" si="24"/>
        <v>2026</v>
      </c>
      <c r="D230" s="2">
        <f t="shared" si="30"/>
        <v>1</v>
      </c>
      <c r="E230" s="2">
        <f t="shared" si="25"/>
        <v>3</v>
      </c>
      <c r="F230" s="2" t="str">
        <f t="shared" si="31"/>
        <v>Mar</v>
      </c>
      <c r="G230" s="2" t="s">
        <v>41</v>
      </c>
      <c r="H230" s="2" t="s">
        <v>51</v>
      </c>
      <c r="I230" s="2" t="s">
        <v>27</v>
      </c>
      <c r="J230" s="2" t="s">
        <v>19</v>
      </c>
      <c r="K230" s="2" t="s">
        <v>20</v>
      </c>
      <c r="L230" s="2" t="s">
        <v>56</v>
      </c>
      <c r="M230" s="2">
        <v>13</v>
      </c>
      <c r="N230" s="4">
        <v>36.72</v>
      </c>
      <c r="O230" s="5">
        <v>0.1</v>
      </c>
      <c r="P230" s="4">
        <v>13.76</v>
      </c>
      <c r="Q230" s="4">
        <f t="shared" si="26"/>
        <v>429.62400000000002</v>
      </c>
      <c r="R230" s="4">
        <f t="shared" si="27"/>
        <v>178.88</v>
      </c>
      <c r="S230" s="4">
        <f t="shared" si="28"/>
        <v>250.74400000000003</v>
      </c>
      <c r="T230" s="6">
        <f t="shared" si="29"/>
        <v>0.58363592350520455</v>
      </c>
    </row>
    <row r="231" spans="1:20" x14ac:dyDescent="0.3">
      <c r="A231" s="2">
        <v>1100</v>
      </c>
      <c r="B231" s="3">
        <v>46105</v>
      </c>
      <c r="C231" s="2">
        <f t="shared" si="24"/>
        <v>2026</v>
      </c>
      <c r="D231" s="2">
        <f t="shared" si="30"/>
        <v>1</v>
      </c>
      <c r="E231" s="2">
        <f t="shared" si="25"/>
        <v>3</v>
      </c>
      <c r="F231" s="2" t="str">
        <f t="shared" si="31"/>
        <v>Mar</v>
      </c>
      <c r="G231" s="2" t="s">
        <v>48</v>
      </c>
      <c r="H231" s="2" t="s">
        <v>63</v>
      </c>
      <c r="I231" s="2" t="s">
        <v>18</v>
      </c>
      <c r="J231" s="2" t="s">
        <v>19</v>
      </c>
      <c r="K231" s="2" t="s">
        <v>43</v>
      </c>
      <c r="L231" s="2" t="s">
        <v>44</v>
      </c>
      <c r="M231" s="2">
        <v>11</v>
      </c>
      <c r="N231" s="4">
        <v>49.6</v>
      </c>
      <c r="O231" s="5">
        <v>0.15</v>
      </c>
      <c r="P231" s="4">
        <v>23.05</v>
      </c>
      <c r="Q231" s="4">
        <f t="shared" si="26"/>
        <v>463.76</v>
      </c>
      <c r="R231" s="4">
        <f t="shared" si="27"/>
        <v>253.55</v>
      </c>
      <c r="S231" s="4">
        <f t="shared" si="28"/>
        <v>210.20999999999998</v>
      </c>
      <c r="T231" s="6">
        <f t="shared" si="29"/>
        <v>0.45327324478178366</v>
      </c>
    </row>
    <row r="232" spans="1:20" x14ac:dyDescent="0.3">
      <c r="A232" s="2">
        <v>1145</v>
      </c>
      <c r="B232" s="3">
        <v>46105</v>
      </c>
      <c r="C232" s="2">
        <f t="shared" si="24"/>
        <v>2026</v>
      </c>
      <c r="D232" s="2">
        <f t="shared" si="30"/>
        <v>1</v>
      </c>
      <c r="E232" s="2">
        <f t="shared" si="25"/>
        <v>3</v>
      </c>
      <c r="F232" s="2" t="str">
        <f t="shared" si="31"/>
        <v>Mar</v>
      </c>
      <c r="G232" s="2" t="s">
        <v>41</v>
      </c>
      <c r="H232" s="2" t="s">
        <v>51</v>
      </c>
      <c r="I232" s="2" t="s">
        <v>27</v>
      </c>
      <c r="J232" s="2" t="s">
        <v>38</v>
      </c>
      <c r="K232" s="2" t="s">
        <v>28</v>
      </c>
      <c r="L232" s="2" t="s">
        <v>39</v>
      </c>
      <c r="M232" s="2">
        <v>10</v>
      </c>
      <c r="N232" s="4">
        <v>153.38999999999999</v>
      </c>
      <c r="O232" s="5">
        <v>0.2</v>
      </c>
      <c r="P232" s="4">
        <v>78.59</v>
      </c>
      <c r="Q232" s="4">
        <f t="shared" si="26"/>
        <v>1227.1199999999999</v>
      </c>
      <c r="R232" s="4">
        <f t="shared" si="27"/>
        <v>785.90000000000009</v>
      </c>
      <c r="S232" s="4">
        <f t="shared" si="28"/>
        <v>441.2199999999998</v>
      </c>
      <c r="T232" s="6">
        <f t="shared" si="29"/>
        <v>0.35955733750570429</v>
      </c>
    </row>
    <row r="233" spans="1:20" x14ac:dyDescent="0.3">
      <c r="A233" s="2">
        <v>1403</v>
      </c>
      <c r="B233" s="3">
        <v>46105</v>
      </c>
      <c r="C233" s="2">
        <f t="shared" si="24"/>
        <v>2026</v>
      </c>
      <c r="D233" s="2">
        <f t="shared" si="30"/>
        <v>1</v>
      </c>
      <c r="E233" s="2">
        <f t="shared" si="25"/>
        <v>3</v>
      </c>
      <c r="F233" s="2" t="str">
        <f t="shared" si="31"/>
        <v>Mar</v>
      </c>
      <c r="G233" s="2" t="s">
        <v>41</v>
      </c>
      <c r="H233" s="2" t="s">
        <v>53</v>
      </c>
      <c r="I233" s="2" t="s">
        <v>23</v>
      </c>
      <c r="J233" s="2" t="s">
        <v>19</v>
      </c>
      <c r="K233" s="2" t="s">
        <v>25</v>
      </c>
      <c r="L233" s="2" t="s">
        <v>60</v>
      </c>
      <c r="M233" s="2">
        <v>11</v>
      </c>
      <c r="N233" s="4">
        <v>81.260000000000005</v>
      </c>
      <c r="O233" s="5">
        <v>0.05</v>
      </c>
      <c r="P233" s="4">
        <v>39.119999999999997</v>
      </c>
      <c r="Q233" s="4">
        <f t="shared" si="26"/>
        <v>849.16700000000003</v>
      </c>
      <c r="R233" s="4">
        <f t="shared" si="27"/>
        <v>430.32</v>
      </c>
      <c r="S233" s="4">
        <f t="shared" si="28"/>
        <v>418.84700000000004</v>
      </c>
      <c r="T233" s="6">
        <f t="shared" si="29"/>
        <v>0.49324455613560114</v>
      </c>
    </row>
    <row r="234" spans="1:20" x14ac:dyDescent="0.3">
      <c r="A234" s="2">
        <v>1263</v>
      </c>
      <c r="B234" s="3">
        <v>46106</v>
      </c>
      <c r="C234" s="2">
        <f t="shared" si="24"/>
        <v>2026</v>
      </c>
      <c r="D234" s="2">
        <f t="shared" si="30"/>
        <v>1</v>
      </c>
      <c r="E234" s="2">
        <f t="shared" si="25"/>
        <v>3</v>
      </c>
      <c r="F234" s="2" t="str">
        <f t="shared" si="31"/>
        <v>Mar</v>
      </c>
      <c r="G234" s="2" t="s">
        <v>30</v>
      </c>
      <c r="H234" s="2" t="s">
        <v>35</v>
      </c>
      <c r="I234" s="2" t="s">
        <v>33</v>
      </c>
      <c r="J234" s="2" t="s">
        <v>24</v>
      </c>
      <c r="K234" s="2" t="s">
        <v>28</v>
      </c>
      <c r="L234" s="2" t="s">
        <v>29</v>
      </c>
      <c r="M234" s="2">
        <v>2</v>
      </c>
      <c r="N234" s="4">
        <v>54.75</v>
      </c>
      <c r="O234" s="5">
        <v>0.15</v>
      </c>
      <c r="P234" s="4">
        <v>24.3</v>
      </c>
      <c r="Q234" s="4">
        <f t="shared" si="26"/>
        <v>93.075000000000003</v>
      </c>
      <c r="R234" s="4">
        <f t="shared" si="27"/>
        <v>48.6</v>
      </c>
      <c r="S234" s="4">
        <f t="shared" si="28"/>
        <v>44.475000000000001</v>
      </c>
      <c r="T234" s="6">
        <f t="shared" si="29"/>
        <v>0.47784045124899277</v>
      </c>
    </row>
    <row r="235" spans="1:20" x14ac:dyDescent="0.3">
      <c r="A235" s="2">
        <v>1381</v>
      </c>
      <c r="B235" s="3">
        <v>46106</v>
      </c>
      <c r="C235" s="2">
        <f t="shared" si="24"/>
        <v>2026</v>
      </c>
      <c r="D235" s="2">
        <f t="shared" si="30"/>
        <v>1</v>
      </c>
      <c r="E235" s="2">
        <f t="shared" si="25"/>
        <v>3</v>
      </c>
      <c r="F235" s="2" t="str">
        <f t="shared" si="31"/>
        <v>Mar</v>
      </c>
      <c r="G235" s="2" t="s">
        <v>48</v>
      </c>
      <c r="H235" s="2" t="s">
        <v>66</v>
      </c>
      <c r="I235" s="2" t="s">
        <v>23</v>
      </c>
      <c r="J235" s="2" t="s">
        <v>19</v>
      </c>
      <c r="K235" s="2" t="s">
        <v>20</v>
      </c>
      <c r="L235" s="2" t="s">
        <v>21</v>
      </c>
      <c r="M235" s="2">
        <v>2</v>
      </c>
      <c r="N235" s="4">
        <v>46.99</v>
      </c>
      <c r="O235" s="5">
        <v>0</v>
      </c>
      <c r="P235" s="4">
        <v>18.11</v>
      </c>
      <c r="Q235" s="4">
        <f t="shared" si="26"/>
        <v>93.98</v>
      </c>
      <c r="R235" s="4">
        <f t="shared" si="27"/>
        <v>36.22</v>
      </c>
      <c r="S235" s="4">
        <f t="shared" si="28"/>
        <v>57.760000000000005</v>
      </c>
      <c r="T235" s="6">
        <f t="shared" si="29"/>
        <v>0.61459885081932331</v>
      </c>
    </row>
    <row r="236" spans="1:20" x14ac:dyDescent="0.3">
      <c r="A236" s="2">
        <v>1048</v>
      </c>
      <c r="B236" s="3">
        <v>46107</v>
      </c>
      <c r="C236" s="2">
        <f t="shared" si="24"/>
        <v>2026</v>
      </c>
      <c r="D236" s="2">
        <f t="shared" si="30"/>
        <v>1</v>
      </c>
      <c r="E236" s="2">
        <f t="shared" si="25"/>
        <v>3</v>
      </c>
      <c r="F236" s="2" t="str">
        <f t="shared" si="31"/>
        <v>Mar</v>
      </c>
      <c r="G236" s="2" t="s">
        <v>48</v>
      </c>
      <c r="H236" s="2" t="s">
        <v>63</v>
      </c>
      <c r="I236" s="2" t="s">
        <v>33</v>
      </c>
      <c r="J236" s="2" t="s">
        <v>19</v>
      </c>
      <c r="K236" s="2" t="s">
        <v>20</v>
      </c>
      <c r="L236" s="2" t="s">
        <v>34</v>
      </c>
      <c r="M236" s="2">
        <v>11</v>
      </c>
      <c r="N236" s="4">
        <v>29.95</v>
      </c>
      <c r="O236" s="5">
        <v>0.15</v>
      </c>
      <c r="P236" s="4">
        <v>11.5</v>
      </c>
      <c r="Q236" s="4">
        <f t="shared" si="26"/>
        <v>280.03249999999997</v>
      </c>
      <c r="R236" s="4">
        <f t="shared" si="27"/>
        <v>126.5</v>
      </c>
      <c r="S236" s="4">
        <f t="shared" si="28"/>
        <v>153.53249999999997</v>
      </c>
      <c r="T236" s="6">
        <f t="shared" si="29"/>
        <v>0.54826671904153979</v>
      </c>
    </row>
    <row r="237" spans="1:20" x14ac:dyDescent="0.3">
      <c r="A237" s="2">
        <v>1179</v>
      </c>
      <c r="B237" s="3">
        <v>46107</v>
      </c>
      <c r="C237" s="2">
        <f t="shared" si="24"/>
        <v>2026</v>
      </c>
      <c r="D237" s="2">
        <f t="shared" si="30"/>
        <v>1</v>
      </c>
      <c r="E237" s="2">
        <f t="shared" si="25"/>
        <v>3</v>
      </c>
      <c r="F237" s="2" t="str">
        <f t="shared" si="31"/>
        <v>Mar</v>
      </c>
      <c r="G237" s="2" t="s">
        <v>41</v>
      </c>
      <c r="H237" s="2" t="s">
        <v>51</v>
      </c>
      <c r="I237" s="2" t="s">
        <v>27</v>
      </c>
      <c r="J237" s="2" t="s">
        <v>24</v>
      </c>
      <c r="K237" s="2" t="s">
        <v>25</v>
      </c>
      <c r="L237" s="2" t="s">
        <v>55</v>
      </c>
      <c r="M237" s="2">
        <v>1</v>
      </c>
      <c r="N237" s="4">
        <v>194.35</v>
      </c>
      <c r="O237" s="5">
        <v>0.05</v>
      </c>
      <c r="P237" s="4">
        <v>104.22</v>
      </c>
      <c r="Q237" s="4">
        <f t="shared" si="26"/>
        <v>184.63249999999999</v>
      </c>
      <c r="R237" s="4">
        <f t="shared" si="27"/>
        <v>104.22</v>
      </c>
      <c r="S237" s="4">
        <f t="shared" si="28"/>
        <v>80.412499999999994</v>
      </c>
      <c r="T237" s="6">
        <f t="shared" si="29"/>
        <v>0.43552733132032551</v>
      </c>
    </row>
    <row r="238" spans="1:20" x14ac:dyDescent="0.3">
      <c r="A238" s="2">
        <v>1449</v>
      </c>
      <c r="B238" s="3">
        <v>46107</v>
      </c>
      <c r="C238" s="2">
        <f t="shared" si="24"/>
        <v>2026</v>
      </c>
      <c r="D238" s="2">
        <f t="shared" si="30"/>
        <v>1</v>
      </c>
      <c r="E238" s="2">
        <f t="shared" si="25"/>
        <v>3</v>
      </c>
      <c r="F238" s="2" t="str">
        <f t="shared" si="31"/>
        <v>Mar</v>
      </c>
      <c r="G238" s="2" t="s">
        <v>48</v>
      </c>
      <c r="H238" s="2" t="s">
        <v>49</v>
      </c>
      <c r="I238" s="2" t="s">
        <v>33</v>
      </c>
      <c r="J238" s="2" t="s">
        <v>24</v>
      </c>
      <c r="K238" s="2" t="s">
        <v>36</v>
      </c>
      <c r="L238" s="2" t="s">
        <v>37</v>
      </c>
      <c r="M238" s="2">
        <v>8</v>
      </c>
      <c r="N238" s="4">
        <v>35.78</v>
      </c>
      <c r="O238" s="5">
        <v>0</v>
      </c>
      <c r="P238" s="4">
        <v>13.84</v>
      </c>
      <c r="Q238" s="4">
        <f t="shared" si="26"/>
        <v>286.24</v>
      </c>
      <c r="R238" s="4">
        <f t="shared" si="27"/>
        <v>110.72</v>
      </c>
      <c r="S238" s="4">
        <f t="shared" si="28"/>
        <v>175.52</v>
      </c>
      <c r="T238" s="6">
        <f t="shared" si="29"/>
        <v>0.61319172722191173</v>
      </c>
    </row>
    <row r="239" spans="1:20" x14ac:dyDescent="0.3">
      <c r="A239" s="2">
        <v>1484</v>
      </c>
      <c r="B239" s="3">
        <v>46107</v>
      </c>
      <c r="C239" s="2">
        <f t="shared" si="24"/>
        <v>2026</v>
      </c>
      <c r="D239" s="2">
        <f t="shared" si="30"/>
        <v>1</v>
      </c>
      <c r="E239" s="2">
        <f t="shared" si="25"/>
        <v>3</v>
      </c>
      <c r="F239" s="2" t="str">
        <f t="shared" si="31"/>
        <v>Mar</v>
      </c>
      <c r="G239" s="2" t="s">
        <v>30</v>
      </c>
      <c r="H239" s="2" t="s">
        <v>31</v>
      </c>
      <c r="I239" s="2" t="s">
        <v>23</v>
      </c>
      <c r="J239" s="2" t="s">
        <v>24</v>
      </c>
      <c r="K239" s="2" t="s">
        <v>25</v>
      </c>
      <c r="L239" s="2" t="s">
        <v>26</v>
      </c>
      <c r="M239" s="2">
        <v>2</v>
      </c>
      <c r="N239" s="4">
        <v>347.51</v>
      </c>
      <c r="O239" s="5">
        <v>0.2</v>
      </c>
      <c r="P239" s="4">
        <v>190.16</v>
      </c>
      <c r="Q239" s="4">
        <f t="shared" si="26"/>
        <v>556.01599999999996</v>
      </c>
      <c r="R239" s="4">
        <f t="shared" si="27"/>
        <v>380.32</v>
      </c>
      <c r="S239" s="4">
        <f t="shared" si="28"/>
        <v>175.69599999999997</v>
      </c>
      <c r="T239" s="6">
        <f t="shared" si="29"/>
        <v>0.31599090673649677</v>
      </c>
    </row>
    <row r="240" spans="1:20" x14ac:dyDescent="0.3">
      <c r="A240" s="2">
        <v>1197</v>
      </c>
      <c r="B240" s="3">
        <v>46109</v>
      </c>
      <c r="C240" s="2">
        <f t="shared" si="24"/>
        <v>2026</v>
      </c>
      <c r="D240" s="2">
        <f t="shared" si="30"/>
        <v>1</v>
      </c>
      <c r="E240" s="2">
        <f t="shared" si="25"/>
        <v>3</v>
      </c>
      <c r="F240" s="2" t="str">
        <f t="shared" si="31"/>
        <v>Mar</v>
      </c>
      <c r="G240" s="2" t="s">
        <v>41</v>
      </c>
      <c r="H240" s="2" t="s">
        <v>59</v>
      </c>
      <c r="I240" s="2" t="s">
        <v>18</v>
      </c>
      <c r="J240" s="2" t="s">
        <v>19</v>
      </c>
      <c r="K240" s="2" t="s">
        <v>25</v>
      </c>
      <c r="L240" s="2" t="s">
        <v>54</v>
      </c>
      <c r="M240" s="2">
        <v>13</v>
      </c>
      <c r="N240" s="4">
        <v>41.22</v>
      </c>
      <c r="O240" s="5">
        <v>0</v>
      </c>
      <c r="P240" s="4">
        <v>16.64</v>
      </c>
      <c r="Q240" s="4">
        <f t="shared" si="26"/>
        <v>535.86</v>
      </c>
      <c r="R240" s="4">
        <f t="shared" si="27"/>
        <v>216.32</v>
      </c>
      <c r="S240" s="4">
        <f t="shared" si="28"/>
        <v>319.54000000000002</v>
      </c>
      <c r="T240" s="6">
        <f t="shared" si="29"/>
        <v>0.59631246967491514</v>
      </c>
    </row>
    <row r="241" spans="1:20" x14ac:dyDescent="0.3">
      <c r="A241" s="2">
        <v>1477</v>
      </c>
      <c r="B241" s="3">
        <v>46109</v>
      </c>
      <c r="C241" s="2">
        <f t="shared" si="24"/>
        <v>2026</v>
      </c>
      <c r="D241" s="2">
        <f t="shared" si="30"/>
        <v>1</v>
      </c>
      <c r="E241" s="2">
        <f t="shared" si="25"/>
        <v>3</v>
      </c>
      <c r="F241" s="2" t="str">
        <f t="shared" si="31"/>
        <v>Mar</v>
      </c>
      <c r="G241" s="2" t="s">
        <v>16</v>
      </c>
      <c r="H241" s="2" t="s">
        <v>32</v>
      </c>
      <c r="I241" s="2" t="s">
        <v>33</v>
      </c>
      <c r="J241" s="2" t="s">
        <v>24</v>
      </c>
      <c r="K241" s="2" t="s">
        <v>28</v>
      </c>
      <c r="L241" s="2" t="s">
        <v>29</v>
      </c>
      <c r="M241" s="2">
        <v>6</v>
      </c>
      <c r="N241" s="4">
        <v>54.75</v>
      </c>
      <c r="O241" s="5">
        <v>0.2</v>
      </c>
      <c r="P241" s="4">
        <v>24.3</v>
      </c>
      <c r="Q241" s="4">
        <f t="shared" si="26"/>
        <v>262.8</v>
      </c>
      <c r="R241" s="4">
        <f t="shared" si="27"/>
        <v>145.80000000000001</v>
      </c>
      <c r="S241" s="4">
        <f t="shared" si="28"/>
        <v>117</v>
      </c>
      <c r="T241" s="6">
        <f t="shared" si="29"/>
        <v>0.4452054794520548</v>
      </c>
    </row>
    <row r="242" spans="1:20" x14ac:dyDescent="0.3">
      <c r="A242" s="2">
        <v>1040</v>
      </c>
      <c r="B242" s="3">
        <v>46110</v>
      </c>
      <c r="C242" s="2">
        <f t="shared" si="24"/>
        <v>2026</v>
      </c>
      <c r="D242" s="2">
        <f t="shared" si="30"/>
        <v>1</v>
      </c>
      <c r="E242" s="2">
        <f t="shared" si="25"/>
        <v>3</v>
      </c>
      <c r="F242" s="2" t="str">
        <f t="shared" si="31"/>
        <v>Mar</v>
      </c>
      <c r="G242" s="2" t="s">
        <v>41</v>
      </c>
      <c r="H242" s="2" t="s">
        <v>42</v>
      </c>
      <c r="I242" s="2" t="s">
        <v>18</v>
      </c>
      <c r="J242" s="2" t="s">
        <v>19</v>
      </c>
      <c r="K242" s="2" t="s">
        <v>36</v>
      </c>
      <c r="L242" s="2" t="s">
        <v>58</v>
      </c>
      <c r="M242" s="2">
        <v>5</v>
      </c>
      <c r="N242" s="4">
        <v>32.99</v>
      </c>
      <c r="O242" s="5">
        <v>0</v>
      </c>
      <c r="P242" s="4">
        <v>12.5</v>
      </c>
      <c r="Q242" s="4">
        <f t="shared" si="26"/>
        <v>164.95000000000002</v>
      </c>
      <c r="R242" s="4">
        <f t="shared" si="27"/>
        <v>62.5</v>
      </c>
      <c r="S242" s="4">
        <f t="shared" si="28"/>
        <v>102.45000000000002</v>
      </c>
      <c r="T242" s="6">
        <f t="shared" si="29"/>
        <v>0.6210973022127918</v>
      </c>
    </row>
    <row r="243" spans="1:20" x14ac:dyDescent="0.3">
      <c r="A243" s="2">
        <v>1300</v>
      </c>
      <c r="B243" s="3">
        <v>46110</v>
      </c>
      <c r="C243" s="2">
        <f t="shared" si="24"/>
        <v>2026</v>
      </c>
      <c r="D243" s="2">
        <f t="shared" si="30"/>
        <v>1</v>
      </c>
      <c r="E243" s="2">
        <f t="shared" si="25"/>
        <v>3</v>
      </c>
      <c r="F243" s="2" t="str">
        <f t="shared" si="31"/>
        <v>Mar</v>
      </c>
      <c r="G243" s="2" t="s">
        <v>30</v>
      </c>
      <c r="H243" s="2" t="s">
        <v>31</v>
      </c>
      <c r="I243" s="2" t="s">
        <v>33</v>
      </c>
      <c r="J243" s="2" t="s">
        <v>24</v>
      </c>
      <c r="K243" s="2" t="s">
        <v>43</v>
      </c>
      <c r="L243" s="2" t="s">
        <v>50</v>
      </c>
      <c r="M243" s="2">
        <v>13</v>
      </c>
      <c r="N243" s="4">
        <v>100.12</v>
      </c>
      <c r="O243" s="5">
        <v>0.1</v>
      </c>
      <c r="P243" s="4">
        <v>49.67</v>
      </c>
      <c r="Q243" s="4">
        <f t="shared" si="26"/>
        <v>1171.404</v>
      </c>
      <c r="R243" s="4">
        <f t="shared" si="27"/>
        <v>645.71</v>
      </c>
      <c r="S243" s="4">
        <f t="shared" si="28"/>
        <v>525.69399999999996</v>
      </c>
      <c r="T243" s="6">
        <f t="shared" si="29"/>
        <v>0.44877258401029874</v>
      </c>
    </row>
    <row r="244" spans="1:20" x14ac:dyDescent="0.3">
      <c r="A244" s="2">
        <v>1472</v>
      </c>
      <c r="B244" s="3">
        <v>46110</v>
      </c>
      <c r="C244" s="2">
        <f t="shared" si="24"/>
        <v>2026</v>
      </c>
      <c r="D244" s="2">
        <f t="shared" si="30"/>
        <v>1</v>
      </c>
      <c r="E244" s="2">
        <f t="shared" si="25"/>
        <v>3</v>
      </c>
      <c r="F244" s="2" t="str">
        <f t="shared" si="31"/>
        <v>Mar</v>
      </c>
      <c r="G244" s="2" t="s">
        <v>41</v>
      </c>
      <c r="H244" s="2" t="s">
        <v>51</v>
      </c>
      <c r="I244" s="2" t="s">
        <v>33</v>
      </c>
      <c r="J244" s="2" t="s">
        <v>19</v>
      </c>
      <c r="K244" s="2" t="s">
        <v>25</v>
      </c>
      <c r="L244" s="2" t="s">
        <v>60</v>
      </c>
      <c r="M244" s="2">
        <v>8</v>
      </c>
      <c r="N244" s="4">
        <v>81.260000000000005</v>
      </c>
      <c r="O244" s="5">
        <v>0.05</v>
      </c>
      <c r="P244" s="4">
        <v>39.119999999999997</v>
      </c>
      <c r="Q244" s="4">
        <f t="shared" si="26"/>
        <v>617.57600000000002</v>
      </c>
      <c r="R244" s="4">
        <f t="shared" si="27"/>
        <v>312.95999999999998</v>
      </c>
      <c r="S244" s="4">
        <f t="shared" si="28"/>
        <v>304.61600000000004</v>
      </c>
      <c r="T244" s="6">
        <f t="shared" si="29"/>
        <v>0.4932445561356012</v>
      </c>
    </row>
    <row r="245" spans="1:20" x14ac:dyDescent="0.3">
      <c r="A245" s="2">
        <v>1485</v>
      </c>
      <c r="B245" s="3">
        <v>46110</v>
      </c>
      <c r="C245" s="2">
        <f t="shared" si="24"/>
        <v>2026</v>
      </c>
      <c r="D245" s="2">
        <f t="shared" si="30"/>
        <v>1</v>
      </c>
      <c r="E245" s="2">
        <f t="shared" si="25"/>
        <v>3</v>
      </c>
      <c r="F245" s="2" t="str">
        <f t="shared" si="31"/>
        <v>Mar</v>
      </c>
      <c r="G245" s="2" t="s">
        <v>48</v>
      </c>
      <c r="H245" s="2" t="s">
        <v>49</v>
      </c>
      <c r="I245" s="2" t="s">
        <v>18</v>
      </c>
      <c r="J245" s="2" t="s">
        <v>24</v>
      </c>
      <c r="K245" s="2" t="s">
        <v>36</v>
      </c>
      <c r="L245" s="2" t="s">
        <v>37</v>
      </c>
      <c r="M245" s="2">
        <v>12</v>
      </c>
      <c r="N245" s="4">
        <v>35.78</v>
      </c>
      <c r="O245" s="5">
        <v>0</v>
      </c>
      <c r="P245" s="4">
        <v>13.84</v>
      </c>
      <c r="Q245" s="4">
        <f t="shared" si="26"/>
        <v>429.36</v>
      </c>
      <c r="R245" s="4">
        <f t="shared" si="27"/>
        <v>166.07999999999998</v>
      </c>
      <c r="S245" s="4">
        <f t="shared" si="28"/>
        <v>263.28000000000003</v>
      </c>
      <c r="T245" s="6">
        <f t="shared" si="29"/>
        <v>0.61319172722191173</v>
      </c>
    </row>
    <row r="246" spans="1:20" x14ac:dyDescent="0.3">
      <c r="A246" s="2">
        <v>1212</v>
      </c>
      <c r="B246" s="3">
        <v>46111</v>
      </c>
      <c r="C246" s="2">
        <f t="shared" si="24"/>
        <v>2026</v>
      </c>
      <c r="D246" s="2">
        <f t="shared" si="30"/>
        <v>1</v>
      </c>
      <c r="E246" s="2">
        <f t="shared" si="25"/>
        <v>3</v>
      </c>
      <c r="F246" s="2" t="str">
        <f t="shared" si="31"/>
        <v>Mar</v>
      </c>
      <c r="G246" s="2" t="s">
        <v>16</v>
      </c>
      <c r="H246" s="2" t="s">
        <v>22</v>
      </c>
      <c r="I246" s="2" t="s">
        <v>23</v>
      </c>
      <c r="J246" s="2" t="s">
        <v>19</v>
      </c>
      <c r="K246" s="2" t="s">
        <v>36</v>
      </c>
      <c r="L246" s="2" t="s">
        <v>37</v>
      </c>
      <c r="M246" s="2">
        <v>15</v>
      </c>
      <c r="N246" s="4">
        <v>35.78</v>
      </c>
      <c r="O246" s="5">
        <v>0.05</v>
      </c>
      <c r="P246" s="4">
        <v>13.84</v>
      </c>
      <c r="Q246" s="4">
        <f t="shared" si="26"/>
        <v>509.86500000000001</v>
      </c>
      <c r="R246" s="4">
        <f t="shared" si="27"/>
        <v>207.6</v>
      </c>
      <c r="S246" s="4">
        <f t="shared" si="28"/>
        <v>302.26499999999999</v>
      </c>
      <c r="T246" s="6">
        <f t="shared" si="29"/>
        <v>0.59283339707569649</v>
      </c>
    </row>
    <row r="247" spans="1:20" x14ac:dyDescent="0.3">
      <c r="A247" s="2">
        <v>1266</v>
      </c>
      <c r="B247" s="3">
        <v>46111</v>
      </c>
      <c r="C247" s="2">
        <f t="shared" si="24"/>
        <v>2026</v>
      </c>
      <c r="D247" s="2">
        <f t="shared" si="30"/>
        <v>1</v>
      </c>
      <c r="E247" s="2">
        <f t="shared" si="25"/>
        <v>3</v>
      </c>
      <c r="F247" s="2" t="str">
        <f t="shared" si="31"/>
        <v>Mar</v>
      </c>
      <c r="G247" s="2" t="s">
        <v>16</v>
      </c>
      <c r="H247" s="2" t="s">
        <v>22</v>
      </c>
      <c r="I247" s="2" t="s">
        <v>18</v>
      </c>
      <c r="J247" s="2" t="s">
        <v>38</v>
      </c>
      <c r="K247" s="2" t="s">
        <v>43</v>
      </c>
      <c r="L247" s="2" t="s">
        <v>57</v>
      </c>
      <c r="M247" s="2">
        <v>15</v>
      </c>
      <c r="N247" s="4">
        <v>82.06</v>
      </c>
      <c r="O247" s="5">
        <v>0.1</v>
      </c>
      <c r="P247" s="4">
        <v>42.94</v>
      </c>
      <c r="Q247" s="4">
        <f t="shared" si="26"/>
        <v>1107.8100000000002</v>
      </c>
      <c r="R247" s="4">
        <f t="shared" si="27"/>
        <v>644.09999999999991</v>
      </c>
      <c r="S247" s="4">
        <f t="shared" si="28"/>
        <v>463.71000000000026</v>
      </c>
      <c r="T247" s="6">
        <f t="shared" si="29"/>
        <v>0.41858260893113458</v>
      </c>
    </row>
    <row r="248" spans="1:20" x14ac:dyDescent="0.3">
      <c r="A248" s="2">
        <v>1410</v>
      </c>
      <c r="B248" s="3">
        <v>46112</v>
      </c>
      <c r="C248" s="2">
        <f t="shared" si="24"/>
        <v>2026</v>
      </c>
      <c r="D248" s="2">
        <f t="shared" si="30"/>
        <v>1</v>
      </c>
      <c r="E248" s="2">
        <f t="shared" si="25"/>
        <v>3</v>
      </c>
      <c r="F248" s="2" t="str">
        <f t="shared" si="31"/>
        <v>Mar</v>
      </c>
      <c r="G248" s="2" t="s">
        <v>30</v>
      </c>
      <c r="H248" s="2" t="s">
        <v>35</v>
      </c>
      <c r="I248" s="2" t="s">
        <v>18</v>
      </c>
      <c r="J248" s="2" t="s">
        <v>24</v>
      </c>
      <c r="K248" s="2" t="s">
        <v>25</v>
      </c>
      <c r="L248" s="2" t="s">
        <v>54</v>
      </c>
      <c r="M248" s="2">
        <v>3</v>
      </c>
      <c r="N248" s="4">
        <v>41.22</v>
      </c>
      <c r="O248" s="5">
        <v>0.1</v>
      </c>
      <c r="P248" s="4">
        <v>16.64</v>
      </c>
      <c r="Q248" s="4">
        <f t="shared" si="26"/>
        <v>111.294</v>
      </c>
      <c r="R248" s="4">
        <f t="shared" si="27"/>
        <v>49.92</v>
      </c>
      <c r="S248" s="4">
        <f t="shared" si="28"/>
        <v>61.373999999999995</v>
      </c>
      <c r="T248" s="6">
        <f t="shared" si="29"/>
        <v>0.55145829963879456</v>
      </c>
    </row>
    <row r="249" spans="1:20" x14ac:dyDescent="0.3">
      <c r="A249" s="2">
        <v>1044</v>
      </c>
      <c r="B249" s="3">
        <v>46114</v>
      </c>
      <c r="C249" s="2">
        <f t="shared" si="24"/>
        <v>2026</v>
      </c>
      <c r="D249" s="2">
        <f t="shared" si="30"/>
        <v>2</v>
      </c>
      <c r="E249" s="2">
        <f t="shared" si="25"/>
        <v>4</v>
      </c>
      <c r="F249" s="2" t="str">
        <f t="shared" si="31"/>
        <v>Apr</v>
      </c>
      <c r="G249" s="2" t="s">
        <v>41</v>
      </c>
      <c r="H249" s="2" t="s">
        <v>53</v>
      </c>
      <c r="I249" s="2" t="s">
        <v>33</v>
      </c>
      <c r="J249" s="2" t="s">
        <v>19</v>
      </c>
      <c r="K249" s="2" t="s">
        <v>43</v>
      </c>
      <c r="L249" s="2" t="s">
        <v>50</v>
      </c>
      <c r="M249" s="2">
        <v>13</v>
      </c>
      <c r="N249" s="4">
        <v>100.12</v>
      </c>
      <c r="O249" s="5">
        <v>0.15</v>
      </c>
      <c r="P249" s="4">
        <v>49.67</v>
      </c>
      <c r="Q249" s="4">
        <f t="shared" si="26"/>
        <v>1106.326</v>
      </c>
      <c r="R249" s="4">
        <f t="shared" si="27"/>
        <v>645.71</v>
      </c>
      <c r="S249" s="4">
        <f t="shared" si="28"/>
        <v>460.61599999999999</v>
      </c>
      <c r="T249" s="6">
        <f t="shared" si="29"/>
        <v>0.41634744189325751</v>
      </c>
    </row>
    <row r="250" spans="1:20" x14ac:dyDescent="0.3">
      <c r="A250" s="2">
        <v>1141</v>
      </c>
      <c r="B250" s="3">
        <v>46114</v>
      </c>
      <c r="C250" s="2">
        <f t="shared" si="24"/>
        <v>2026</v>
      </c>
      <c r="D250" s="2">
        <f t="shared" si="30"/>
        <v>2</v>
      </c>
      <c r="E250" s="2">
        <f t="shared" si="25"/>
        <v>4</v>
      </c>
      <c r="F250" s="2" t="str">
        <f t="shared" si="31"/>
        <v>Apr</v>
      </c>
      <c r="G250" s="2" t="s">
        <v>41</v>
      </c>
      <c r="H250" s="2" t="s">
        <v>42</v>
      </c>
      <c r="I250" s="2" t="s">
        <v>23</v>
      </c>
      <c r="J250" s="2" t="s">
        <v>19</v>
      </c>
      <c r="K250" s="2" t="s">
        <v>43</v>
      </c>
      <c r="L250" s="2" t="s">
        <v>44</v>
      </c>
      <c r="M250" s="2">
        <v>5</v>
      </c>
      <c r="N250" s="4">
        <v>49.6</v>
      </c>
      <c r="O250" s="5">
        <v>0</v>
      </c>
      <c r="P250" s="4">
        <v>23.05</v>
      </c>
      <c r="Q250" s="4">
        <f t="shared" si="26"/>
        <v>248</v>
      </c>
      <c r="R250" s="4">
        <f t="shared" si="27"/>
        <v>115.25</v>
      </c>
      <c r="S250" s="4">
        <f t="shared" si="28"/>
        <v>132.75</v>
      </c>
      <c r="T250" s="6">
        <f t="shared" si="29"/>
        <v>0.53528225806451613</v>
      </c>
    </row>
    <row r="251" spans="1:20" x14ac:dyDescent="0.3">
      <c r="A251" s="2">
        <v>1200</v>
      </c>
      <c r="B251" s="3">
        <v>46114</v>
      </c>
      <c r="C251" s="2">
        <f t="shared" si="24"/>
        <v>2026</v>
      </c>
      <c r="D251" s="2">
        <f t="shared" si="30"/>
        <v>2</v>
      </c>
      <c r="E251" s="2">
        <f t="shared" si="25"/>
        <v>4</v>
      </c>
      <c r="F251" s="2" t="str">
        <f t="shared" si="31"/>
        <v>Apr</v>
      </c>
      <c r="G251" s="2" t="s">
        <v>16</v>
      </c>
      <c r="H251" s="2" t="s">
        <v>22</v>
      </c>
      <c r="I251" s="2" t="s">
        <v>33</v>
      </c>
      <c r="J251" s="2" t="s">
        <v>38</v>
      </c>
      <c r="K251" s="2" t="s">
        <v>20</v>
      </c>
      <c r="L251" s="2" t="s">
        <v>34</v>
      </c>
      <c r="M251" s="2">
        <v>2</v>
      </c>
      <c r="N251" s="4">
        <v>29.95</v>
      </c>
      <c r="O251" s="5">
        <v>0.05</v>
      </c>
      <c r="P251" s="4">
        <v>11.5</v>
      </c>
      <c r="Q251" s="4">
        <f t="shared" si="26"/>
        <v>56.904999999999994</v>
      </c>
      <c r="R251" s="4">
        <f t="shared" si="27"/>
        <v>23</v>
      </c>
      <c r="S251" s="4">
        <f t="shared" si="28"/>
        <v>33.904999999999994</v>
      </c>
      <c r="T251" s="6">
        <f t="shared" si="29"/>
        <v>0.59581759072137774</v>
      </c>
    </row>
    <row r="252" spans="1:20" x14ac:dyDescent="0.3">
      <c r="A252" s="2">
        <v>1301</v>
      </c>
      <c r="B252" s="3">
        <v>46114</v>
      </c>
      <c r="C252" s="2">
        <f t="shared" si="24"/>
        <v>2026</v>
      </c>
      <c r="D252" s="2">
        <f t="shared" si="30"/>
        <v>2</v>
      </c>
      <c r="E252" s="2">
        <f t="shared" si="25"/>
        <v>4</v>
      </c>
      <c r="F252" s="2" t="str">
        <f t="shared" si="31"/>
        <v>Apr</v>
      </c>
      <c r="G252" s="2" t="s">
        <v>30</v>
      </c>
      <c r="H252" s="2" t="s">
        <v>46</v>
      </c>
      <c r="I252" s="2" t="s">
        <v>27</v>
      </c>
      <c r="J252" s="2" t="s">
        <v>24</v>
      </c>
      <c r="K252" s="2" t="s">
        <v>28</v>
      </c>
      <c r="L252" s="2" t="s">
        <v>29</v>
      </c>
      <c r="M252" s="2">
        <v>2</v>
      </c>
      <c r="N252" s="4">
        <v>54.75</v>
      </c>
      <c r="O252" s="5">
        <v>0.15</v>
      </c>
      <c r="P252" s="4">
        <v>24.3</v>
      </c>
      <c r="Q252" s="4">
        <f t="shared" si="26"/>
        <v>93.075000000000003</v>
      </c>
      <c r="R252" s="4">
        <f t="shared" si="27"/>
        <v>48.6</v>
      </c>
      <c r="S252" s="4">
        <f t="shared" si="28"/>
        <v>44.475000000000001</v>
      </c>
      <c r="T252" s="6">
        <f t="shared" si="29"/>
        <v>0.47784045124899277</v>
      </c>
    </row>
    <row r="253" spans="1:20" x14ac:dyDescent="0.3">
      <c r="A253" s="2">
        <v>1394</v>
      </c>
      <c r="B253" s="3">
        <v>46114</v>
      </c>
      <c r="C253" s="2">
        <f t="shared" si="24"/>
        <v>2026</v>
      </c>
      <c r="D253" s="2">
        <f t="shared" si="30"/>
        <v>2</v>
      </c>
      <c r="E253" s="2">
        <f t="shared" si="25"/>
        <v>4</v>
      </c>
      <c r="F253" s="2" t="str">
        <f t="shared" si="31"/>
        <v>Apr</v>
      </c>
      <c r="G253" s="2" t="s">
        <v>30</v>
      </c>
      <c r="H253" s="2" t="s">
        <v>46</v>
      </c>
      <c r="I253" s="2" t="s">
        <v>23</v>
      </c>
      <c r="J253" s="2" t="s">
        <v>24</v>
      </c>
      <c r="K253" s="2" t="s">
        <v>20</v>
      </c>
      <c r="L253" s="2" t="s">
        <v>34</v>
      </c>
      <c r="M253" s="2">
        <v>7</v>
      </c>
      <c r="N253" s="4">
        <v>29.95</v>
      </c>
      <c r="O253" s="5">
        <v>0.05</v>
      </c>
      <c r="P253" s="4">
        <v>11.5</v>
      </c>
      <c r="Q253" s="4">
        <f t="shared" si="26"/>
        <v>199.16749999999999</v>
      </c>
      <c r="R253" s="4">
        <f t="shared" si="27"/>
        <v>80.5</v>
      </c>
      <c r="S253" s="4">
        <f t="shared" si="28"/>
        <v>118.66749999999999</v>
      </c>
      <c r="T253" s="6">
        <f t="shared" si="29"/>
        <v>0.59581759072137774</v>
      </c>
    </row>
    <row r="254" spans="1:20" x14ac:dyDescent="0.3">
      <c r="A254" s="2">
        <v>1309</v>
      </c>
      <c r="B254" s="3">
        <v>46115</v>
      </c>
      <c r="C254" s="2">
        <f t="shared" si="24"/>
        <v>2026</v>
      </c>
      <c r="D254" s="2">
        <f t="shared" si="30"/>
        <v>2</v>
      </c>
      <c r="E254" s="2">
        <f t="shared" si="25"/>
        <v>4</v>
      </c>
      <c r="F254" s="2" t="str">
        <f t="shared" si="31"/>
        <v>Apr</v>
      </c>
      <c r="G254" s="2" t="s">
        <v>48</v>
      </c>
      <c r="H254" s="2" t="s">
        <v>61</v>
      </c>
      <c r="I254" s="2" t="s">
        <v>23</v>
      </c>
      <c r="J254" s="2" t="s">
        <v>38</v>
      </c>
      <c r="K254" s="2" t="s">
        <v>25</v>
      </c>
      <c r="L254" s="2" t="s">
        <v>54</v>
      </c>
      <c r="M254" s="2">
        <v>8</v>
      </c>
      <c r="N254" s="4">
        <v>41.22</v>
      </c>
      <c r="O254" s="5">
        <v>0</v>
      </c>
      <c r="P254" s="4">
        <v>16.64</v>
      </c>
      <c r="Q254" s="4">
        <f t="shared" si="26"/>
        <v>329.76</v>
      </c>
      <c r="R254" s="4">
        <f t="shared" si="27"/>
        <v>133.12</v>
      </c>
      <c r="S254" s="4">
        <f t="shared" si="28"/>
        <v>196.64</v>
      </c>
      <c r="T254" s="6">
        <f t="shared" si="29"/>
        <v>0.59631246967491502</v>
      </c>
    </row>
    <row r="255" spans="1:20" x14ac:dyDescent="0.3">
      <c r="A255" s="2">
        <v>1349</v>
      </c>
      <c r="B255" s="3">
        <v>46115</v>
      </c>
      <c r="C255" s="2">
        <f t="shared" si="24"/>
        <v>2026</v>
      </c>
      <c r="D255" s="2">
        <f t="shared" si="30"/>
        <v>2</v>
      </c>
      <c r="E255" s="2">
        <f t="shared" si="25"/>
        <v>4</v>
      </c>
      <c r="F255" s="2" t="str">
        <f t="shared" si="31"/>
        <v>Apr</v>
      </c>
      <c r="G255" s="2" t="s">
        <v>48</v>
      </c>
      <c r="H255" s="2" t="s">
        <v>63</v>
      </c>
      <c r="I255" s="2" t="s">
        <v>27</v>
      </c>
      <c r="J255" s="2" t="s">
        <v>19</v>
      </c>
      <c r="K255" s="2" t="s">
        <v>20</v>
      </c>
      <c r="L255" s="2" t="s">
        <v>21</v>
      </c>
      <c r="M255" s="2">
        <v>1</v>
      </c>
      <c r="N255" s="4">
        <v>46.99</v>
      </c>
      <c r="O255" s="5">
        <v>0.1</v>
      </c>
      <c r="P255" s="4">
        <v>18.11</v>
      </c>
      <c r="Q255" s="4">
        <f t="shared" si="26"/>
        <v>42.291000000000004</v>
      </c>
      <c r="R255" s="4">
        <f t="shared" si="27"/>
        <v>18.11</v>
      </c>
      <c r="S255" s="4">
        <f t="shared" si="28"/>
        <v>24.181000000000004</v>
      </c>
      <c r="T255" s="6">
        <f t="shared" si="29"/>
        <v>0.57177650091035925</v>
      </c>
    </row>
    <row r="256" spans="1:20" x14ac:dyDescent="0.3">
      <c r="A256" s="2">
        <v>1313</v>
      </c>
      <c r="B256" s="3">
        <v>46116</v>
      </c>
      <c r="C256" s="2">
        <f t="shared" si="24"/>
        <v>2026</v>
      </c>
      <c r="D256" s="2">
        <f t="shared" si="30"/>
        <v>2</v>
      </c>
      <c r="E256" s="2">
        <f t="shared" si="25"/>
        <v>4</v>
      </c>
      <c r="F256" s="2" t="str">
        <f t="shared" si="31"/>
        <v>Apr</v>
      </c>
      <c r="G256" s="2" t="s">
        <v>16</v>
      </c>
      <c r="H256" s="2" t="s">
        <v>22</v>
      </c>
      <c r="I256" s="2" t="s">
        <v>18</v>
      </c>
      <c r="J256" s="2" t="s">
        <v>19</v>
      </c>
      <c r="K256" s="2" t="s">
        <v>28</v>
      </c>
      <c r="L256" s="2" t="s">
        <v>40</v>
      </c>
      <c r="M256" s="2">
        <v>11</v>
      </c>
      <c r="N256" s="4">
        <v>143.66999999999999</v>
      </c>
      <c r="O256" s="5">
        <v>0.15</v>
      </c>
      <c r="P256" s="4">
        <v>81.22</v>
      </c>
      <c r="Q256" s="4">
        <f t="shared" si="26"/>
        <v>1343.3145</v>
      </c>
      <c r="R256" s="4">
        <f t="shared" si="27"/>
        <v>893.42</v>
      </c>
      <c r="S256" s="4">
        <f t="shared" si="28"/>
        <v>449.89449999999999</v>
      </c>
      <c r="T256" s="6">
        <f t="shared" si="29"/>
        <v>0.33491375251290745</v>
      </c>
    </row>
    <row r="257" spans="1:20" x14ac:dyDescent="0.3">
      <c r="A257" s="2">
        <v>1078</v>
      </c>
      <c r="B257" s="3">
        <v>46117</v>
      </c>
      <c r="C257" s="2">
        <f t="shared" si="24"/>
        <v>2026</v>
      </c>
      <c r="D257" s="2">
        <f t="shared" si="30"/>
        <v>2</v>
      </c>
      <c r="E257" s="2">
        <f t="shared" si="25"/>
        <v>4</v>
      </c>
      <c r="F257" s="2" t="str">
        <f t="shared" si="31"/>
        <v>Apr</v>
      </c>
      <c r="G257" s="2" t="s">
        <v>16</v>
      </c>
      <c r="H257" s="2" t="s">
        <v>22</v>
      </c>
      <c r="I257" s="2" t="s">
        <v>33</v>
      </c>
      <c r="J257" s="2" t="s">
        <v>24</v>
      </c>
      <c r="K257" s="2" t="s">
        <v>20</v>
      </c>
      <c r="L257" s="2" t="s">
        <v>56</v>
      </c>
      <c r="M257" s="2">
        <v>14</v>
      </c>
      <c r="N257" s="4">
        <v>36.72</v>
      </c>
      <c r="O257" s="5">
        <v>0.1</v>
      </c>
      <c r="P257" s="4">
        <v>13.76</v>
      </c>
      <c r="Q257" s="4">
        <f t="shared" si="26"/>
        <v>462.67199999999997</v>
      </c>
      <c r="R257" s="4">
        <f t="shared" si="27"/>
        <v>192.64</v>
      </c>
      <c r="S257" s="4">
        <f t="shared" si="28"/>
        <v>270.03199999999998</v>
      </c>
      <c r="T257" s="6">
        <f t="shared" si="29"/>
        <v>0.58363592350520455</v>
      </c>
    </row>
    <row r="258" spans="1:20" x14ac:dyDescent="0.3">
      <c r="A258" s="2">
        <v>1131</v>
      </c>
      <c r="B258" s="3">
        <v>46117</v>
      </c>
      <c r="C258" s="2">
        <f t="shared" ref="C258:C321" si="32">YEAR(B258)</f>
        <v>2026</v>
      </c>
      <c r="D258" s="2">
        <f t="shared" si="30"/>
        <v>2</v>
      </c>
      <c r="E258" s="2">
        <f t="shared" ref="E258:E321" si="33">MONTH(B258)</f>
        <v>4</v>
      </c>
      <c r="F258" s="2" t="str">
        <f t="shared" si="31"/>
        <v>Apr</v>
      </c>
      <c r="G258" s="2" t="s">
        <v>48</v>
      </c>
      <c r="H258" s="2" t="s">
        <v>66</v>
      </c>
      <c r="I258" s="2" t="s">
        <v>33</v>
      </c>
      <c r="J258" s="2" t="s">
        <v>24</v>
      </c>
      <c r="K258" s="2" t="s">
        <v>20</v>
      </c>
      <c r="L258" s="2" t="s">
        <v>56</v>
      </c>
      <c r="M258" s="2">
        <v>11</v>
      </c>
      <c r="N258" s="4">
        <v>36.72</v>
      </c>
      <c r="O258" s="5">
        <v>0</v>
      </c>
      <c r="P258" s="4">
        <v>13.76</v>
      </c>
      <c r="Q258" s="4">
        <f t="shared" ref="Q258:Q321" si="34">M258*N258*(1-O258)</f>
        <v>403.91999999999996</v>
      </c>
      <c r="R258" s="4">
        <f t="shared" ref="R258:R321" si="35">M258*P258</f>
        <v>151.35999999999999</v>
      </c>
      <c r="S258" s="4">
        <f t="shared" ref="S258:S321" si="36">Q258-R258</f>
        <v>252.55999999999997</v>
      </c>
      <c r="T258" s="6">
        <f t="shared" ref="T258:T321" si="37">IFERROR(S258/Q258,0)</f>
        <v>0.62527233115468406</v>
      </c>
    </row>
    <row r="259" spans="1:20" x14ac:dyDescent="0.3">
      <c r="A259" s="2">
        <v>1374</v>
      </c>
      <c r="B259" s="3">
        <v>46117</v>
      </c>
      <c r="C259" s="2">
        <f t="shared" si="32"/>
        <v>2026</v>
      </c>
      <c r="D259" s="2">
        <f t="shared" ref="D259:D322" si="38">ROUNDUP(MONTH(B259)/3,0)</f>
        <v>2</v>
      </c>
      <c r="E259" s="2">
        <f t="shared" si="33"/>
        <v>4</v>
      </c>
      <c r="F259" s="2" t="str">
        <f t="shared" ref="F259:F322" si="39">TEXT(B259,"MMM")</f>
        <v>Apr</v>
      </c>
      <c r="G259" s="2" t="s">
        <v>41</v>
      </c>
      <c r="H259" s="2" t="s">
        <v>42</v>
      </c>
      <c r="I259" s="2" t="s">
        <v>23</v>
      </c>
      <c r="J259" s="2" t="s">
        <v>38</v>
      </c>
      <c r="K259" s="2" t="s">
        <v>36</v>
      </c>
      <c r="L259" s="2" t="s">
        <v>37</v>
      </c>
      <c r="M259" s="2">
        <v>12</v>
      </c>
      <c r="N259" s="4">
        <v>35.78</v>
      </c>
      <c r="O259" s="5">
        <v>0.15</v>
      </c>
      <c r="P259" s="4">
        <v>13.84</v>
      </c>
      <c r="Q259" s="4">
        <f t="shared" si="34"/>
        <v>364.95600000000002</v>
      </c>
      <c r="R259" s="4">
        <f t="shared" si="35"/>
        <v>166.07999999999998</v>
      </c>
      <c r="S259" s="4">
        <f t="shared" si="36"/>
        <v>198.87600000000003</v>
      </c>
      <c r="T259" s="6">
        <f t="shared" si="37"/>
        <v>0.54493144379048442</v>
      </c>
    </row>
    <row r="260" spans="1:20" x14ac:dyDescent="0.3">
      <c r="A260" s="2">
        <v>1375</v>
      </c>
      <c r="B260" s="3">
        <v>46117</v>
      </c>
      <c r="C260" s="2">
        <f t="shared" si="32"/>
        <v>2026</v>
      </c>
      <c r="D260" s="2">
        <f t="shared" si="38"/>
        <v>2</v>
      </c>
      <c r="E260" s="2">
        <f t="shared" si="33"/>
        <v>4</v>
      </c>
      <c r="F260" s="2" t="str">
        <f t="shared" si="39"/>
        <v>Apr</v>
      </c>
      <c r="G260" s="2" t="s">
        <v>30</v>
      </c>
      <c r="H260" s="2" t="s">
        <v>45</v>
      </c>
      <c r="I260" s="2" t="s">
        <v>33</v>
      </c>
      <c r="J260" s="2" t="s">
        <v>24</v>
      </c>
      <c r="K260" s="2" t="s">
        <v>36</v>
      </c>
      <c r="L260" s="2" t="s">
        <v>62</v>
      </c>
      <c r="M260" s="2">
        <v>3</v>
      </c>
      <c r="N260" s="4">
        <v>124.97</v>
      </c>
      <c r="O260" s="5">
        <v>0</v>
      </c>
      <c r="P260" s="4">
        <v>67.36</v>
      </c>
      <c r="Q260" s="4">
        <f t="shared" si="34"/>
        <v>374.90999999999997</v>
      </c>
      <c r="R260" s="4">
        <f t="shared" si="35"/>
        <v>202.07999999999998</v>
      </c>
      <c r="S260" s="4">
        <f t="shared" si="36"/>
        <v>172.82999999999998</v>
      </c>
      <c r="T260" s="6">
        <f t="shared" si="37"/>
        <v>0.46099063775306071</v>
      </c>
    </row>
    <row r="261" spans="1:20" x14ac:dyDescent="0.3">
      <c r="A261" s="2">
        <v>1150</v>
      </c>
      <c r="B261" s="3">
        <v>46118</v>
      </c>
      <c r="C261" s="2">
        <f t="shared" si="32"/>
        <v>2026</v>
      </c>
      <c r="D261" s="2">
        <f t="shared" si="38"/>
        <v>2</v>
      </c>
      <c r="E261" s="2">
        <f t="shared" si="33"/>
        <v>4</v>
      </c>
      <c r="F261" s="2" t="str">
        <f t="shared" si="39"/>
        <v>Apr</v>
      </c>
      <c r="G261" s="2" t="s">
        <v>41</v>
      </c>
      <c r="H261" s="2" t="s">
        <v>51</v>
      </c>
      <c r="I261" s="2" t="s">
        <v>33</v>
      </c>
      <c r="J261" s="2" t="s">
        <v>38</v>
      </c>
      <c r="K261" s="2" t="s">
        <v>36</v>
      </c>
      <c r="L261" s="2" t="s">
        <v>37</v>
      </c>
      <c r="M261" s="2">
        <v>11</v>
      </c>
      <c r="N261" s="4">
        <v>35.78</v>
      </c>
      <c r="O261" s="5">
        <v>0</v>
      </c>
      <c r="P261" s="4">
        <v>13.84</v>
      </c>
      <c r="Q261" s="4">
        <f t="shared" si="34"/>
        <v>393.58000000000004</v>
      </c>
      <c r="R261" s="4">
        <f t="shared" si="35"/>
        <v>152.24</v>
      </c>
      <c r="S261" s="4">
        <f t="shared" si="36"/>
        <v>241.34000000000003</v>
      </c>
      <c r="T261" s="6">
        <f t="shared" si="37"/>
        <v>0.61319172722191173</v>
      </c>
    </row>
    <row r="262" spans="1:20" x14ac:dyDescent="0.3">
      <c r="A262" s="2">
        <v>1188</v>
      </c>
      <c r="B262" s="3">
        <v>46118</v>
      </c>
      <c r="C262" s="2">
        <f t="shared" si="32"/>
        <v>2026</v>
      </c>
      <c r="D262" s="2">
        <f t="shared" si="38"/>
        <v>2</v>
      </c>
      <c r="E262" s="2">
        <f t="shared" si="33"/>
        <v>4</v>
      </c>
      <c r="F262" s="2" t="str">
        <f t="shared" si="39"/>
        <v>Apr</v>
      </c>
      <c r="G262" s="2" t="s">
        <v>41</v>
      </c>
      <c r="H262" s="2" t="s">
        <v>59</v>
      </c>
      <c r="I262" s="2" t="s">
        <v>27</v>
      </c>
      <c r="J262" s="2" t="s">
        <v>24</v>
      </c>
      <c r="K262" s="2" t="s">
        <v>43</v>
      </c>
      <c r="L262" s="2" t="s">
        <v>50</v>
      </c>
      <c r="M262" s="2">
        <v>4</v>
      </c>
      <c r="N262" s="4">
        <v>100.12</v>
      </c>
      <c r="O262" s="5">
        <v>0</v>
      </c>
      <c r="P262" s="4">
        <v>49.67</v>
      </c>
      <c r="Q262" s="4">
        <f t="shared" si="34"/>
        <v>400.48</v>
      </c>
      <c r="R262" s="4">
        <f t="shared" si="35"/>
        <v>198.68</v>
      </c>
      <c r="S262" s="4">
        <f t="shared" si="36"/>
        <v>201.8</v>
      </c>
      <c r="T262" s="6">
        <f t="shared" si="37"/>
        <v>0.50389532560926886</v>
      </c>
    </row>
    <row r="263" spans="1:20" x14ac:dyDescent="0.3">
      <c r="A263" s="2">
        <v>1433</v>
      </c>
      <c r="B263" s="3">
        <v>46118</v>
      </c>
      <c r="C263" s="2">
        <f t="shared" si="32"/>
        <v>2026</v>
      </c>
      <c r="D263" s="2">
        <f t="shared" si="38"/>
        <v>2</v>
      </c>
      <c r="E263" s="2">
        <f t="shared" si="33"/>
        <v>4</v>
      </c>
      <c r="F263" s="2" t="str">
        <f t="shared" si="39"/>
        <v>Apr</v>
      </c>
      <c r="G263" s="2" t="s">
        <v>16</v>
      </c>
      <c r="H263" s="2" t="s">
        <v>22</v>
      </c>
      <c r="I263" s="2" t="s">
        <v>33</v>
      </c>
      <c r="J263" s="2" t="s">
        <v>24</v>
      </c>
      <c r="K263" s="2" t="s">
        <v>28</v>
      </c>
      <c r="L263" s="2" t="s">
        <v>64</v>
      </c>
      <c r="M263" s="2">
        <v>5</v>
      </c>
      <c r="N263" s="4">
        <v>94.18</v>
      </c>
      <c r="O263" s="5">
        <v>0.2</v>
      </c>
      <c r="P263" s="4">
        <v>45.03</v>
      </c>
      <c r="Q263" s="4">
        <f t="shared" si="34"/>
        <v>376.72</v>
      </c>
      <c r="R263" s="4">
        <f t="shared" si="35"/>
        <v>225.15</v>
      </c>
      <c r="S263" s="4">
        <f t="shared" si="36"/>
        <v>151.57000000000002</v>
      </c>
      <c r="T263" s="6">
        <f t="shared" si="37"/>
        <v>0.40234126141431303</v>
      </c>
    </row>
    <row r="264" spans="1:20" x14ac:dyDescent="0.3">
      <c r="A264" s="2">
        <v>1268</v>
      </c>
      <c r="B264" s="3">
        <v>46119</v>
      </c>
      <c r="C264" s="2">
        <f t="shared" si="32"/>
        <v>2026</v>
      </c>
      <c r="D264" s="2">
        <f t="shared" si="38"/>
        <v>2</v>
      </c>
      <c r="E264" s="2">
        <f t="shared" si="33"/>
        <v>4</v>
      </c>
      <c r="F264" s="2" t="str">
        <f t="shared" si="39"/>
        <v>Apr</v>
      </c>
      <c r="G264" s="2" t="s">
        <v>16</v>
      </c>
      <c r="H264" s="2" t="s">
        <v>22</v>
      </c>
      <c r="I264" s="2" t="s">
        <v>18</v>
      </c>
      <c r="J264" s="2" t="s">
        <v>24</v>
      </c>
      <c r="K264" s="2" t="s">
        <v>36</v>
      </c>
      <c r="L264" s="2" t="s">
        <v>62</v>
      </c>
      <c r="M264" s="2">
        <v>11</v>
      </c>
      <c r="N264" s="4">
        <v>124.97</v>
      </c>
      <c r="O264" s="5">
        <v>0.05</v>
      </c>
      <c r="P264" s="4">
        <v>67.36</v>
      </c>
      <c r="Q264" s="4">
        <f t="shared" si="34"/>
        <v>1305.9365</v>
      </c>
      <c r="R264" s="4">
        <f t="shared" si="35"/>
        <v>740.96</v>
      </c>
      <c r="S264" s="4">
        <f t="shared" si="36"/>
        <v>564.97649999999999</v>
      </c>
      <c r="T264" s="6">
        <f t="shared" si="37"/>
        <v>0.43262172395059023</v>
      </c>
    </row>
    <row r="265" spans="1:20" x14ac:dyDescent="0.3">
      <c r="A265" s="2">
        <v>1441</v>
      </c>
      <c r="B265" s="3">
        <v>46119</v>
      </c>
      <c r="C265" s="2">
        <f t="shared" si="32"/>
        <v>2026</v>
      </c>
      <c r="D265" s="2">
        <f t="shared" si="38"/>
        <v>2</v>
      </c>
      <c r="E265" s="2">
        <f t="shared" si="33"/>
        <v>4</v>
      </c>
      <c r="F265" s="2" t="str">
        <f t="shared" si="39"/>
        <v>Apr</v>
      </c>
      <c r="G265" s="2" t="s">
        <v>48</v>
      </c>
      <c r="H265" s="2" t="s">
        <v>66</v>
      </c>
      <c r="I265" s="2" t="s">
        <v>33</v>
      </c>
      <c r="J265" s="2" t="s">
        <v>19</v>
      </c>
      <c r="K265" s="2" t="s">
        <v>20</v>
      </c>
      <c r="L265" s="2" t="s">
        <v>21</v>
      </c>
      <c r="M265" s="2">
        <v>8</v>
      </c>
      <c r="N265" s="4">
        <v>46.99</v>
      </c>
      <c r="O265" s="5">
        <v>0.05</v>
      </c>
      <c r="P265" s="4">
        <v>18.11</v>
      </c>
      <c r="Q265" s="4">
        <f t="shared" si="34"/>
        <v>357.12400000000002</v>
      </c>
      <c r="R265" s="4">
        <f t="shared" si="35"/>
        <v>144.88</v>
      </c>
      <c r="S265" s="4">
        <f t="shared" si="36"/>
        <v>212.24400000000003</v>
      </c>
      <c r="T265" s="6">
        <f t="shared" si="37"/>
        <v>0.59431457980981395</v>
      </c>
    </row>
    <row r="266" spans="1:20" x14ac:dyDescent="0.3">
      <c r="A266" s="2">
        <v>1005</v>
      </c>
      <c r="B266" s="3">
        <v>46120</v>
      </c>
      <c r="C266" s="2">
        <f t="shared" si="32"/>
        <v>2026</v>
      </c>
      <c r="D266" s="2">
        <f t="shared" si="38"/>
        <v>2</v>
      </c>
      <c r="E266" s="2">
        <f t="shared" si="33"/>
        <v>4</v>
      </c>
      <c r="F266" s="2" t="str">
        <f t="shared" si="39"/>
        <v>Apr</v>
      </c>
      <c r="G266" s="2" t="s">
        <v>16</v>
      </c>
      <c r="H266" s="2" t="s">
        <v>32</v>
      </c>
      <c r="I266" s="2" t="s">
        <v>33</v>
      </c>
      <c r="J266" s="2" t="s">
        <v>19</v>
      </c>
      <c r="K266" s="2" t="s">
        <v>20</v>
      </c>
      <c r="L266" s="2" t="s">
        <v>34</v>
      </c>
      <c r="M266" s="2">
        <v>13</v>
      </c>
      <c r="N266" s="4">
        <v>29.95</v>
      </c>
      <c r="O266" s="5">
        <v>0</v>
      </c>
      <c r="P266" s="4">
        <v>11.5</v>
      </c>
      <c r="Q266" s="4">
        <f t="shared" si="34"/>
        <v>389.34999999999997</v>
      </c>
      <c r="R266" s="4">
        <f t="shared" si="35"/>
        <v>149.5</v>
      </c>
      <c r="S266" s="4">
        <f t="shared" si="36"/>
        <v>239.84999999999997</v>
      </c>
      <c r="T266" s="6">
        <f t="shared" si="37"/>
        <v>0.61602671118530883</v>
      </c>
    </row>
    <row r="267" spans="1:20" x14ac:dyDescent="0.3">
      <c r="A267" s="2">
        <v>1030</v>
      </c>
      <c r="B267" s="3">
        <v>46120</v>
      </c>
      <c r="C267" s="2">
        <f t="shared" si="32"/>
        <v>2026</v>
      </c>
      <c r="D267" s="2">
        <f t="shared" si="38"/>
        <v>2</v>
      </c>
      <c r="E267" s="2">
        <f t="shared" si="33"/>
        <v>4</v>
      </c>
      <c r="F267" s="2" t="str">
        <f t="shared" si="39"/>
        <v>Apr</v>
      </c>
      <c r="G267" s="2" t="s">
        <v>16</v>
      </c>
      <c r="H267" s="2" t="s">
        <v>32</v>
      </c>
      <c r="I267" s="2" t="s">
        <v>33</v>
      </c>
      <c r="J267" s="2" t="s">
        <v>24</v>
      </c>
      <c r="K267" s="2" t="s">
        <v>20</v>
      </c>
      <c r="L267" s="2" t="s">
        <v>52</v>
      </c>
      <c r="M267" s="2">
        <v>5</v>
      </c>
      <c r="N267" s="4">
        <v>89.99</v>
      </c>
      <c r="O267" s="5">
        <v>0.1</v>
      </c>
      <c r="P267" s="4">
        <v>42.25</v>
      </c>
      <c r="Q267" s="4">
        <f t="shared" si="34"/>
        <v>404.95499999999998</v>
      </c>
      <c r="R267" s="4">
        <f t="shared" si="35"/>
        <v>211.25</v>
      </c>
      <c r="S267" s="4">
        <f t="shared" si="36"/>
        <v>193.70499999999998</v>
      </c>
      <c r="T267" s="6">
        <f t="shared" si="37"/>
        <v>0.47833709918385992</v>
      </c>
    </row>
    <row r="268" spans="1:20" x14ac:dyDescent="0.3">
      <c r="A268" s="2">
        <v>1093</v>
      </c>
      <c r="B268" s="3">
        <v>46120</v>
      </c>
      <c r="C268" s="2">
        <f t="shared" si="32"/>
        <v>2026</v>
      </c>
      <c r="D268" s="2">
        <f t="shared" si="38"/>
        <v>2</v>
      </c>
      <c r="E268" s="2">
        <f t="shared" si="33"/>
        <v>4</v>
      </c>
      <c r="F268" s="2" t="str">
        <f t="shared" si="39"/>
        <v>Apr</v>
      </c>
      <c r="G268" s="2" t="s">
        <v>30</v>
      </c>
      <c r="H268" s="2" t="s">
        <v>46</v>
      </c>
      <c r="I268" s="2" t="s">
        <v>18</v>
      </c>
      <c r="J268" s="2" t="s">
        <v>19</v>
      </c>
      <c r="K268" s="2" t="s">
        <v>20</v>
      </c>
      <c r="L268" s="2" t="s">
        <v>52</v>
      </c>
      <c r="M268" s="2">
        <v>5</v>
      </c>
      <c r="N268" s="4">
        <v>89.99</v>
      </c>
      <c r="O268" s="5">
        <v>0.15</v>
      </c>
      <c r="P268" s="4">
        <v>42.25</v>
      </c>
      <c r="Q268" s="4">
        <f t="shared" si="34"/>
        <v>382.45749999999998</v>
      </c>
      <c r="R268" s="4">
        <f t="shared" si="35"/>
        <v>211.25</v>
      </c>
      <c r="S268" s="4">
        <f t="shared" si="36"/>
        <v>171.20749999999998</v>
      </c>
      <c r="T268" s="6">
        <f t="shared" si="37"/>
        <v>0.44765104619467522</v>
      </c>
    </row>
    <row r="269" spans="1:20" x14ac:dyDescent="0.3">
      <c r="A269" s="2">
        <v>1124</v>
      </c>
      <c r="B269" s="3">
        <v>46120</v>
      </c>
      <c r="C269" s="2">
        <f t="shared" si="32"/>
        <v>2026</v>
      </c>
      <c r="D269" s="2">
        <f t="shared" si="38"/>
        <v>2</v>
      </c>
      <c r="E269" s="2">
        <f t="shared" si="33"/>
        <v>4</v>
      </c>
      <c r="F269" s="2" t="str">
        <f t="shared" si="39"/>
        <v>Apr</v>
      </c>
      <c r="G269" s="2" t="s">
        <v>48</v>
      </c>
      <c r="H269" s="2" t="s">
        <v>49</v>
      </c>
      <c r="I269" s="2" t="s">
        <v>33</v>
      </c>
      <c r="J269" s="2" t="s">
        <v>38</v>
      </c>
      <c r="K269" s="2" t="s">
        <v>20</v>
      </c>
      <c r="L269" s="2" t="s">
        <v>56</v>
      </c>
      <c r="M269" s="2">
        <v>14</v>
      </c>
      <c r="N269" s="4">
        <v>36.72</v>
      </c>
      <c r="O269" s="5">
        <v>0.2</v>
      </c>
      <c r="P269" s="4">
        <v>13.76</v>
      </c>
      <c r="Q269" s="4">
        <f t="shared" si="34"/>
        <v>411.26399999999995</v>
      </c>
      <c r="R269" s="4">
        <f t="shared" si="35"/>
        <v>192.64</v>
      </c>
      <c r="S269" s="4">
        <f t="shared" si="36"/>
        <v>218.62399999999997</v>
      </c>
      <c r="T269" s="6">
        <f t="shared" si="37"/>
        <v>0.53159041394335504</v>
      </c>
    </row>
    <row r="270" spans="1:20" x14ac:dyDescent="0.3">
      <c r="A270" s="2">
        <v>1283</v>
      </c>
      <c r="B270" s="3">
        <v>46120</v>
      </c>
      <c r="C270" s="2">
        <f t="shared" si="32"/>
        <v>2026</v>
      </c>
      <c r="D270" s="2">
        <f t="shared" si="38"/>
        <v>2</v>
      </c>
      <c r="E270" s="2">
        <f t="shared" si="33"/>
        <v>4</v>
      </c>
      <c r="F270" s="2" t="str">
        <f t="shared" si="39"/>
        <v>Apr</v>
      </c>
      <c r="G270" s="2" t="s">
        <v>30</v>
      </c>
      <c r="H270" s="2" t="s">
        <v>31</v>
      </c>
      <c r="I270" s="2" t="s">
        <v>33</v>
      </c>
      <c r="J270" s="2" t="s">
        <v>38</v>
      </c>
      <c r="K270" s="2" t="s">
        <v>20</v>
      </c>
      <c r="L270" s="2" t="s">
        <v>34</v>
      </c>
      <c r="M270" s="2">
        <v>6</v>
      </c>
      <c r="N270" s="4">
        <v>29.95</v>
      </c>
      <c r="O270" s="5">
        <v>0.15</v>
      </c>
      <c r="P270" s="4">
        <v>11.5</v>
      </c>
      <c r="Q270" s="4">
        <f t="shared" si="34"/>
        <v>152.74499999999998</v>
      </c>
      <c r="R270" s="4">
        <f t="shared" si="35"/>
        <v>69</v>
      </c>
      <c r="S270" s="4">
        <f t="shared" si="36"/>
        <v>83.744999999999976</v>
      </c>
      <c r="T270" s="6">
        <f t="shared" si="37"/>
        <v>0.54826671904153979</v>
      </c>
    </row>
    <row r="271" spans="1:20" x14ac:dyDescent="0.3">
      <c r="A271" s="2">
        <v>1207</v>
      </c>
      <c r="B271" s="3">
        <v>46121</v>
      </c>
      <c r="C271" s="2">
        <f t="shared" si="32"/>
        <v>2026</v>
      </c>
      <c r="D271" s="2">
        <f t="shared" si="38"/>
        <v>2</v>
      </c>
      <c r="E271" s="2">
        <f t="shared" si="33"/>
        <v>4</v>
      </c>
      <c r="F271" s="2" t="str">
        <f t="shared" si="39"/>
        <v>Apr</v>
      </c>
      <c r="G271" s="2" t="s">
        <v>16</v>
      </c>
      <c r="H271" s="2" t="s">
        <v>22</v>
      </c>
      <c r="I271" s="2" t="s">
        <v>33</v>
      </c>
      <c r="J271" s="2" t="s">
        <v>24</v>
      </c>
      <c r="K271" s="2" t="s">
        <v>28</v>
      </c>
      <c r="L271" s="2" t="s">
        <v>29</v>
      </c>
      <c r="M271" s="2">
        <v>6</v>
      </c>
      <c r="N271" s="4">
        <v>54.75</v>
      </c>
      <c r="O271" s="5">
        <v>0.05</v>
      </c>
      <c r="P271" s="4">
        <v>24.3</v>
      </c>
      <c r="Q271" s="4">
        <f t="shared" si="34"/>
        <v>312.07499999999999</v>
      </c>
      <c r="R271" s="4">
        <f t="shared" si="35"/>
        <v>145.80000000000001</v>
      </c>
      <c r="S271" s="4">
        <f t="shared" si="36"/>
        <v>166.27499999999998</v>
      </c>
      <c r="T271" s="6">
        <f t="shared" si="37"/>
        <v>0.53280461427541448</v>
      </c>
    </row>
    <row r="272" spans="1:20" x14ac:dyDescent="0.3">
      <c r="A272" s="2">
        <v>1257</v>
      </c>
      <c r="B272" s="3">
        <v>46121</v>
      </c>
      <c r="C272" s="2">
        <f t="shared" si="32"/>
        <v>2026</v>
      </c>
      <c r="D272" s="2">
        <f t="shared" si="38"/>
        <v>2</v>
      </c>
      <c r="E272" s="2">
        <f t="shared" si="33"/>
        <v>4</v>
      </c>
      <c r="F272" s="2" t="str">
        <f t="shared" si="39"/>
        <v>Apr</v>
      </c>
      <c r="G272" s="2" t="s">
        <v>41</v>
      </c>
      <c r="H272" s="2" t="s">
        <v>59</v>
      </c>
      <c r="I272" s="2" t="s">
        <v>18</v>
      </c>
      <c r="J272" s="2" t="s">
        <v>38</v>
      </c>
      <c r="K272" s="2" t="s">
        <v>20</v>
      </c>
      <c r="L272" s="2" t="s">
        <v>34</v>
      </c>
      <c r="M272" s="2">
        <v>5</v>
      </c>
      <c r="N272" s="4">
        <v>29.95</v>
      </c>
      <c r="O272" s="5">
        <v>0.15</v>
      </c>
      <c r="P272" s="4">
        <v>11.5</v>
      </c>
      <c r="Q272" s="4">
        <f t="shared" si="34"/>
        <v>127.28749999999999</v>
      </c>
      <c r="R272" s="4">
        <f t="shared" si="35"/>
        <v>57.5</v>
      </c>
      <c r="S272" s="4">
        <f t="shared" si="36"/>
        <v>69.787499999999994</v>
      </c>
      <c r="T272" s="6">
        <f t="shared" si="37"/>
        <v>0.54826671904153979</v>
      </c>
    </row>
    <row r="273" spans="1:20" x14ac:dyDescent="0.3">
      <c r="A273" s="2">
        <v>1359</v>
      </c>
      <c r="B273" s="3">
        <v>46121</v>
      </c>
      <c r="C273" s="2">
        <f t="shared" si="32"/>
        <v>2026</v>
      </c>
      <c r="D273" s="2">
        <f t="shared" si="38"/>
        <v>2</v>
      </c>
      <c r="E273" s="2">
        <f t="shared" si="33"/>
        <v>4</v>
      </c>
      <c r="F273" s="2" t="str">
        <f t="shared" si="39"/>
        <v>Apr</v>
      </c>
      <c r="G273" s="2" t="s">
        <v>16</v>
      </c>
      <c r="H273" s="2" t="s">
        <v>17</v>
      </c>
      <c r="I273" s="2" t="s">
        <v>27</v>
      </c>
      <c r="J273" s="2" t="s">
        <v>38</v>
      </c>
      <c r="K273" s="2" t="s">
        <v>25</v>
      </c>
      <c r="L273" s="2" t="s">
        <v>26</v>
      </c>
      <c r="M273" s="2">
        <v>9</v>
      </c>
      <c r="N273" s="4">
        <v>347.51</v>
      </c>
      <c r="O273" s="5">
        <v>0</v>
      </c>
      <c r="P273" s="4">
        <v>190.16</v>
      </c>
      <c r="Q273" s="4">
        <f t="shared" si="34"/>
        <v>3127.59</v>
      </c>
      <c r="R273" s="4">
        <f t="shared" si="35"/>
        <v>1711.44</v>
      </c>
      <c r="S273" s="4">
        <f t="shared" si="36"/>
        <v>1416.15</v>
      </c>
      <c r="T273" s="6">
        <f t="shared" si="37"/>
        <v>0.45279272538919746</v>
      </c>
    </row>
    <row r="274" spans="1:20" x14ac:dyDescent="0.3">
      <c r="A274" s="2">
        <v>1303</v>
      </c>
      <c r="B274" s="3">
        <v>46122</v>
      </c>
      <c r="C274" s="2">
        <f t="shared" si="32"/>
        <v>2026</v>
      </c>
      <c r="D274" s="2">
        <f t="shared" si="38"/>
        <v>2</v>
      </c>
      <c r="E274" s="2">
        <f t="shared" si="33"/>
        <v>4</v>
      </c>
      <c r="F274" s="2" t="str">
        <f t="shared" si="39"/>
        <v>Apr</v>
      </c>
      <c r="G274" s="2" t="s">
        <v>48</v>
      </c>
      <c r="H274" s="2" t="s">
        <v>49</v>
      </c>
      <c r="I274" s="2" t="s">
        <v>33</v>
      </c>
      <c r="J274" s="2" t="s">
        <v>38</v>
      </c>
      <c r="K274" s="2" t="s">
        <v>43</v>
      </c>
      <c r="L274" s="2" t="s">
        <v>57</v>
      </c>
      <c r="M274" s="2">
        <v>1</v>
      </c>
      <c r="N274" s="4">
        <v>82.06</v>
      </c>
      <c r="O274" s="5">
        <v>0.05</v>
      </c>
      <c r="P274" s="4">
        <v>42.94</v>
      </c>
      <c r="Q274" s="4">
        <f t="shared" si="34"/>
        <v>77.956999999999994</v>
      </c>
      <c r="R274" s="4">
        <f t="shared" si="35"/>
        <v>42.94</v>
      </c>
      <c r="S274" s="4">
        <f t="shared" si="36"/>
        <v>35.016999999999996</v>
      </c>
      <c r="T274" s="6">
        <f t="shared" si="37"/>
        <v>0.44918352425054836</v>
      </c>
    </row>
    <row r="275" spans="1:20" x14ac:dyDescent="0.3">
      <c r="A275" s="2">
        <v>1498</v>
      </c>
      <c r="B275" s="3">
        <v>46122</v>
      </c>
      <c r="C275" s="2">
        <f t="shared" si="32"/>
        <v>2026</v>
      </c>
      <c r="D275" s="2">
        <f t="shared" si="38"/>
        <v>2</v>
      </c>
      <c r="E275" s="2">
        <f t="shared" si="33"/>
        <v>4</v>
      </c>
      <c r="F275" s="2" t="str">
        <f t="shared" si="39"/>
        <v>Apr</v>
      </c>
      <c r="G275" s="2" t="s">
        <v>30</v>
      </c>
      <c r="H275" s="2" t="s">
        <v>31</v>
      </c>
      <c r="I275" s="2" t="s">
        <v>27</v>
      </c>
      <c r="J275" s="2" t="s">
        <v>24</v>
      </c>
      <c r="K275" s="2" t="s">
        <v>36</v>
      </c>
      <c r="L275" s="2" t="s">
        <v>47</v>
      </c>
      <c r="M275" s="2">
        <v>1</v>
      </c>
      <c r="N275" s="4">
        <v>40.6</v>
      </c>
      <c r="O275" s="5">
        <v>0.2</v>
      </c>
      <c r="P275" s="4">
        <v>15.04</v>
      </c>
      <c r="Q275" s="4">
        <f t="shared" si="34"/>
        <v>32.480000000000004</v>
      </c>
      <c r="R275" s="4">
        <f t="shared" si="35"/>
        <v>15.04</v>
      </c>
      <c r="S275" s="4">
        <f t="shared" si="36"/>
        <v>17.440000000000005</v>
      </c>
      <c r="T275" s="6">
        <f t="shared" si="37"/>
        <v>0.53694581280788189</v>
      </c>
    </row>
    <row r="276" spans="1:20" x14ac:dyDescent="0.3">
      <c r="A276" s="2">
        <v>1236</v>
      </c>
      <c r="B276" s="3">
        <v>46123</v>
      </c>
      <c r="C276" s="2">
        <f t="shared" si="32"/>
        <v>2026</v>
      </c>
      <c r="D276" s="2">
        <f t="shared" si="38"/>
        <v>2</v>
      </c>
      <c r="E276" s="2">
        <f t="shared" si="33"/>
        <v>4</v>
      </c>
      <c r="F276" s="2" t="str">
        <f t="shared" si="39"/>
        <v>Apr</v>
      </c>
      <c r="G276" s="2" t="s">
        <v>48</v>
      </c>
      <c r="H276" s="2" t="s">
        <v>49</v>
      </c>
      <c r="I276" s="2" t="s">
        <v>27</v>
      </c>
      <c r="J276" s="2" t="s">
        <v>38</v>
      </c>
      <c r="K276" s="2" t="s">
        <v>36</v>
      </c>
      <c r="L276" s="2" t="s">
        <v>58</v>
      </c>
      <c r="M276" s="2">
        <v>12</v>
      </c>
      <c r="N276" s="4">
        <v>32.99</v>
      </c>
      <c r="O276" s="5">
        <v>0.15</v>
      </c>
      <c r="P276" s="4">
        <v>12.5</v>
      </c>
      <c r="Q276" s="4">
        <f t="shared" si="34"/>
        <v>336.49799999999999</v>
      </c>
      <c r="R276" s="4">
        <f t="shared" si="35"/>
        <v>150</v>
      </c>
      <c r="S276" s="4">
        <f t="shared" si="36"/>
        <v>186.49799999999999</v>
      </c>
      <c r="T276" s="6">
        <f t="shared" si="37"/>
        <v>0.55423212025034319</v>
      </c>
    </row>
    <row r="277" spans="1:20" x14ac:dyDescent="0.3">
      <c r="A277" s="2">
        <v>1487</v>
      </c>
      <c r="B277" s="3">
        <v>46123</v>
      </c>
      <c r="C277" s="2">
        <f t="shared" si="32"/>
        <v>2026</v>
      </c>
      <c r="D277" s="2">
        <f t="shared" si="38"/>
        <v>2</v>
      </c>
      <c r="E277" s="2">
        <f t="shared" si="33"/>
        <v>4</v>
      </c>
      <c r="F277" s="2" t="str">
        <f t="shared" si="39"/>
        <v>Apr</v>
      </c>
      <c r="G277" s="2" t="s">
        <v>41</v>
      </c>
      <c r="H277" s="2" t="s">
        <v>59</v>
      </c>
      <c r="I277" s="2" t="s">
        <v>18</v>
      </c>
      <c r="J277" s="2" t="s">
        <v>19</v>
      </c>
      <c r="K277" s="2" t="s">
        <v>28</v>
      </c>
      <c r="L277" s="2" t="s">
        <v>39</v>
      </c>
      <c r="M277" s="2">
        <v>2</v>
      </c>
      <c r="N277" s="4">
        <v>153.38999999999999</v>
      </c>
      <c r="O277" s="5">
        <v>0.1</v>
      </c>
      <c r="P277" s="4">
        <v>78.59</v>
      </c>
      <c r="Q277" s="4">
        <f t="shared" si="34"/>
        <v>276.10199999999998</v>
      </c>
      <c r="R277" s="4">
        <f t="shared" si="35"/>
        <v>157.18</v>
      </c>
      <c r="S277" s="4">
        <f t="shared" si="36"/>
        <v>118.92199999999997</v>
      </c>
      <c r="T277" s="6">
        <f t="shared" si="37"/>
        <v>0.43071763333840385</v>
      </c>
    </row>
    <row r="278" spans="1:20" x14ac:dyDescent="0.3">
      <c r="A278" s="2">
        <v>1137</v>
      </c>
      <c r="B278" s="3">
        <v>46124</v>
      </c>
      <c r="C278" s="2">
        <f t="shared" si="32"/>
        <v>2026</v>
      </c>
      <c r="D278" s="2">
        <f t="shared" si="38"/>
        <v>2</v>
      </c>
      <c r="E278" s="2">
        <f t="shared" si="33"/>
        <v>4</v>
      </c>
      <c r="F278" s="2" t="str">
        <f t="shared" si="39"/>
        <v>Apr</v>
      </c>
      <c r="G278" s="2" t="s">
        <v>48</v>
      </c>
      <c r="H278" s="2" t="s">
        <v>61</v>
      </c>
      <c r="I278" s="2" t="s">
        <v>23</v>
      </c>
      <c r="J278" s="2" t="s">
        <v>19</v>
      </c>
      <c r="K278" s="2" t="s">
        <v>43</v>
      </c>
      <c r="L278" s="2" t="s">
        <v>65</v>
      </c>
      <c r="M278" s="2">
        <v>2</v>
      </c>
      <c r="N278" s="4">
        <v>28.5</v>
      </c>
      <c r="O278" s="5">
        <v>0.2</v>
      </c>
      <c r="P278" s="4">
        <v>12.8</v>
      </c>
      <c r="Q278" s="4">
        <f t="shared" si="34"/>
        <v>45.6</v>
      </c>
      <c r="R278" s="4">
        <f t="shared" si="35"/>
        <v>25.6</v>
      </c>
      <c r="S278" s="4">
        <f t="shared" si="36"/>
        <v>20</v>
      </c>
      <c r="T278" s="6">
        <f t="shared" si="37"/>
        <v>0.43859649122807015</v>
      </c>
    </row>
    <row r="279" spans="1:20" x14ac:dyDescent="0.3">
      <c r="A279" s="2">
        <v>1163</v>
      </c>
      <c r="B279" s="3">
        <v>46124</v>
      </c>
      <c r="C279" s="2">
        <f t="shared" si="32"/>
        <v>2026</v>
      </c>
      <c r="D279" s="2">
        <f t="shared" si="38"/>
        <v>2</v>
      </c>
      <c r="E279" s="2">
        <f t="shared" si="33"/>
        <v>4</v>
      </c>
      <c r="F279" s="2" t="str">
        <f t="shared" si="39"/>
        <v>Apr</v>
      </c>
      <c r="G279" s="2" t="s">
        <v>16</v>
      </c>
      <c r="H279" s="2" t="s">
        <v>32</v>
      </c>
      <c r="I279" s="2" t="s">
        <v>27</v>
      </c>
      <c r="J279" s="2" t="s">
        <v>19</v>
      </c>
      <c r="K279" s="2" t="s">
        <v>43</v>
      </c>
      <c r="L279" s="2" t="s">
        <v>65</v>
      </c>
      <c r="M279" s="2">
        <v>15</v>
      </c>
      <c r="N279" s="4">
        <v>28.5</v>
      </c>
      <c r="O279" s="5">
        <v>0</v>
      </c>
      <c r="P279" s="4">
        <v>12.8</v>
      </c>
      <c r="Q279" s="4">
        <f t="shared" si="34"/>
        <v>427.5</v>
      </c>
      <c r="R279" s="4">
        <f t="shared" si="35"/>
        <v>192</v>
      </c>
      <c r="S279" s="4">
        <f t="shared" si="36"/>
        <v>235.5</v>
      </c>
      <c r="T279" s="6">
        <f t="shared" si="37"/>
        <v>0.55087719298245619</v>
      </c>
    </row>
    <row r="280" spans="1:20" x14ac:dyDescent="0.3">
      <c r="A280" s="2">
        <v>1385</v>
      </c>
      <c r="B280" s="3">
        <v>46124</v>
      </c>
      <c r="C280" s="2">
        <f t="shared" si="32"/>
        <v>2026</v>
      </c>
      <c r="D280" s="2">
        <f t="shared" si="38"/>
        <v>2</v>
      </c>
      <c r="E280" s="2">
        <f t="shared" si="33"/>
        <v>4</v>
      </c>
      <c r="F280" s="2" t="str">
        <f t="shared" si="39"/>
        <v>Apr</v>
      </c>
      <c r="G280" s="2" t="s">
        <v>16</v>
      </c>
      <c r="H280" s="2" t="s">
        <v>22</v>
      </c>
      <c r="I280" s="2" t="s">
        <v>18</v>
      </c>
      <c r="J280" s="2" t="s">
        <v>38</v>
      </c>
      <c r="K280" s="2" t="s">
        <v>20</v>
      </c>
      <c r="L280" s="2" t="s">
        <v>34</v>
      </c>
      <c r="M280" s="2">
        <v>14</v>
      </c>
      <c r="N280" s="4">
        <v>29.95</v>
      </c>
      <c r="O280" s="5">
        <v>0</v>
      </c>
      <c r="P280" s="4">
        <v>11.5</v>
      </c>
      <c r="Q280" s="4">
        <f t="shared" si="34"/>
        <v>419.3</v>
      </c>
      <c r="R280" s="4">
        <f t="shared" si="35"/>
        <v>161</v>
      </c>
      <c r="S280" s="4">
        <f t="shared" si="36"/>
        <v>258.3</v>
      </c>
      <c r="T280" s="6">
        <f t="shared" si="37"/>
        <v>0.61602671118530883</v>
      </c>
    </row>
    <row r="281" spans="1:20" x14ac:dyDescent="0.3">
      <c r="A281" s="2">
        <v>1390</v>
      </c>
      <c r="B281" s="3">
        <v>46124</v>
      </c>
      <c r="C281" s="2">
        <f t="shared" si="32"/>
        <v>2026</v>
      </c>
      <c r="D281" s="2">
        <f t="shared" si="38"/>
        <v>2</v>
      </c>
      <c r="E281" s="2">
        <f t="shared" si="33"/>
        <v>4</v>
      </c>
      <c r="F281" s="2" t="str">
        <f t="shared" si="39"/>
        <v>Apr</v>
      </c>
      <c r="G281" s="2" t="s">
        <v>30</v>
      </c>
      <c r="H281" s="2" t="s">
        <v>35</v>
      </c>
      <c r="I281" s="2" t="s">
        <v>23</v>
      </c>
      <c r="J281" s="2" t="s">
        <v>24</v>
      </c>
      <c r="K281" s="2" t="s">
        <v>25</v>
      </c>
      <c r="L281" s="2" t="s">
        <v>60</v>
      </c>
      <c r="M281" s="2">
        <v>3</v>
      </c>
      <c r="N281" s="4">
        <v>81.260000000000005</v>
      </c>
      <c r="O281" s="5">
        <v>0.05</v>
      </c>
      <c r="P281" s="4">
        <v>39.119999999999997</v>
      </c>
      <c r="Q281" s="4">
        <f t="shared" si="34"/>
        <v>231.59100000000001</v>
      </c>
      <c r="R281" s="4">
        <f t="shared" si="35"/>
        <v>117.35999999999999</v>
      </c>
      <c r="S281" s="4">
        <f t="shared" si="36"/>
        <v>114.23100000000002</v>
      </c>
      <c r="T281" s="6">
        <f t="shared" si="37"/>
        <v>0.4932445561356012</v>
      </c>
    </row>
    <row r="282" spans="1:20" x14ac:dyDescent="0.3">
      <c r="A282" s="2">
        <v>1059</v>
      </c>
      <c r="B282" s="3">
        <v>46125</v>
      </c>
      <c r="C282" s="2">
        <f t="shared" si="32"/>
        <v>2026</v>
      </c>
      <c r="D282" s="2">
        <f t="shared" si="38"/>
        <v>2</v>
      </c>
      <c r="E282" s="2">
        <f t="shared" si="33"/>
        <v>4</v>
      </c>
      <c r="F282" s="2" t="str">
        <f t="shared" si="39"/>
        <v>Apr</v>
      </c>
      <c r="G282" s="2" t="s">
        <v>41</v>
      </c>
      <c r="H282" s="2" t="s">
        <v>53</v>
      </c>
      <c r="I282" s="2" t="s">
        <v>23</v>
      </c>
      <c r="J282" s="2" t="s">
        <v>24</v>
      </c>
      <c r="K282" s="2" t="s">
        <v>43</v>
      </c>
      <c r="L282" s="2" t="s">
        <v>57</v>
      </c>
      <c r="M282" s="2">
        <v>13</v>
      </c>
      <c r="N282" s="4">
        <v>82.06</v>
      </c>
      <c r="O282" s="5">
        <v>0.1</v>
      </c>
      <c r="P282" s="4">
        <v>42.94</v>
      </c>
      <c r="Q282" s="4">
        <f t="shared" si="34"/>
        <v>960.10199999999998</v>
      </c>
      <c r="R282" s="4">
        <f t="shared" si="35"/>
        <v>558.22</v>
      </c>
      <c r="S282" s="4">
        <f t="shared" si="36"/>
        <v>401.88199999999995</v>
      </c>
      <c r="T282" s="6">
        <f t="shared" si="37"/>
        <v>0.41858260893113436</v>
      </c>
    </row>
    <row r="283" spans="1:20" x14ac:dyDescent="0.3">
      <c r="A283" s="2">
        <v>1256</v>
      </c>
      <c r="B283" s="3">
        <v>46125</v>
      </c>
      <c r="C283" s="2">
        <f t="shared" si="32"/>
        <v>2026</v>
      </c>
      <c r="D283" s="2">
        <f t="shared" si="38"/>
        <v>2</v>
      </c>
      <c r="E283" s="2">
        <f t="shared" si="33"/>
        <v>4</v>
      </c>
      <c r="F283" s="2" t="str">
        <f t="shared" si="39"/>
        <v>Apr</v>
      </c>
      <c r="G283" s="2" t="s">
        <v>16</v>
      </c>
      <c r="H283" s="2" t="s">
        <v>17</v>
      </c>
      <c r="I283" s="2" t="s">
        <v>18</v>
      </c>
      <c r="J283" s="2" t="s">
        <v>38</v>
      </c>
      <c r="K283" s="2" t="s">
        <v>28</v>
      </c>
      <c r="L283" s="2" t="s">
        <v>29</v>
      </c>
      <c r="M283" s="2">
        <v>6</v>
      </c>
      <c r="N283" s="4">
        <v>54.75</v>
      </c>
      <c r="O283" s="5">
        <v>0</v>
      </c>
      <c r="P283" s="4">
        <v>24.3</v>
      </c>
      <c r="Q283" s="4">
        <f t="shared" si="34"/>
        <v>328.5</v>
      </c>
      <c r="R283" s="4">
        <f t="shared" si="35"/>
        <v>145.80000000000001</v>
      </c>
      <c r="S283" s="4">
        <f t="shared" si="36"/>
        <v>182.7</v>
      </c>
      <c r="T283" s="6">
        <f t="shared" si="37"/>
        <v>0.55616438356164377</v>
      </c>
    </row>
    <row r="284" spans="1:20" x14ac:dyDescent="0.3">
      <c r="A284" s="2">
        <v>1294</v>
      </c>
      <c r="B284" s="3">
        <v>46126</v>
      </c>
      <c r="C284" s="2">
        <f t="shared" si="32"/>
        <v>2026</v>
      </c>
      <c r="D284" s="2">
        <f t="shared" si="38"/>
        <v>2</v>
      </c>
      <c r="E284" s="2">
        <f t="shared" si="33"/>
        <v>4</v>
      </c>
      <c r="F284" s="2" t="str">
        <f t="shared" si="39"/>
        <v>Apr</v>
      </c>
      <c r="G284" s="2" t="s">
        <v>30</v>
      </c>
      <c r="H284" s="2" t="s">
        <v>46</v>
      </c>
      <c r="I284" s="2" t="s">
        <v>18</v>
      </c>
      <c r="J284" s="2" t="s">
        <v>19</v>
      </c>
      <c r="K284" s="2" t="s">
        <v>36</v>
      </c>
      <c r="L284" s="2" t="s">
        <v>58</v>
      </c>
      <c r="M284" s="2">
        <v>1</v>
      </c>
      <c r="N284" s="4">
        <v>32.99</v>
      </c>
      <c r="O284" s="5">
        <v>0.2</v>
      </c>
      <c r="P284" s="4">
        <v>12.5</v>
      </c>
      <c r="Q284" s="4">
        <f t="shared" si="34"/>
        <v>26.392000000000003</v>
      </c>
      <c r="R284" s="4">
        <f t="shared" si="35"/>
        <v>12.5</v>
      </c>
      <c r="S284" s="4">
        <f t="shared" si="36"/>
        <v>13.892000000000003</v>
      </c>
      <c r="T284" s="6">
        <f t="shared" si="37"/>
        <v>0.52637162776598978</v>
      </c>
    </row>
    <row r="285" spans="1:20" x14ac:dyDescent="0.3">
      <c r="A285" s="2">
        <v>1482</v>
      </c>
      <c r="B285" s="3">
        <v>46126</v>
      </c>
      <c r="C285" s="2">
        <f t="shared" si="32"/>
        <v>2026</v>
      </c>
      <c r="D285" s="2">
        <f t="shared" si="38"/>
        <v>2</v>
      </c>
      <c r="E285" s="2">
        <f t="shared" si="33"/>
        <v>4</v>
      </c>
      <c r="F285" s="2" t="str">
        <f t="shared" si="39"/>
        <v>Apr</v>
      </c>
      <c r="G285" s="2" t="s">
        <v>30</v>
      </c>
      <c r="H285" s="2" t="s">
        <v>35</v>
      </c>
      <c r="I285" s="2" t="s">
        <v>27</v>
      </c>
      <c r="J285" s="2" t="s">
        <v>19</v>
      </c>
      <c r="K285" s="2" t="s">
        <v>36</v>
      </c>
      <c r="L285" s="2" t="s">
        <v>47</v>
      </c>
      <c r="M285" s="2">
        <v>14</v>
      </c>
      <c r="N285" s="4">
        <v>40.6</v>
      </c>
      <c r="O285" s="5">
        <v>0</v>
      </c>
      <c r="P285" s="4">
        <v>15.04</v>
      </c>
      <c r="Q285" s="4">
        <f t="shared" si="34"/>
        <v>568.4</v>
      </c>
      <c r="R285" s="4">
        <f t="shared" si="35"/>
        <v>210.56</v>
      </c>
      <c r="S285" s="4">
        <f t="shared" si="36"/>
        <v>357.84</v>
      </c>
      <c r="T285" s="6">
        <f t="shared" si="37"/>
        <v>0.62955665024630536</v>
      </c>
    </row>
    <row r="286" spans="1:20" x14ac:dyDescent="0.3">
      <c r="A286" s="2">
        <v>1133</v>
      </c>
      <c r="B286" s="3">
        <v>46127</v>
      </c>
      <c r="C286" s="2">
        <f t="shared" si="32"/>
        <v>2026</v>
      </c>
      <c r="D286" s="2">
        <f t="shared" si="38"/>
        <v>2</v>
      </c>
      <c r="E286" s="2">
        <f t="shared" si="33"/>
        <v>4</v>
      </c>
      <c r="F286" s="2" t="str">
        <f t="shared" si="39"/>
        <v>Apr</v>
      </c>
      <c r="G286" s="2" t="s">
        <v>16</v>
      </c>
      <c r="H286" s="2" t="s">
        <v>17</v>
      </c>
      <c r="I286" s="2" t="s">
        <v>18</v>
      </c>
      <c r="J286" s="2" t="s">
        <v>24</v>
      </c>
      <c r="K286" s="2" t="s">
        <v>43</v>
      </c>
      <c r="L286" s="2" t="s">
        <v>57</v>
      </c>
      <c r="M286" s="2">
        <v>5</v>
      </c>
      <c r="N286" s="4">
        <v>82.06</v>
      </c>
      <c r="O286" s="5">
        <v>0.1</v>
      </c>
      <c r="P286" s="4">
        <v>42.94</v>
      </c>
      <c r="Q286" s="4">
        <f t="shared" si="34"/>
        <v>369.27000000000004</v>
      </c>
      <c r="R286" s="4">
        <f t="shared" si="35"/>
        <v>214.7</v>
      </c>
      <c r="S286" s="4">
        <f t="shared" si="36"/>
        <v>154.57000000000005</v>
      </c>
      <c r="T286" s="6">
        <f t="shared" si="37"/>
        <v>0.41858260893113447</v>
      </c>
    </row>
    <row r="287" spans="1:20" x14ac:dyDescent="0.3">
      <c r="A287" s="2">
        <v>1176</v>
      </c>
      <c r="B287" s="3">
        <v>46127</v>
      </c>
      <c r="C287" s="2">
        <f t="shared" si="32"/>
        <v>2026</v>
      </c>
      <c r="D287" s="2">
        <f t="shared" si="38"/>
        <v>2</v>
      </c>
      <c r="E287" s="2">
        <f t="shared" si="33"/>
        <v>4</v>
      </c>
      <c r="F287" s="2" t="str">
        <f t="shared" si="39"/>
        <v>Apr</v>
      </c>
      <c r="G287" s="2" t="s">
        <v>48</v>
      </c>
      <c r="H287" s="2" t="s">
        <v>63</v>
      </c>
      <c r="I287" s="2" t="s">
        <v>33</v>
      </c>
      <c r="J287" s="2" t="s">
        <v>38</v>
      </c>
      <c r="K287" s="2" t="s">
        <v>20</v>
      </c>
      <c r="L287" s="2" t="s">
        <v>56</v>
      </c>
      <c r="M287" s="2">
        <v>6</v>
      </c>
      <c r="N287" s="4">
        <v>36.72</v>
      </c>
      <c r="O287" s="5">
        <v>0</v>
      </c>
      <c r="P287" s="4">
        <v>13.76</v>
      </c>
      <c r="Q287" s="4">
        <f t="shared" si="34"/>
        <v>220.32</v>
      </c>
      <c r="R287" s="4">
        <f t="shared" si="35"/>
        <v>82.56</v>
      </c>
      <c r="S287" s="4">
        <f t="shared" si="36"/>
        <v>137.76</v>
      </c>
      <c r="T287" s="6">
        <f t="shared" si="37"/>
        <v>0.62527233115468406</v>
      </c>
    </row>
    <row r="288" spans="1:20" x14ac:dyDescent="0.3">
      <c r="A288" s="2">
        <v>1267</v>
      </c>
      <c r="B288" s="3">
        <v>46127</v>
      </c>
      <c r="C288" s="2">
        <f t="shared" si="32"/>
        <v>2026</v>
      </c>
      <c r="D288" s="2">
        <f t="shared" si="38"/>
        <v>2</v>
      </c>
      <c r="E288" s="2">
        <f t="shared" si="33"/>
        <v>4</v>
      </c>
      <c r="F288" s="2" t="str">
        <f t="shared" si="39"/>
        <v>Apr</v>
      </c>
      <c r="G288" s="2" t="s">
        <v>41</v>
      </c>
      <c r="H288" s="2" t="s">
        <v>53</v>
      </c>
      <c r="I288" s="2" t="s">
        <v>33</v>
      </c>
      <c r="J288" s="2" t="s">
        <v>38</v>
      </c>
      <c r="K288" s="2" t="s">
        <v>25</v>
      </c>
      <c r="L288" s="2" t="s">
        <v>55</v>
      </c>
      <c r="M288" s="2">
        <v>15</v>
      </c>
      <c r="N288" s="4">
        <v>194.35</v>
      </c>
      <c r="O288" s="5">
        <v>0.1</v>
      </c>
      <c r="P288" s="4">
        <v>104.22</v>
      </c>
      <c r="Q288" s="4">
        <f t="shared" si="34"/>
        <v>2623.7249999999999</v>
      </c>
      <c r="R288" s="4">
        <f t="shared" si="35"/>
        <v>1563.3</v>
      </c>
      <c r="S288" s="4">
        <f t="shared" si="36"/>
        <v>1060.425</v>
      </c>
      <c r="T288" s="6">
        <f t="shared" si="37"/>
        <v>0.40416773861589916</v>
      </c>
    </row>
    <row r="289" spans="1:20" x14ac:dyDescent="0.3">
      <c r="A289" s="2">
        <v>1026</v>
      </c>
      <c r="B289" s="3">
        <v>46128</v>
      </c>
      <c r="C289" s="2">
        <f t="shared" si="32"/>
        <v>2026</v>
      </c>
      <c r="D289" s="2">
        <f t="shared" si="38"/>
        <v>2</v>
      </c>
      <c r="E289" s="2">
        <f t="shared" si="33"/>
        <v>4</v>
      </c>
      <c r="F289" s="2" t="str">
        <f t="shared" si="39"/>
        <v>Apr</v>
      </c>
      <c r="G289" s="2" t="s">
        <v>30</v>
      </c>
      <c r="H289" s="2" t="s">
        <v>35</v>
      </c>
      <c r="I289" s="2" t="s">
        <v>27</v>
      </c>
      <c r="J289" s="2" t="s">
        <v>24</v>
      </c>
      <c r="K289" s="2" t="s">
        <v>43</v>
      </c>
      <c r="L289" s="2" t="s">
        <v>57</v>
      </c>
      <c r="M289" s="2">
        <v>7</v>
      </c>
      <c r="N289" s="4">
        <v>82.06</v>
      </c>
      <c r="O289" s="5">
        <v>0.2</v>
      </c>
      <c r="P289" s="4">
        <v>42.94</v>
      </c>
      <c r="Q289" s="4">
        <f t="shared" si="34"/>
        <v>459.53600000000006</v>
      </c>
      <c r="R289" s="4">
        <f t="shared" si="35"/>
        <v>300.58</v>
      </c>
      <c r="S289" s="4">
        <f t="shared" si="36"/>
        <v>158.95600000000007</v>
      </c>
      <c r="T289" s="6">
        <f t="shared" si="37"/>
        <v>0.3459054350475263</v>
      </c>
    </row>
    <row r="290" spans="1:20" x14ac:dyDescent="0.3">
      <c r="A290" s="2">
        <v>1113</v>
      </c>
      <c r="B290" s="3">
        <v>46128</v>
      </c>
      <c r="C290" s="2">
        <f t="shared" si="32"/>
        <v>2026</v>
      </c>
      <c r="D290" s="2">
        <f t="shared" si="38"/>
        <v>2</v>
      </c>
      <c r="E290" s="2">
        <f t="shared" si="33"/>
        <v>4</v>
      </c>
      <c r="F290" s="2" t="str">
        <f t="shared" si="39"/>
        <v>Apr</v>
      </c>
      <c r="G290" s="2" t="s">
        <v>16</v>
      </c>
      <c r="H290" s="2" t="s">
        <v>32</v>
      </c>
      <c r="I290" s="2" t="s">
        <v>23</v>
      </c>
      <c r="J290" s="2" t="s">
        <v>38</v>
      </c>
      <c r="K290" s="2" t="s">
        <v>25</v>
      </c>
      <c r="L290" s="2" t="s">
        <v>60</v>
      </c>
      <c r="M290" s="2">
        <v>7</v>
      </c>
      <c r="N290" s="4">
        <v>81.260000000000005</v>
      </c>
      <c r="O290" s="5">
        <v>0.2</v>
      </c>
      <c r="P290" s="4">
        <v>39.119999999999997</v>
      </c>
      <c r="Q290" s="4">
        <f t="shared" si="34"/>
        <v>455.05600000000004</v>
      </c>
      <c r="R290" s="4">
        <f t="shared" si="35"/>
        <v>273.83999999999997</v>
      </c>
      <c r="S290" s="4">
        <f t="shared" si="36"/>
        <v>181.21600000000007</v>
      </c>
      <c r="T290" s="6">
        <f t="shared" si="37"/>
        <v>0.39822791041102645</v>
      </c>
    </row>
    <row r="291" spans="1:20" x14ac:dyDescent="0.3">
      <c r="A291" s="2">
        <v>1128</v>
      </c>
      <c r="B291" s="3">
        <v>46129</v>
      </c>
      <c r="C291" s="2">
        <f t="shared" si="32"/>
        <v>2026</v>
      </c>
      <c r="D291" s="2">
        <f t="shared" si="38"/>
        <v>2</v>
      </c>
      <c r="E291" s="2">
        <f t="shared" si="33"/>
        <v>4</v>
      </c>
      <c r="F291" s="2" t="str">
        <f t="shared" si="39"/>
        <v>Apr</v>
      </c>
      <c r="G291" s="2" t="s">
        <v>41</v>
      </c>
      <c r="H291" s="2" t="s">
        <v>53</v>
      </c>
      <c r="I291" s="2" t="s">
        <v>27</v>
      </c>
      <c r="J291" s="2" t="s">
        <v>24</v>
      </c>
      <c r="K291" s="2" t="s">
        <v>28</v>
      </c>
      <c r="L291" s="2" t="s">
        <v>39</v>
      </c>
      <c r="M291" s="2">
        <v>9</v>
      </c>
      <c r="N291" s="4">
        <v>153.38999999999999</v>
      </c>
      <c r="O291" s="5">
        <v>0.15</v>
      </c>
      <c r="P291" s="4">
        <v>78.59</v>
      </c>
      <c r="Q291" s="4">
        <f t="shared" si="34"/>
        <v>1173.4334999999999</v>
      </c>
      <c r="R291" s="4">
        <f t="shared" si="35"/>
        <v>707.31000000000006</v>
      </c>
      <c r="S291" s="4">
        <f t="shared" si="36"/>
        <v>466.12349999999981</v>
      </c>
      <c r="T291" s="6">
        <f t="shared" si="37"/>
        <v>0.39723043529948637</v>
      </c>
    </row>
    <row r="292" spans="1:20" x14ac:dyDescent="0.3">
      <c r="A292" s="2">
        <v>1148</v>
      </c>
      <c r="B292" s="3">
        <v>46129</v>
      </c>
      <c r="C292" s="2">
        <f t="shared" si="32"/>
        <v>2026</v>
      </c>
      <c r="D292" s="2">
        <f t="shared" si="38"/>
        <v>2</v>
      </c>
      <c r="E292" s="2">
        <f t="shared" si="33"/>
        <v>4</v>
      </c>
      <c r="F292" s="2" t="str">
        <f t="shared" si="39"/>
        <v>Apr</v>
      </c>
      <c r="G292" s="2" t="s">
        <v>16</v>
      </c>
      <c r="H292" s="2" t="s">
        <v>32</v>
      </c>
      <c r="I292" s="2" t="s">
        <v>27</v>
      </c>
      <c r="J292" s="2" t="s">
        <v>24</v>
      </c>
      <c r="K292" s="2" t="s">
        <v>25</v>
      </c>
      <c r="L292" s="2" t="s">
        <v>55</v>
      </c>
      <c r="M292" s="2">
        <v>11</v>
      </c>
      <c r="N292" s="4">
        <v>194.35</v>
      </c>
      <c r="O292" s="5">
        <v>0.05</v>
      </c>
      <c r="P292" s="4">
        <v>104.22</v>
      </c>
      <c r="Q292" s="4">
        <f t="shared" si="34"/>
        <v>2030.9574999999998</v>
      </c>
      <c r="R292" s="4">
        <f t="shared" si="35"/>
        <v>1146.42</v>
      </c>
      <c r="S292" s="4">
        <f t="shared" si="36"/>
        <v>884.53749999999968</v>
      </c>
      <c r="T292" s="6">
        <f t="shared" si="37"/>
        <v>0.43552733132032539</v>
      </c>
    </row>
    <row r="293" spans="1:20" x14ac:dyDescent="0.3">
      <c r="A293" s="2">
        <v>1224</v>
      </c>
      <c r="B293" s="3">
        <v>46129</v>
      </c>
      <c r="C293" s="2">
        <f t="shared" si="32"/>
        <v>2026</v>
      </c>
      <c r="D293" s="2">
        <f t="shared" si="38"/>
        <v>2</v>
      </c>
      <c r="E293" s="2">
        <f t="shared" si="33"/>
        <v>4</v>
      </c>
      <c r="F293" s="2" t="str">
        <f t="shared" si="39"/>
        <v>Apr</v>
      </c>
      <c r="G293" s="2" t="s">
        <v>30</v>
      </c>
      <c r="H293" s="2" t="s">
        <v>46</v>
      </c>
      <c r="I293" s="2" t="s">
        <v>27</v>
      </c>
      <c r="J293" s="2" t="s">
        <v>19</v>
      </c>
      <c r="K293" s="2" t="s">
        <v>28</v>
      </c>
      <c r="L293" s="2" t="s">
        <v>39</v>
      </c>
      <c r="M293" s="2">
        <v>10</v>
      </c>
      <c r="N293" s="4">
        <v>153.38999999999999</v>
      </c>
      <c r="O293" s="5">
        <v>0</v>
      </c>
      <c r="P293" s="4">
        <v>78.59</v>
      </c>
      <c r="Q293" s="4">
        <f t="shared" si="34"/>
        <v>1533.8999999999999</v>
      </c>
      <c r="R293" s="4">
        <f t="shared" si="35"/>
        <v>785.90000000000009</v>
      </c>
      <c r="S293" s="4">
        <f t="shared" si="36"/>
        <v>747.99999999999977</v>
      </c>
      <c r="T293" s="6">
        <f t="shared" si="37"/>
        <v>0.48764587000456344</v>
      </c>
    </row>
    <row r="294" spans="1:20" x14ac:dyDescent="0.3">
      <c r="A294" s="2">
        <v>1432</v>
      </c>
      <c r="B294" s="3">
        <v>46129</v>
      </c>
      <c r="C294" s="2">
        <f t="shared" si="32"/>
        <v>2026</v>
      </c>
      <c r="D294" s="2">
        <f t="shared" si="38"/>
        <v>2</v>
      </c>
      <c r="E294" s="2">
        <f t="shared" si="33"/>
        <v>4</v>
      </c>
      <c r="F294" s="2" t="str">
        <f t="shared" si="39"/>
        <v>Apr</v>
      </c>
      <c r="G294" s="2" t="s">
        <v>16</v>
      </c>
      <c r="H294" s="2" t="s">
        <v>17</v>
      </c>
      <c r="I294" s="2" t="s">
        <v>33</v>
      </c>
      <c r="J294" s="2" t="s">
        <v>19</v>
      </c>
      <c r="K294" s="2" t="s">
        <v>25</v>
      </c>
      <c r="L294" s="2" t="s">
        <v>54</v>
      </c>
      <c r="M294" s="2">
        <v>15</v>
      </c>
      <c r="N294" s="4">
        <v>41.22</v>
      </c>
      <c r="O294" s="5">
        <v>0.1</v>
      </c>
      <c r="P294" s="4">
        <v>16.64</v>
      </c>
      <c r="Q294" s="4">
        <f t="shared" si="34"/>
        <v>556.47</v>
      </c>
      <c r="R294" s="4">
        <f t="shared" si="35"/>
        <v>249.60000000000002</v>
      </c>
      <c r="S294" s="4">
        <f t="shared" si="36"/>
        <v>306.87</v>
      </c>
      <c r="T294" s="6">
        <f t="shared" si="37"/>
        <v>0.55145829963879456</v>
      </c>
    </row>
    <row r="295" spans="1:20" x14ac:dyDescent="0.3">
      <c r="A295" s="2">
        <v>1142</v>
      </c>
      <c r="B295" s="3">
        <v>46130</v>
      </c>
      <c r="C295" s="2">
        <f t="shared" si="32"/>
        <v>2026</v>
      </c>
      <c r="D295" s="2">
        <f t="shared" si="38"/>
        <v>2</v>
      </c>
      <c r="E295" s="2">
        <f t="shared" si="33"/>
        <v>4</v>
      </c>
      <c r="F295" s="2" t="str">
        <f t="shared" si="39"/>
        <v>Apr</v>
      </c>
      <c r="G295" s="2" t="s">
        <v>16</v>
      </c>
      <c r="H295" s="2" t="s">
        <v>22</v>
      </c>
      <c r="I295" s="2" t="s">
        <v>18</v>
      </c>
      <c r="J295" s="2" t="s">
        <v>38</v>
      </c>
      <c r="K295" s="2" t="s">
        <v>43</v>
      </c>
      <c r="L295" s="2" t="s">
        <v>65</v>
      </c>
      <c r="M295" s="2">
        <v>8</v>
      </c>
      <c r="N295" s="4">
        <v>28.5</v>
      </c>
      <c r="O295" s="5">
        <v>0.05</v>
      </c>
      <c r="P295" s="4">
        <v>12.8</v>
      </c>
      <c r="Q295" s="4">
        <f t="shared" si="34"/>
        <v>216.6</v>
      </c>
      <c r="R295" s="4">
        <f t="shared" si="35"/>
        <v>102.4</v>
      </c>
      <c r="S295" s="4">
        <f t="shared" si="36"/>
        <v>114.19999999999999</v>
      </c>
      <c r="T295" s="6">
        <f t="shared" si="37"/>
        <v>0.52723915050784853</v>
      </c>
    </row>
    <row r="296" spans="1:20" x14ac:dyDescent="0.3">
      <c r="A296" s="2">
        <v>1156</v>
      </c>
      <c r="B296" s="3">
        <v>46130</v>
      </c>
      <c r="C296" s="2">
        <f t="shared" si="32"/>
        <v>2026</v>
      </c>
      <c r="D296" s="2">
        <f t="shared" si="38"/>
        <v>2</v>
      </c>
      <c r="E296" s="2">
        <f t="shared" si="33"/>
        <v>4</v>
      </c>
      <c r="F296" s="2" t="str">
        <f t="shared" si="39"/>
        <v>Apr</v>
      </c>
      <c r="G296" s="2" t="s">
        <v>30</v>
      </c>
      <c r="H296" s="2" t="s">
        <v>31</v>
      </c>
      <c r="I296" s="2" t="s">
        <v>27</v>
      </c>
      <c r="J296" s="2" t="s">
        <v>19</v>
      </c>
      <c r="K296" s="2" t="s">
        <v>28</v>
      </c>
      <c r="L296" s="2" t="s">
        <v>39</v>
      </c>
      <c r="M296" s="2">
        <v>5</v>
      </c>
      <c r="N296" s="4">
        <v>153.38999999999999</v>
      </c>
      <c r="O296" s="5">
        <v>0.2</v>
      </c>
      <c r="P296" s="4">
        <v>78.59</v>
      </c>
      <c r="Q296" s="4">
        <f t="shared" si="34"/>
        <v>613.55999999999995</v>
      </c>
      <c r="R296" s="4">
        <f t="shared" si="35"/>
        <v>392.95000000000005</v>
      </c>
      <c r="S296" s="4">
        <f t="shared" si="36"/>
        <v>220.6099999999999</v>
      </c>
      <c r="T296" s="6">
        <f t="shared" si="37"/>
        <v>0.35955733750570429</v>
      </c>
    </row>
    <row r="297" spans="1:20" x14ac:dyDescent="0.3">
      <c r="A297" s="2">
        <v>1192</v>
      </c>
      <c r="B297" s="3">
        <v>46130</v>
      </c>
      <c r="C297" s="2">
        <f t="shared" si="32"/>
        <v>2026</v>
      </c>
      <c r="D297" s="2">
        <f t="shared" si="38"/>
        <v>2</v>
      </c>
      <c r="E297" s="2">
        <f t="shared" si="33"/>
        <v>4</v>
      </c>
      <c r="F297" s="2" t="str">
        <f t="shared" si="39"/>
        <v>Apr</v>
      </c>
      <c r="G297" s="2" t="s">
        <v>30</v>
      </c>
      <c r="H297" s="2" t="s">
        <v>35</v>
      </c>
      <c r="I297" s="2" t="s">
        <v>18</v>
      </c>
      <c r="J297" s="2" t="s">
        <v>19</v>
      </c>
      <c r="K297" s="2" t="s">
        <v>43</v>
      </c>
      <c r="L297" s="2" t="s">
        <v>65</v>
      </c>
      <c r="M297" s="2">
        <v>10</v>
      </c>
      <c r="N297" s="4">
        <v>28.5</v>
      </c>
      <c r="O297" s="5">
        <v>0.15</v>
      </c>
      <c r="P297" s="4">
        <v>12.8</v>
      </c>
      <c r="Q297" s="4">
        <f t="shared" si="34"/>
        <v>242.25</v>
      </c>
      <c r="R297" s="4">
        <f t="shared" si="35"/>
        <v>128</v>
      </c>
      <c r="S297" s="4">
        <f t="shared" si="36"/>
        <v>114.25</v>
      </c>
      <c r="T297" s="6">
        <f t="shared" si="37"/>
        <v>0.47162022703818368</v>
      </c>
    </row>
    <row r="298" spans="1:20" x14ac:dyDescent="0.3">
      <c r="A298" s="2">
        <v>1240</v>
      </c>
      <c r="B298" s="3">
        <v>46130</v>
      </c>
      <c r="C298" s="2">
        <f t="shared" si="32"/>
        <v>2026</v>
      </c>
      <c r="D298" s="2">
        <f t="shared" si="38"/>
        <v>2</v>
      </c>
      <c r="E298" s="2">
        <f t="shared" si="33"/>
        <v>4</v>
      </c>
      <c r="F298" s="2" t="str">
        <f t="shared" si="39"/>
        <v>Apr</v>
      </c>
      <c r="G298" s="2" t="s">
        <v>41</v>
      </c>
      <c r="H298" s="2" t="s">
        <v>59</v>
      </c>
      <c r="I298" s="2" t="s">
        <v>33</v>
      </c>
      <c r="J298" s="2" t="s">
        <v>19</v>
      </c>
      <c r="K298" s="2" t="s">
        <v>28</v>
      </c>
      <c r="L298" s="2" t="s">
        <v>29</v>
      </c>
      <c r="M298" s="2">
        <v>9</v>
      </c>
      <c r="N298" s="4">
        <v>54.75</v>
      </c>
      <c r="O298" s="5">
        <v>0.15</v>
      </c>
      <c r="P298" s="4">
        <v>24.3</v>
      </c>
      <c r="Q298" s="4">
        <f t="shared" si="34"/>
        <v>418.83749999999998</v>
      </c>
      <c r="R298" s="4">
        <f t="shared" si="35"/>
        <v>218.70000000000002</v>
      </c>
      <c r="S298" s="4">
        <f t="shared" si="36"/>
        <v>200.13749999999996</v>
      </c>
      <c r="T298" s="6">
        <f t="shared" si="37"/>
        <v>0.47784045124899266</v>
      </c>
    </row>
    <row r="299" spans="1:20" x14ac:dyDescent="0.3">
      <c r="A299" s="2">
        <v>1041</v>
      </c>
      <c r="B299" s="3">
        <v>46131</v>
      </c>
      <c r="C299" s="2">
        <f t="shared" si="32"/>
        <v>2026</v>
      </c>
      <c r="D299" s="2">
        <f t="shared" si="38"/>
        <v>2</v>
      </c>
      <c r="E299" s="2">
        <f t="shared" si="33"/>
        <v>4</v>
      </c>
      <c r="F299" s="2" t="str">
        <f t="shared" si="39"/>
        <v>Apr</v>
      </c>
      <c r="G299" s="2" t="s">
        <v>48</v>
      </c>
      <c r="H299" s="2" t="s">
        <v>63</v>
      </c>
      <c r="I299" s="2" t="s">
        <v>27</v>
      </c>
      <c r="J299" s="2" t="s">
        <v>24</v>
      </c>
      <c r="K299" s="2" t="s">
        <v>43</v>
      </c>
      <c r="L299" s="2" t="s">
        <v>50</v>
      </c>
      <c r="M299" s="2">
        <v>13</v>
      </c>
      <c r="N299" s="4">
        <v>100.12</v>
      </c>
      <c r="O299" s="5">
        <v>0</v>
      </c>
      <c r="P299" s="4">
        <v>49.67</v>
      </c>
      <c r="Q299" s="4">
        <f t="shared" si="34"/>
        <v>1301.56</v>
      </c>
      <c r="R299" s="4">
        <f t="shared" si="35"/>
        <v>645.71</v>
      </c>
      <c r="S299" s="4">
        <f t="shared" si="36"/>
        <v>655.84999999999991</v>
      </c>
      <c r="T299" s="6">
        <f t="shared" si="37"/>
        <v>0.50389532560926886</v>
      </c>
    </row>
    <row r="300" spans="1:20" x14ac:dyDescent="0.3">
      <c r="A300" s="2">
        <v>1164</v>
      </c>
      <c r="B300" s="3">
        <v>46132</v>
      </c>
      <c r="C300" s="2">
        <f t="shared" si="32"/>
        <v>2026</v>
      </c>
      <c r="D300" s="2">
        <f t="shared" si="38"/>
        <v>2</v>
      </c>
      <c r="E300" s="2">
        <f t="shared" si="33"/>
        <v>4</v>
      </c>
      <c r="F300" s="2" t="str">
        <f t="shared" si="39"/>
        <v>Apr</v>
      </c>
      <c r="G300" s="2" t="s">
        <v>30</v>
      </c>
      <c r="H300" s="2" t="s">
        <v>46</v>
      </c>
      <c r="I300" s="2" t="s">
        <v>27</v>
      </c>
      <c r="J300" s="2" t="s">
        <v>24</v>
      </c>
      <c r="K300" s="2" t="s">
        <v>20</v>
      </c>
      <c r="L300" s="2" t="s">
        <v>56</v>
      </c>
      <c r="M300" s="2">
        <v>7</v>
      </c>
      <c r="N300" s="4">
        <v>36.72</v>
      </c>
      <c r="O300" s="5">
        <v>0</v>
      </c>
      <c r="P300" s="4">
        <v>13.76</v>
      </c>
      <c r="Q300" s="4">
        <f t="shared" si="34"/>
        <v>257.03999999999996</v>
      </c>
      <c r="R300" s="4">
        <f t="shared" si="35"/>
        <v>96.32</v>
      </c>
      <c r="S300" s="4">
        <f t="shared" si="36"/>
        <v>160.71999999999997</v>
      </c>
      <c r="T300" s="6">
        <f t="shared" si="37"/>
        <v>0.62527233115468406</v>
      </c>
    </row>
    <row r="301" spans="1:20" x14ac:dyDescent="0.3">
      <c r="A301" s="2">
        <v>1416</v>
      </c>
      <c r="B301" s="3">
        <v>46132</v>
      </c>
      <c r="C301" s="2">
        <f t="shared" si="32"/>
        <v>2026</v>
      </c>
      <c r="D301" s="2">
        <f t="shared" si="38"/>
        <v>2</v>
      </c>
      <c r="E301" s="2">
        <f t="shared" si="33"/>
        <v>4</v>
      </c>
      <c r="F301" s="2" t="str">
        <f t="shared" si="39"/>
        <v>Apr</v>
      </c>
      <c r="G301" s="2" t="s">
        <v>16</v>
      </c>
      <c r="H301" s="2" t="s">
        <v>32</v>
      </c>
      <c r="I301" s="2" t="s">
        <v>18</v>
      </c>
      <c r="J301" s="2" t="s">
        <v>24</v>
      </c>
      <c r="K301" s="2" t="s">
        <v>36</v>
      </c>
      <c r="L301" s="2" t="s">
        <v>58</v>
      </c>
      <c r="M301" s="2">
        <v>4</v>
      </c>
      <c r="N301" s="4">
        <v>32.99</v>
      </c>
      <c r="O301" s="5">
        <v>0</v>
      </c>
      <c r="P301" s="4">
        <v>12.5</v>
      </c>
      <c r="Q301" s="4">
        <f t="shared" si="34"/>
        <v>131.96</v>
      </c>
      <c r="R301" s="4">
        <f t="shared" si="35"/>
        <v>50</v>
      </c>
      <c r="S301" s="4">
        <f t="shared" si="36"/>
        <v>81.960000000000008</v>
      </c>
      <c r="T301" s="6">
        <f t="shared" si="37"/>
        <v>0.6210973022127918</v>
      </c>
    </row>
    <row r="302" spans="1:20" x14ac:dyDescent="0.3">
      <c r="A302" s="2">
        <v>1052</v>
      </c>
      <c r="B302" s="3">
        <v>46133</v>
      </c>
      <c r="C302" s="2">
        <f t="shared" si="32"/>
        <v>2026</v>
      </c>
      <c r="D302" s="2">
        <f t="shared" si="38"/>
        <v>2</v>
      </c>
      <c r="E302" s="2">
        <f t="shared" si="33"/>
        <v>4</v>
      </c>
      <c r="F302" s="2" t="str">
        <f t="shared" si="39"/>
        <v>Apr</v>
      </c>
      <c r="G302" s="2" t="s">
        <v>16</v>
      </c>
      <c r="H302" s="2" t="s">
        <v>22</v>
      </c>
      <c r="I302" s="2" t="s">
        <v>27</v>
      </c>
      <c r="J302" s="2" t="s">
        <v>19</v>
      </c>
      <c r="K302" s="2" t="s">
        <v>20</v>
      </c>
      <c r="L302" s="2" t="s">
        <v>34</v>
      </c>
      <c r="M302" s="2">
        <v>11</v>
      </c>
      <c r="N302" s="4">
        <v>29.95</v>
      </c>
      <c r="O302" s="5">
        <v>0</v>
      </c>
      <c r="P302" s="4">
        <v>11.5</v>
      </c>
      <c r="Q302" s="4">
        <f t="shared" si="34"/>
        <v>329.45</v>
      </c>
      <c r="R302" s="4">
        <f t="shared" si="35"/>
        <v>126.5</v>
      </c>
      <c r="S302" s="4">
        <f t="shared" si="36"/>
        <v>202.95</v>
      </c>
      <c r="T302" s="6">
        <f t="shared" si="37"/>
        <v>0.61602671118530883</v>
      </c>
    </row>
    <row r="303" spans="1:20" x14ac:dyDescent="0.3">
      <c r="A303" s="2">
        <v>1079</v>
      </c>
      <c r="B303" s="3">
        <v>46133</v>
      </c>
      <c r="C303" s="2">
        <f t="shared" si="32"/>
        <v>2026</v>
      </c>
      <c r="D303" s="2">
        <f t="shared" si="38"/>
        <v>2</v>
      </c>
      <c r="E303" s="2">
        <f t="shared" si="33"/>
        <v>4</v>
      </c>
      <c r="F303" s="2" t="str">
        <f t="shared" si="39"/>
        <v>Apr</v>
      </c>
      <c r="G303" s="2" t="s">
        <v>48</v>
      </c>
      <c r="H303" s="2" t="s">
        <v>66</v>
      </c>
      <c r="I303" s="2" t="s">
        <v>27</v>
      </c>
      <c r="J303" s="2" t="s">
        <v>19</v>
      </c>
      <c r="K303" s="2" t="s">
        <v>28</v>
      </c>
      <c r="L303" s="2" t="s">
        <v>29</v>
      </c>
      <c r="M303" s="2">
        <v>3</v>
      </c>
      <c r="N303" s="4">
        <v>54.75</v>
      </c>
      <c r="O303" s="5">
        <v>0.2</v>
      </c>
      <c r="P303" s="4">
        <v>24.3</v>
      </c>
      <c r="Q303" s="4">
        <f t="shared" si="34"/>
        <v>131.4</v>
      </c>
      <c r="R303" s="4">
        <f t="shared" si="35"/>
        <v>72.900000000000006</v>
      </c>
      <c r="S303" s="4">
        <f t="shared" si="36"/>
        <v>58.5</v>
      </c>
      <c r="T303" s="6">
        <f t="shared" si="37"/>
        <v>0.4452054794520548</v>
      </c>
    </row>
    <row r="304" spans="1:20" x14ac:dyDescent="0.3">
      <c r="A304" s="2">
        <v>1162</v>
      </c>
      <c r="B304" s="3">
        <v>46133</v>
      </c>
      <c r="C304" s="2">
        <f t="shared" si="32"/>
        <v>2026</v>
      </c>
      <c r="D304" s="2">
        <f t="shared" si="38"/>
        <v>2</v>
      </c>
      <c r="E304" s="2">
        <f t="shared" si="33"/>
        <v>4</v>
      </c>
      <c r="F304" s="2" t="str">
        <f t="shared" si="39"/>
        <v>Apr</v>
      </c>
      <c r="G304" s="2" t="s">
        <v>41</v>
      </c>
      <c r="H304" s="2" t="s">
        <v>53</v>
      </c>
      <c r="I304" s="2" t="s">
        <v>27</v>
      </c>
      <c r="J304" s="2" t="s">
        <v>24</v>
      </c>
      <c r="K304" s="2" t="s">
        <v>25</v>
      </c>
      <c r="L304" s="2" t="s">
        <v>54</v>
      </c>
      <c r="M304" s="2">
        <v>9</v>
      </c>
      <c r="N304" s="4">
        <v>41.22</v>
      </c>
      <c r="O304" s="5">
        <v>0.15</v>
      </c>
      <c r="P304" s="4">
        <v>16.64</v>
      </c>
      <c r="Q304" s="4">
        <f t="shared" si="34"/>
        <v>315.33300000000003</v>
      </c>
      <c r="R304" s="4">
        <f t="shared" si="35"/>
        <v>149.76</v>
      </c>
      <c r="S304" s="4">
        <f t="shared" si="36"/>
        <v>165.57300000000004</v>
      </c>
      <c r="T304" s="6">
        <f t="shared" si="37"/>
        <v>0.5250734937351943</v>
      </c>
    </row>
    <row r="305" spans="1:20" x14ac:dyDescent="0.3">
      <c r="A305" s="2">
        <v>1311</v>
      </c>
      <c r="B305" s="3">
        <v>46133</v>
      </c>
      <c r="C305" s="2">
        <f t="shared" si="32"/>
        <v>2026</v>
      </c>
      <c r="D305" s="2">
        <f t="shared" si="38"/>
        <v>2</v>
      </c>
      <c r="E305" s="2">
        <f t="shared" si="33"/>
        <v>4</v>
      </c>
      <c r="F305" s="2" t="str">
        <f t="shared" si="39"/>
        <v>Apr</v>
      </c>
      <c r="G305" s="2" t="s">
        <v>41</v>
      </c>
      <c r="H305" s="2" t="s">
        <v>42</v>
      </c>
      <c r="I305" s="2" t="s">
        <v>23</v>
      </c>
      <c r="J305" s="2" t="s">
        <v>38</v>
      </c>
      <c r="K305" s="2" t="s">
        <v>20</v>
      </c>
      <c r="L305" s="2" t="s">
        <v>21</v>
      </c>
      <c r="M305" s="2">
        <v>8</v>
      </c>
      <c r="N305" s="4">
        <v>46.99</v>
      </c>
      <c r="O305" s="5">
        <v>0.05</v>
      </c>
      <c r="P305" s="4">
        <v>18.11</v>
      </c>
      <c r="Q305" s="4">
        <f t="shared" si="34"/>
        <v>357.12400000000002</v>
      </c>
      <c r="R305" s="4">
        <f t="shared" si="35"/>
        <v>144.88</v>
      </c>
      <c r="S305" s="4">
        <f t="shared" si="36"/>
        <v>212.24400000000003</v>
      </c>
      <c r="T305" s="6">
        <f t="shared" si="37"/>
        <v>0.59431457980981395</v>
      </c>
    </row>
    <row r="306" spans="1:20" x14ac:dyDescent="0.3">
      <c r="A306" s="2">
        <v>1489</v>
      </c>
      <c r="B306" s="3">
        <v>46133</v>
      </c>
      <c r="C306" s="2">
        <f t="shared" si="32"/>
        <v>2026</v>
      </c>
      <c r="D306" s="2">
        <f t="shared" si="38"/>
        <v>2</v>
      </c>
      <c r="E306" s="2">
        <f t="shared" si="33"/>
        <v>4</v>
      </c>
      <c r="F306" s="2" t="str">
        <f t="shared" si="39"/>
        <v>Apr</v>
      </c>
      <c r="G306" s="2" t="s">
        <v>30</v>
      </c>
      <c r="H306" s="2" t="s">
        <v>45</v>
      </c>
      <c r="I306" s="2" t="s">
        <v>18</v>
      </c>
      <c r="J306" s="2" t="s">
        <v>38</v>
      </c>
      <c r="K306" s="2" t="s">
        <v>36</v>
      </c>
      <c r="L306" s="2" t="s">
        <v>62</v>
      </c>
      <c r="M306" s="2">
        <v>12</v>
      </c>
      <c r="N306" s="4">
        <v>124.97</v>
      </c>
      <c r="O306" s="5">
        <v>0</v>
      </c>
      <c r="P306" s="4">
        <v>67.36</v>
      </c>
      <c r="Q306" s="4">
        <f t="shared" si="34"/>
        <v>1499.6399999999999</v>
      </c>
      <c r="R306" s="4">
        <f t="shared" si="35"/>
        <v>808.31999999999994</v>
      </c>
      <c r="S306" s="4">
        <f t="shared" si="36"/>
        <v>691.31999999999994</v>
      </c>
      <c r="T306" s="6">
        <f t="shared" si="37"/>
        <v>0.46099063775306071</v>
      </c>
    </row>
    <row r="307" spans="1:20" x14ac:dyDescent="0.3">
      <c r="A307" s="2">
        <v>1102</v>
      </c>
      <c r="B307" s="3">
        <v>46134</v>
      </c>
      <c r="C307" s="2">
        <f t="shared" si="32"/>
        <v>2026</v>
      </c>
      <c r="D307" s="2">
        <f t="shared" si="38"/>
        <v>2</v>
      </c>
      <c r="E307" s="2">
        <f t="shared" si="33"/>
        <v>4</v>
      </c>
      <c r="F307" s="2" t="str">
        <f t="shared" si="39"/>
        <v>Apr</v>
      </c>
      <c r="G307" s="2" t="s">
        <v>30</v>
      </c>
      <c r="H307" s="2" t="s">
        <v>35</v>
      </c>
      <c r="I307" s="2" t="s">
        <v>27</v>
      </c>
      <c r="J307" s="2" t="s">
        <v>19</v>
      </c>
      <c r="K307" s="2" t="s">
        <v>25</v>
      </c>
      <c r="L307" s="2" t="s">
        <v>55</v>
      </c>
      <c r="M307" s="2">
        <v>7</v>
      </c>
      <c r="N307" s="4">
        <v>194.35</v>
      </c>
      <c r="O307" s="5">
        <v>0.05</v>
      </c>
      <c r="P307" s="4">
        <v>104.22</v>
      </c>
      <c r="Q307" s="4">
        <f t="shared" si="34"/>
        <v>1292.4275</v>
      </c>
      <c r="R307" s="4">
        <f t="shared" si="35"/>
        <v>729.54</v>
      </c>
      <c r="S307" s="4">
        <f t="shared" si="36"/>
        <v>562.88750000000005</v>
      </c>
      <c r="T307" s="6">
        <f t="shared" si="37"/>
        <v>0.43552733132032556</v>
      </c>
    </row>
    <row r="308" spans="1:20" x14ac:dyDescent="0.3">
      <c r="A308" s="2">
        <v>1205</v>
      </c>
      <c r="B308" s="3">
        <v>46134</v>
      </c>
      <c r="C308" s="2">
        <f t="shared" si="32"/>
        <v>2026</v>
      </c>
      <c r="D308" s="2">
        <f t="shared" si="38"/>
        <v>2</v>
      </c>
      <c r="E308" s="2">
        <f t="shared" si="33"/>
        <v>4</v>
      </c>
      <c r="F308" s="2" t="str">
        <f t="shared" si="39"/>
        <v>Apr</v>
      </c>
      <c r="G308" s="2" t="s">
        <v>48</v>
      </c>
      <c r="H308" s="2" t="s">
        <v>63</v>
      </c>
      <c r="I308" s="2" t="s">
        <v>23</v>
      </c>
      <c r="J308" s="2" t="s">
        <v>24</v>
      </c>
      <c r="K308" s="2" t="s">
        <v>43</v>
      </c>
      <c r="L308" s="2" t="s">
        <v>65</v>
      </c>
      <c r="M308" s="2">
        <v>6</v>
      </c>
      <c r="N308" s="4">
        <v>28.5</v>
      </c>
      <c r="O308" s="5">
        <v>0.15</v>
      </c>
      <c r="P308" s="4">
        <v>12.8</v>
      </c>
      <c r="Q308" s="4">
        <f t="shared" si="34"/>
        <v>145.35</v>
      </c>
      <c r="R308" s="4">
        <f t="shared" si="35"/>
        <v>76.800000000000011</v>
      </c>
      <c r="S308" s="4">
        <f t="shared" si="36"/>
        <v>68.549999999999983</v>
      </c>
      <c r="T308" s="6">
        <f t="shared" si="37"/>
        <v>0.47162022703818357</v>
      </c>
    </row>
    <row r="309" spans="1:20" x14ac:dyDescent="0.3">
      <c r="A309" s="2">
        <v>1127</v>
      </c>
      <c r="B309" s="3">
        <v>46135</v>
      </c>
      <c r="C309" s="2">
        <f t="shared" si="32"/>
        <v>2026</v>
      </c>
      <c r="D309" s="2">
        <f t="shared" si="38"/>
        <v>2</v>
      </c>
      <c r="E309" s="2">
        <f t="shared" si="33"/>
        <v>4</v>
      </c>
      <c r="F309" s="2" t="str">
        <f t="shared" si="39"/>
        <v>Apr</v>
      </c>
      <c r="G309" s="2" t="s">
        <v>16</v>
      </c>
      <c r="H309" s="2" t="s">
        <v>22</v>
      </c>
      <c r="I309" s="2" t="s">
        <v>27</v>
      </c>
      <c r="J309" s="2" t="s">
        <v>19</v>
      </c>
      <c r="K309" s="2" t="s">
        <v>20</v>
      </c>
      <c r="L309" s="2" t="s">
        <v>21</v>
      </c>
      <c r="M309" s="2">
        <v>2</v>
      </c>
      <c r="N309" s="4">
        <v>46.99</v>
      </c>
      <c r="O309" s="5">
        <v>0.05</v>
      </c>
      <c r="P309" s="4">
        <v>18.11</v>
      </c>
      <c r="Q309" s="4">
        <f t="shared" si="34"/>
        <v>89.281000000000006</v>
      </c>
      <c r="R309" s="4">
        <f t="shared" si="35"/>
        <v>36.22</v>
      </c>
      <c r="S309" s="4">
        <f t="shared" si="36"/>
        <v>53.061000000000007</v>
      </c>
      <c r="T309" s="6">
        <f t="shared" si="37"/>
        <v>0.59431457980981395</v>
      </c>
    </row>
    <row r="310" spans="1:20" x14ac:dyDescent="0.3">
      <c r="A310" s="2">
        <v>1201</v>
      </c>
      <c r="B310" s="3">
        <v>46135</v>
      </c>
      <c r="C310" s="2">
        <f t="shared" si="32"/>
        <v>2026</v>
      </c>
      <c r="D310" s="2">
        <f t="shared" si="38"/>
        <v>2</v>
      </c>
      <c r="E310" s="2">
        <f t="shared" si="33"/>
        <v>4</v>
      </c>
      <c r="F310" s="2" t="str">
        <f t="shared" si="39"/>
        <v>Apr</v>
      </c>
      <c r="G310" s="2" t="s">
        <v>30</v>
      </c>
      <c r="H310" s="2" t="s">
        <v>31</v>
      </c>
      <c r="I310" s="2" t="s">
        <v>27</v>
      </c>
      <c r="J310" s="2" t="s">
        <v>19</v>
      </c>
      <c r="K310" s="2" t="s">
        <v>28</v>
      </c>
      <c r="L310" s="2" t="s">
        <v>29</v>
      </c>
      <c r="M310" s="2">
        <v>12</v>
      </c>
      <c r="N310" s="4">
        <v>54.75</v>
      </c>
      <c r="O310" s="5">
        <v>0.1</v>
      </c>
      <c r="P310" s="4">
        <v>24.3</v>
      </c>
      <c r="Q310" s="4">
        <f t="shared" si="34"/>
        <v>591.30000000000007</v>
      </c>
      <c r="R310" s="4">
        <f t="shared" si="35"/>
        <v>291.60000000000002</v>
      </c>
      <c r="S310" s="4">
        <f t="shared" si="36"/>
        <v>299.70000000000005</v>
      </c>
      <c r="T310" s="6">
        <f t="shared" si="37"/>
        <v>0.50684931506849318</v>
      </c>
    </row>
    <row r="311" spans="1:20" x14ac:dyDescent="0.3">
      <c r="A311" s="2">
        <v>1273</v>
      </c>
      <c r="B311" s="3">
        <v>46135</v>
      </c>
      <c r="C311" s="2">
        <f t="shared" si="32"/>
        <v>2026</v>
      </c>
      <c r="D311" s="2">
        <f t="shared" si="38"/>
        <v>2</v>
      </c>
      <c r="E311" s="2">
        <f t="shared" si="33"/>
        <v>4</v>
      </c>
      <c r="F311" s="2" t="str">
        <f t="shared" si="39"/>
        <v>Apr</v>
      </c>
      <c r="G311" s="2" t="s">
        <v>41</v>
      </c>
      <c r="H311" s="2" t="s">
        <v>53</v>
      </c>
      <c r="I311" s="2" t="s">
        <v>23</v>
      </c>
      <c r="J311" s="2" t="s">
        <v>19</v>
      </c>
      <c r="K311" s="2" t="s">
        <v>43</v>
      </c>
      <c r="L311" s="2" t="s">
        <v>44</v>
      </c>
      <c r="M311" s="2">
        <v>9</v>
      </c>
      <c r="N311" s="4">
        <v>49.6</v>
      </c>
      <c r="O311" s="5">
        <v>0.05</v>
      </c>
      <c r="P311" s="4">
        <v>23.05</v>
      </c>
      <c r="Q311" s="4">
        <f t="shared" si="34"/>
        <v>424.08000000000004</v>
      </c>
      <c r="R311" s="4">
        <f t="shared" si="35"/>
        <v>207.45000000000002</v>
      </c>
      <c r="S311" s="4">
        <f t="shared" si="36"/>
        <v>216.63000000000002</v>
      </c>
      <c r="T311" s="6">
        <f t="shared" si="37"/>
        <v>0.51082342954159599</v>
      </c>
    </row>
    <row r="312" spans="1:20" x14ac:dyDescent="0.3">
      <c r="A312" s="2">
        <v>1476</v>
      </c>
      <c r="B312" s="3">
        <v>46135</v>
      </c>
      <c r="C312" s="2">
        <f t="shared" si="32"/>
        <v>2026</v>
      </c>
      <c r="D312" s="2">
        <f t="shared" si="38"/>
        <v>2</v>
      </c>
      <c r="E312" s="2">
        <f t="shared" si="33"/>
        <v>4</v>
      </c>
      <c r="F312" s="2" t="str">
        <f t="shared" si="39"/>
        <v>Apr</v>
      </c>
      <c r="G312" s="2" t="s">
        <v>16</v>
      </c>
      <c r="H312" s="2" t="s">
        <v>17</v>
      </c>
      <c r="I312" s="2" t="s">
        <v>23</v>
      </c>
      <c r="J312" s="2" t="s">
        <v>19</v>
      </c>
      <c r="K312" s="2" t="s">
        <v>20</v>
      </c>
      <c r="L312" s="2" t="s">
        <v>34</v>
      </c>
      <c r="M312" s="2">
        <v>1</v>
      </c>
      <c r="N312" s="4">
        <v>29.95</v>
      </c>
      <c r="O312" s="5">
        <v>0.2</v>
      </c>
      <c r="P312" s="4">
        <v>11.5</v>
      </c>
      <c r="Q312" s="4">
        <f t="shared" si="34"/>
        <v>23.96</v>
      </c>
      <c r="R312" s="4">
        <f t="shared" si="35"/>
        <v>11.5</v>
      </c>
      <c r="S312" s="4">
        <f t="shared" si="36"/>
        <v>12.46</v>
      </c>
      <c r="T312" s="6">
        <f t="shared" si="37"/>
        <v>0.52003338898163609</v>
      </c>
    </row>
    <row r="313" spans="1:20" x14ac:dyDescent="0.3">
      <c r="A313" s="2">
        <v>1042</v>
      </c>
      <c r="B313" s="3">
        <v>46136</v>
      </c>
      <c r="C313" s="2">
        <f t="shared" si="32"/>
        <v>2026</v>
      </c>
      <c r="D313" s="2">
        <f t="shared" si="38"/>
        <v>2</v>
      </c>
      <c r="E313" s="2">
        <f t="shared" si="33"/>
        <v>4</v>
      </c>
      <c r="F313" s="2" t="str">
        <f t="shared" si="39"/>
        <v>Apr</v>
      </c>
      <c r="G313" s="2" t="s">
        <v>30</v>
      </c>
      <c r="H313" s="2" t="s">
        <v>35</v>
      </c>
      <c r="I313" s="2" t="s">
        <v>23</v>
      </c>
      <c r="J313" s="2" t="s">
        <v>19</v>
      </c>
      <c r="K313" s="2" t="s">
        <v>43</v>
      </c>
      <c r="L313" s="2" t="s">
        <v>57</v>
      </c>
      <c r="M313" s="2">
        <v>15</v>
      </c>
      <c r="N313" s="4">
        <v>82.06</v>
      </c>
      <c r="O313" s="5">
        <v>0.2</v>
      </c>
      <c r="P313" s="4">
        <v>42.94</v>
      </c>
      <c r="Q313" s="4">
        <f t="shared" si="34"/>
        <v>984.72000000000014</v>
      </c>
      <c r="R313" s="4">
        <f t="shared" si="35"/>
        <v>644.09999999999991</v>
      </c>
      <c r="S313" s="4">
        <f t="shared" si="36"/>
        <v>340.62000000000023</v>
      </c>
      <c r="T313" s="6">
        <f t="shared" si="37"/>
        <v>0.34590543504752641</v>
      </c>
    </row>
    <row r="314" spans="1:20" x14ac:dyDescent="0.3">
      <c r="A314" s="2">
        <v>1106</v>
      </c>
      <c r="B314" s="3">
        <v>46136</v>
      </c>
      <c r="C314" s="2">
        <f t="shared" si="32"/>
        <v>2026</v>
      </c>
      <c r="D314" s="2">
        <f t="shared" si="38"/>
        <v>2</v>
      </c>
      <c r="E314" s="2">
        <f t="shared" si="33"/>
        <v>4</v>
      </c>
      <c r="F314" s="2" t="str">
        <f t="shared" si="39"/>
        <v>Apr</v>
      </c>
      <c r="G314" s="2" t="s">
        <v>16</v>
      </c>
      <c r="H314" s="2" t="s">
        <v>17</v>
      </c>
      <c r="I314" s="2" t="s">
        <v>33</v>
      </c>
      <c r="J314" s="2" t="s">
        <v>19</v>
      </c>
      <c r="K314" s="2" t="s">
        <v>20</v>
      </c>
      <c r="L314" s="2" t="s">
        <v>21</v>
      </c>
      <c r="M314" s="2">
        <v>15</v>
      </c>
      <c r="N314" s="4">
        <v>46.99</v>
      </c>
      <c r="O314" s="5">
        <v>0.05</v>
      </c>
      <c r="P314" s="4">
        <v>18.11</v>
      </c>
      <c r="Q314" s="4">
        <f t="shared" si="34"/>
        <v>669.60749999999996</v>
      </c>
      <c r="R314" s="4">
        <f t="shared" si="35"/>
        <v>271.64999999999998</v>
      </c>
      <c r="S314" s="4">
        <f t="shared" si="36"/>
        <v>397.95749999999998</v>
      </c>
      <c r="T314" s="6">
        <f t="shared" si="37"/>
        <v>0.59431457980981395</v>
      </c>
    </row>
    <row r="315" spans="1:20" x14ac:dyDescent="0.3">
      <c r="A315" s="2">
        <v>1136</v>
      </c>
      <c r="B315" s="3">
        <v>46136</v>
      </c>
      <c r="C315" s="2">
        <f t="shared" si="32"/>
        <v>2026</v>
      </c>
      <c r="D315" s="2">
        <f t="shared" si="38"/>
        <v>2</v>
      </c>
      <c r="E315" s="2">
        <f t="shared" si="33"/>
        <v>4</v>
      </c>
      <c r="F315" s="2" t="str">
        <f t="shared" si="39"/>
        <v>Apr</v>
      </c>
      <c r="G315" s="2" t="s">
        <v>30</v>
      </c>
      <c r="H315" s="2" t="s">
        <v>45</v>
      </c>
      <c r="I315" s="2" t="s">
        <v>27</v>
      </c>
      <c r="J315" s="2" t="s">
        <v>24</v>
      </c>
      <c r="K315" s="2" t="s">
        <v>20</v>
      </c>
      <c r="L315" s="2" t="s">
        <v>56</v>
      </c>
      <c r="M315" s="2">
        <v>11</v>
      </c>
      <c r="N315" s="4">
        <v>36.72</v>
      </c>
      <c r="O315" s="5">
        <v>0.05</v>
      </c>
      <c r="P315" s="4">
        <v>13.76</v>
      </c>
      <c r="Q315" s="4">
        <f t="shared" si="34"/>
        <v>383.72399999999993</v>
      </c>
      <c r="R315" s="4">
        <f t="shared" si="35"/>
        <v>151.35999999999999</v>
      </c>
      <c r="S315" s="4">
        <f t="shared" si="36"/>
        <v>232.36399999999995</v>
      </c>
      <c r="T315" s="6">
        <f t="shared" si="37"/>
        <v>0.60554982226808851</v>
      </c>
    </row>
    <row r="316" spans="1:20" x14ac:dyDescent="0.3">
      <c r="A316" s="2">
        <v>1316</v>
      </c>
      <c r="B316" s="3">
        <v>46137</v>
      </c>
      <c r="C316" s="2">
        <f t="shared" si="32"/>
        <v>2026</v>
      </c>
      <c r="D316" s="2">
        <f t="shared" si="38"/>
        <v>2</v>
      </c>
      <c r="E316" s="2">
        <f t="shared" si="33"/>
        <v>4</v>
      </c>
      <c r="F316" s="2" t="str">
        <f t="shared" si="39"/>
        <v>Apr</v>
      </c>
      <c r="G316" s="2" t="s">
        <v>30</v>
      </c>
      <c r="H316" s="2" t="s">
        <v>46</v>
      </c>
      <c r="I316" s="2" t="s">
        <v>27</v>
      </c>
      <c r="J316" s="2" t="s">
        <v>19</v>
      </c>
      <c r="K316" s="2" t="s">
        <v>36</v>
      </c>
      <c r="L316" s="2" t="s">
        <v>58</v>
      </c>
      <c r="M316" s="2">
        <v>9</v>
      </c>
      <c r="N316" s="4">
        <v>32.99</v>
      </c>
      <c r="O316" s="5">
        <v>0</v>
      </c>
      <c r="P316" s="4">
        <v>12.5</v>
      </c>
      <c r="Q316" s="4">
        <f t="shared" si="34"/>
        <v>296.91000000000003</v>
      </c>
      <c r="R316" s="4">
        <f t="shared" si="35"/>
        <v>112.5</v>
      </c>
      <c r="S316" s="4">
        <f t="shared" si="36"/>
        <v>184.41000000000003</v>
      </c>
      <c r="T316" s="6">
        <f t="shared" si="37"/>
        <v>0.6210973022127918</v>
      </c>
    </row>
    <row r="317" spans="1:20" x14ac:dyDescent="0.3">
      <c r="A317" s="2">
        <v>1500</v>
      </c>
      <c r="B317" s="3">
        <v>46137</v>
      </c>
      <c r="C317" s="2">
        <f t="shared" si="32"/>
        <v>2026</v>
      </c>
      <c r="D317" s="2">
        <f t="shared" si="38"/>
        <v>2</v>
      </c>
      <c r="E317" s="2">
        <f t="shared" si="33"/>
        <v>4</v>
      </c>
      <c r="F317" s="2" t="str">
        <f t="shared" si="39"/>
        <v>Apr</v>
      </c>
      <c r="G317" s="2" t="s">
        <v>41</v>
      </c>
      <c r="H317" s="2" t="s">
        <v>51</v>
      </c>
      <c r="I317" s="2" t="s">
        <v>18</v>
      </c>
      <c r="J317" s="2" t="s">
        <v>38</v>
      </c>
      <c r="K317" s="2" t="s">
        <v>28</v>
      </c>
      <c r="L317" s="2" t="s">
        <v>40</v>
      </c>
      <c r="M317" s="2">
        <v>12</v>
      </c>
      <c r="N317" s="4">
        <v>143.66999999999999</v>
      </c>
      <c r="O317" s="5">
        <v>0.15</v>
      </c>
      <c r="P317" s="4">
        <v>81.22</v>
      </c>
      <c r="Q317" s="4">
        <f t="shared" si="34"/>
        <v>1465.434</v>
      </c>
      <c r="R317" s="4">
        <f t="shared" si="35"/>
        <v>974.64</v>
      </c>
      <c r="S317" s="4">
        <f t="shared" si="36"/>
        <v>490.79399999999998</v>
      </c>
      <c r="T317" s="6">
        <f t="shared" si="37"/>
        <v>0.33491375251290745</v>
      </c>
    </row>
    <row r="318" spans="1:20" x14ac:dyDescent="0.3">
      <c r="A318" s="2">
        <v>1081</v>
      </c>
      <c r="B318" s="3">
        <v>46138</v>
      </c>
      <c r="C318" s="2">
        <f t="shared" si="32"/>
        <v>2026</v>
      </c>
      <c r="D318" s="2">
        <f t="shared" si="38"/>
        <v>2</v>
      </c>
      <c r="E318" s="2">
        <f t="shared" si="33"/>
        <v>4</v>
      </c>
      <c r="F318" s="2" t="str">
        <f t="shared" si="39"/>
        <v>Apr</v>
      </c>
      <c r="G318" s="2" t="s">
        <v>41</v>
      </c>
      <c r="H318" s="2" t="s">
        <v>59</v>
      </c>
      <c r="I318" s="2" t="s">
        <v>33</v>
      </c>
      <c r="J318" s="2" t="s">
        <v>38</v>
      </c>
      <c r="K318" s="2" t="s">
        <v>36</v>
      </c>
      <c r="L318" s="2" t="s">
        <v>58</v>
      </c>
      <c r="M318" s="2">
        <v>6</v>
      </c>
      <c r="N318" s="4">
        <v>32.99</v>
      </c>
      <c r="O318" s="5">
        <v>0</v>
      </c>
      <c r="P318" s="4">
        <v>12.5</v>
      </c>
      <c r="Q318" s="4">
        <f t="shared" si="34"/>
        <v>197.94</v>
      </c>
      <c r="R318" s="4">
        <f t="shared" si="35"/>
        <v>75</v>
      </c>
      <c r="S318" s="4">
        <f t="shared" si="36"/>
        <v>122.94</v>
      </c>
      <c r="T318" s="6">
        <f t="shared" si="37"/>
        <v>0.6210973022127918</v>
      </c>
    </row>
    <row r="319" spans="1:20" x14ac:dyDescent="0.3">
      <c r="A319" s="2">
        <v>1386</v>
      </c>
      <c r="B319" s="3">
        <v>46138</v>
      </c>
      <c r="C319" s="2">
        <f t="shared" si="32"/>
        <v>2026</v>
      </c>
      <c r="D319" s="2">
        <f t="shared" si="38"/>
        <v>2</v>
      </c>
      <c r="E319" s="2">
        <f t="shared" si="33"/>
        <v>4</v>
      </c>
      <c r="F319" s="2" t="str">
        <f t="shared" si="39"/>
        <v>Apr</v>
      </c>
      <c r="G319" s="2" t="s">
        <v>41</v>
      </c>
      <c r="H319" s="2" t="s">
        <v>51</v>
      </c>
      <c r="I319" s="2" t="s">
        <v>18</v>
      </c>
      <c r="J319" s="2" t="s">
        <v>24</v>
      </c>
      <c r="K319" s="2" t="s">
        <v>25</v>
      </c>
      <c r="L319" s="2" t="s">
        <v>26</v>
      </c>
      <c r="M319" s="2">
        <v>13</v>
      </c>
      <c r="N319" s="4">
        <v>347.51</v>
      </c>
      <c r="O319" s="5">
        <v>0</v>
      </c>
      <c r="P319" s="4">
        <v>190.16</v>
      </c>
      <c r="Q319" s="4">
        <f t="shared" si="34"/>
        <v>4517.63</v>
      </c>
      <c r="R319" s="4">
        <f t="shared" si="35"/>
        <v>2472.08</v>
      </c>
      <c r="S319" s="4">
        <f t="shared" si="36"/>
        <v>2045.5500000000002</v>
      </c>
      <c r="T319" s="6">
        <f t="shared" si="37"/>
        <v>0.45279272538919746</v>
      </c>
    </row>
    <row r="320" spans="1:20" x14ac:dyDescent="0.3">
      <c r="A320" s="2">
        <v>1491</v>
      </c>
      <c r="B320" s="3">
        <v>46138</v>
      </c>
      <c r="C320" s="2">
        <f t="shared" si="32"/>
        <v>2026</v>
      </c>
      <c r="D320" s="2">
        <f t="shared" si="38"/>
        <v>2</v>
      </c>
      <c r="E320" s="2">
        <f t="shared" si="33"/>
        <v>4</v>
      </c>
      <c r="F320" s="2" t="str">
        <f t="shared" si="39"/>
        <v>Apr</v>
      </c>
      <c r="G320" s="2" t="s">
        <v>41</v>
      </c>
      <c r="H320" s="2" t="s">
        <v>53</v>
      </c>
      <c r="I320" s="2" t="s">
        <v>27</v>
      </c>
      <c r="J320" s="2" t="s">
        <v>19</v>
      </c>
      <c r="K320" s="2" t="s">
        <v>25</v>
      </c>
      <c r="L320" s="2" t="s">
        <v>55</v>
      </c>
      <c r="M320" s="2">
        <v>14</v>
      </c>
      <c r="N320" s="4">
        <v>194.35</v>
      </c>
      <c r="O320" s="5">
        <v>0.2</v>
      </c>
      <c r="P320" s="4">
        <v>104.22</v>
      </c>
      <c r="Q320" s="4">
        <f t="shared" si="34"/>
        <v>2176.7200000000003</v>
      </c>
      <c r="R320" s="4">
        <f t="shared" si="35"/>
        <v>1459.08</v>
      </c>
      <c r="S320" s="4">
        <f t="shared" si="36"/>
        <v>717.64000000000033</v>
      </c>
      <c r="T320" s="6">
        <f t="shared" si="37"/>
        <v>0.32968870594288668</v>
      </c>
    </row>
    <row r="321" spans="1:20" x14ac:dyDescent="0.3">
      <c r="A321" s="2">
        <v>1264</v>
      </c>
      <c r="B321" s="3">
        <v>46139</v>
      </c>
      <c r="C321" s="2">
        <f t="shared" si="32"/>
        <v>2026</v>
      </c>
      <c r="D321" s="2">
        <f t="shared" si="38"/>
        <v>2</v>
      </c>
      <c r="E321" s="2">
        <f t="shared" si="33"/>
        <v>4</v>
      </c>
      <c r="F321" s="2" t="str">
        <f t="shared" si="39"/>
        <v>Apr</v>
      </c>
      <c r="G321" s="2" t="s">
        <v>41</v>
      </c>
      <c r="H321" s="2" t="s">
        <v>59</v>
      </c>
      <c r="I321" s="2" t="s">
        <v>27</v>
      </c>
      <c r="J321" s="2" t="s">
        <v>19</v>
      </c>
      <c r="K321" s="2" t="s">
        <v>25</v>
      </c>
      <c r="L321" s="2" t="s">
        <v>26</v>
      </c>
      <c r="M321" s="2">
        <v>9</v>
      </c>
      <c r="N321" s="4">
        <v>347.51</v>
      </c>
      <c r="O321" s="5">
        <v>0.1</v>
      </c>
      <c r="P321" s="4">
        <v>190.16</v>
      </c>
      <c r="Q321" s="4">
        <f t="shared" si="34"/>
        <v>2814.8310000000001</v>
      </c>
      <c r="R321" s="4">
        <f t="shared" si="35"/>
        <v>1711.44</v>
      </c>
      <c r="S321" s="4">
        <f t="shared" si="36"/>
        <v>1103.3910000000001</v>
      </c>
      <c r="T321" s="6">
        <f t="shared" si="37"/>
        <v>0.39199191709910824</v>
      </c>
    </row>
    <row r="322" spans="1:20" x14ac:dyDescent="0.3">
      <c r="A322" s="2">
        <v>1435</v>
      </c>
      <c r="B322" s="3">
        <v>46139</v>
      </c>
      <c r="C322" s="2">
        <f t="shared" ref="C322:C385" si="40">YEAR(B322)</f>
        <v>2026</v>
      </c>
      <c r="D322" s="2">
        <f t="shared" si="38"/>
        <v>2</v>
      </c>
      <c r="E322" s="2">
        <f t="shared" ref="E322:E385" si="41">MONTH(B322)</f>
        <v>4</v>
      </c>
      <c r="F322" s="2" t="str">
        <f t="shared" si="39"/>
        <v>Apr</v>
      </c>
      <c r="G322" s="2" t="s">
        <v>16</v>
      </c>
      <c r="H322" s="2" t="s">
        <v>32</v>
      </c>
      <c r="I322" s="2" t="s">
        <v>33</v>
      </c>
      <c r="J322" s="2" t="s">
        <v>19</v>
      </c>
      <c r="K322" s="2" t="s">
        <v>28</v>
      </c>
      <c r="L322" s="2" t="s">
        <v>39</v>
      </c>
      <c r="M322" s="2">
        <v>6</v>
      </c>
      <c r="N322" s="4">
        <v>153.38999999999999</v>
      </c>
      <c r="O322" s="5">
        <v>0.1</v>
      </c>
      <c r="P322" s="4">
        <v>78.59</v>
      </c>
      <c r="Q322" s="4">
        <f t="shared" ref="Q322:Q385" si="42">M322*N322*(1-O322)</f>
        <v>828.30599999999993</v>
      </c>
      <c r="R322" s="4">
        <f t="shared" ref="R322:R385" si="43">M322*P322</f>
        <v>471.54</v>
      </c>
      <c r="S322" s="4">
        <f t="shared" ref="S322:S385" si="44">Q322-R322</f>
        <v>356.76599999999991</v>
      </c>
      <c r="T322" s="6">
        <f t="shared" ref="T322:T385" si="45">IFERROR(S322/Q322,0)</f>
        <v>0.43071763333840385</v>
      </c>
    </row>
    <row r="323" spans="1:20" x14ac:dyDescent="0.3">
      <c r="A323" s="2">
        <v>1458</v>
      </c>
      <c r="B323" s="3">
        <v>46139</v>
      </c>
      <c r="C323" s="2">
        <f t="shared" si="40"/>
        <v>2026</v>
      </c>
      <c r="D323" s="2">
        <f t="shared" ref="D323:D386" si="46">ROUNDUP(MONTH(B323)/3,0)</f>
        <v>2</v>
      </c>
      <c r="E323" s="2">
        <f t="shared" si="41"/>
        <v>4</v>
      </c>
      <c r="F323" s="2" t="str">
        <f t="shared" ref="F323:F386" si="47">TEXT(B323,"MMM")</f>
        <v>Apr</v>
      </c>
      <c r="G323" s="2" t="s">
        <v>48</v>
      </c>
      <c r="H323" s="2" t="s">
        <v>66</v>
      </c>
      <c r="I323" s="2" t="s">
        <v>27</v>
      </c>
      <c r="J323" s="2" t="s">
        <v>24</v>
      </c>
      <c r="K323" s="2" t="s">
        <v>28</v>
      </c>
      <c r="L323" s="2" t="s">
        <v>39</v>
      </c>
      <c r="M323" s="2">
        <v>15</v>
      </c>
      <c r="N323" s="4">
        <v>153.38999999999999</v>
      </c>
      <c r="O323" s="5">
        <v>0.1</v>
      </c>
      <c r="P323" s="4">
        <v>78.59</v>
      </c>
      <c r="Q323" s="4">
        <f t="shared" si="42"/>
        <v>2070.7649999999999</v>
      </c>
      <c r="R323" s="4">
        <f t="shared" si="43"/>
        <v>1178.8500000000001</v>
      </c>
      <c r="S323" s="4">
        <f t="shared" si="44"/>
        <v>891.91499999999974</v>
      </c>
      <c r="T323" s="6">
        <f t="shared" si="45"/>
        <v>0.43071763333840385</v>
      </c>
    </row>
    <row r="324" spans="1:20" x14ac:dyDescent="0.3">
      <c r="A324" s="2">
        <v>1198</v>
      </c>
      <c r="B324" s="3">
        <v>46140</v>
      </c>
      <c r="C324" s="2">
        <f t="shared" si="40"/>
        <v>2026</v>
      </c>
      <c r="D324" s="2">
        <f t="shared" si="46"/>
        <v>2</v>
      </c>
      <c r="E324" s="2">
        <f t="shared" si="41"/>
        <v>4</v>
      </c>
      <c r="F324" s="2" t="str">
        <f t="shared" si="47"/>
        <v>Apr</v>
      </c>
      <c r="G324" s="2" t="s">
        <v>16</v>
      </c>
      <c r="H324" s="2" t="s">
        <v>32</v>
      </c>
      <c r="I324" s="2" t="s">
        <v>18</v>
      </c>
      <c r="J324" s="2" t="s">
        <v>38</v>
      </c>
      <c r="K324" s="2" t="s">
        <v>28</v>
      </c>
      <c r="L324" s="2" t="s">
        <v>64</v>
      </c>
      <c r="M324" s="2">
        <v>13</v>
      </c>
      <c r="N324" s="4">
        <v>94.18</v>
      </c>
      <c r="O324" s="5">
        <v>0</v>
      </c>
      <c r="P324" s="4">
        <v>45.03</v>
      </c>
      <c r="Q324" s="4">
        <f t="shared" si="42"/>
        <v>1224.3400000000001</v>
      </c>
      <c r="R324" s="4">
        <f t="shared" si="43"/>
        <v>585.39</v>
      </c>
      <c r="S324" s="4">
        <f t="shared" si="44"/>
        <v>638.95000000000016</v>
      </c>
      <c r="T324" s="6">
        <f t="shared" si="45"/>
        <v>0.52187300913145052</v>
      </c>
    </row>
    <row r="325" spans="1:20" x14ac:dyDescent="0.3">
      <c r="A325" s="2">
        <v>1329</v>
      </c>
      <c r="B325" s="3">
        <v>46140</v>
      </c>
      <c r="C325" s="2">
        <f t="shared" si="40"/>
        <v>2026</v>
      </c>
      <c r="D325" s="2">
        <f t="shared" si="46"/>
        <v>2</v>
      </c>
      <c r="E325" s="2">
        <f t="shared" si="41"/>
        <v>4</v>
      </c>
      <c r="F325" s="2" t="str">
        <f t="shared" si="47"/>
        <v>Apr</v>
      </c>
      <c r="G325" s="2" t="s">
        <v>41</v>
      </c>
      <c r="H325" s="2" t="s">
        <v>42</v>
      </c>
      <c r="I325" s="2" t="s">
        <v>27</v>
      </c>
      <c r="J325" s="2" t="s">
        <v>24</v>
      </c>
      <c r="K325" s="2" t="s">
        <v>36</v>
      </c>
      <c r="L325" s="2" t="s">
        <v>47</v>
      </c>
      <c r="M325" s="2">
        <v>11</v>
      </c>
      <c r="N325" s="4">
        <v>40.6</v>
      </c>
      <c r="O325" s="5">
        <v>0</v>
      </c>
      <c r="P325" s="4">
        <v>15.04</v>
      </c>
      <c r="Q325" s="4">
        <f t="shared" si="42"/>
        <v>446.6</v>
      </c>
      <c r="R325" s="4">
        <f t="shared" si="43"/>
        <v>165.44</v>
      </c>
      <c r="S325" s="4">
        <f t="shared" si="44"/>
        <v>281.16000000000003</v>
      </c>
      <c r="T325" s="6">
        <f t="shared" si="45"/>
        <v>0.62955665024630547</v>
      </c>
    </row>
    <row r="326" spans="1:20" x14ac:dyDescent="0.3">
      <c r="A326" s="2">
        <v>1452</v>
      </c>
      <c r="B326" s="3">
        <v>46140</v>
      </c>
      <c r="C326" s="2">
        <f t="shared" si="40"/>
        <v>2026</v>
      </c>
      <c r="D326" s="2">
        <f t="shared" si="46"/>
        <v>2</v>
      </c>
      <c r="E326" s="2">
        <f t="shared" si="41"/>
        <v>4</v>
      </c>
      <c r="F326" s="2" t="str">
        <f t="shared" si="47"/>
        <v>Apr</v>
      </c>
      <c r="G326" s="2" t="s">
        <v>41</v>
      </c>
      <c r="H326" s="2" t="s">
        <v>42</v>
      </c>
      <c r="I326" s="2" t="s">
        <v>23</v>
      </c>
      <c r="J326" s="2" t="s">
        <v>38</v>
      </c>
      <c r="K326" s="2" t="s">
        <v>28</v>
      </c>
      <c r="L326" s="2" t="s">
        <v>64</v>
      </c>
      <c r="M326" s="2">
        <v>8</v>
      </c>
      <c r="N326" s="4">
        <v>94.18</v>
      </c>
      <c r="O326" s="5">
        <v>0.05</v>
      </c>
      <c r="P326" s="4">
        <v>45.03</v>
      </c>
      <c r="Q326" s="4">
        <f t="shared" si="42"/>
        <v>715.76800000000003</v>
      </c>
      <c r="R326" s="4">
        <f t="shared" si="43"/>
        <v>360.24</v>
      </c>
      <c r="S326" s="4">
        <f t="shared" si="44"/>
        <v>355.52800000000002</v>
      </c>
      <c r="T326" s="6">
        <f t="shared" si="45"/>
        <v>0.49670843066468467</v>
      </c>
    </row>
    <row r="327" spans="1:20" x14ac:dyDescent="0.3">
      <c r="A327" s="2">
        <v>1028</v>
      </c>
      <c r="B327" s="3">
        <v>46141</v>
      </c>
      <c r="C327" s="2">
        <f t="shared" si="40"/>
        <v>2026</v>
      </c>
      <c r="D327" s="2">
        <f t="shared" si="46"/>
        <v>2</v>
      </c>
      <c r="E327" s="2">
        <f t="shared" si="41"/>
        <v>4</v>
      </c>
      <c r="F327" s="2" t="str">
        <f t="shared" si="47"/>
        <v>Apr</v>
      </c>
      <c r="G327" s="2" t="s">
        <v>41</v>
      </c>
      <c r="H327" s="2" t="s">
        <v>51</v>
      </c>
      <c r="I327" s="2" t="s">
        <v>18</v>
      </c>
      <c r="J327" s="2" t="s">
        <v>24</v>
      </c>
      <c r="K327" s="2" t="s">
        <v>25</v>
      </c>
      <c r="L327" s="2" t="s">
        <v>26</v>
      </c>
      <c r="M327" s="2">
        <v>1</v>
      </c>
      <c r="N327" s="4">
        <v>347.51</v>
      </c>
      <c r="O327" s="5">
        <v>0.2</v>
      </c>
      <c r="P327" s="4">
        <v>190.16</v>
      </c>
      <c r="Q327" s="4">
        <f t="shared" si="42"/>
        <v>278.00799999999998</v>
      </c>
      <c r="R327" s="4">
        <f t="shared" si="43"/>
        <v>190.16</v>
      </c>
      <c r="S327" s="4">
        <f t="shared" si="44"/>
        <v>87.847999999999985</v>
      </c>
      <c r="T327" s="6">
        <f t="shared" si="45"/>
        <v>0.31599090673649677</v>
      </c>
    </row>
    <row r="328" spans="1:20" x14ac:dyDescent="0.3">
      <c r="A328" s="2">
        <v>1061</v>
      </c>
      <c r="B328" s="3">
        <v>46141</v>
      </c>
      <c r="C328" s="2">
        <f t="shared" si="40"/>
        <v>2026</v>
      </c>
      <c r="D328" s="2">
        <f t="shared" si="46"/>
        <v>2</v>
      </c>
      <c r="E328" s="2">
        <f t="shared" si="41"/>
        <v>4</v>
      </c>
      <c r="F328" s="2" t="str">
        <f t="shared" si="47"/>
        <v>Apr</v>
      </c>
      <c r="G328" s="2" t="s">
        <v>48</v>
      </c>
      <c r="H328" s="2" t="s">
        <v>66</v>
      </c>
      <c r="I328" s="2" t="s">
        <v>33</v>
      </c>
      <c r="J328" s="2" t="s">
        <v>24</v>
      </c>
      <c r="K328" s="2" t="s">
        <v>36</v>
      </c>
      <c r="L328" s="2" t="s">
        <v>58</v>
      </c>
      <c r="M328" s="2">
        <v>14</v>
      </c>
      <c r="N328" s="4">
        <v>32.99</v>
      </c>
      <c r="O328" s="5">
        <v>0.15</v>
      </c>
      <c r="P328" s="4">
        <v>12.5</v>
      </c>
      <c r="Q328" s="4">
        <f t="shared" si="42"/>
        <v>392.58100000000002</v>
      </c>
      <c r="R328" s="4">
        <f t="shared" si="43"/>
        <v>175</v>
      </c>
      <c r="S328" s="4">
        <f t="shared" si="44"/>
        <v>217.58100000000002</v>
      </c>
      <c r="T328" s="6">
        <f t="shared" si="45"/>
        <v>0.5542321202503433</v>
      </c>
    </row>
    <row r="329" spans="1:20" x14ac:dyDescent="0.3">
      <c r="A329" s="2">
        <v>1314</v>
      </c>
      <c r="B329" s="3">
        <v>46141</v>
      </c>
      <c r="C329" s="2">
        <f t="shared" si="40"/>
        <v>2026</v>
      </c>
      <c r="D329" s="2">
        <f t="shared" si="46"/>
        <v>2</v>
      </c>
      <c r="E329" s="2">
        <f t="shared" si="41"/>
        <v>4</v>
      </c>
      <c r="F329" s="2" t="str">
        <f t="shared" si="47"/>
        <v>Apr</v>
      </c>
      <c r="G329" s="2" t="s">
        <v>41</v>
      </c>
      <c r="H329" s="2" t="s">
        <v>59</v>
      </c>
      <c r="I329" s="2" t="s">
        <v>33</v>
      </c>
      <c r="J329" s="2" t="s">
        <v>24</v>
      </c>
      <c r="K329" s="2" t="s">
        <v>20</v>
      </c>
      <c r="L329" s="2" t="s">
        <v>56</v>
      </c>
      <c r="M329" s="2">
        <v>14</v>
      </c>
      <c r="N329" s="4">
        <v>36.72</v>
      </c>
      <c r="O329" s="5">
        <v>0.1</v>
      </c>
      <c r="P329" s="4">
        <v>13.76</v>
      </c>
      <c r="Q329" s="4">
        <f t="shared" si="42"/>
        <v>462.67199999999997</v>
      </c>
      <c r="R329" s="4">
        <f t="shared" si="43"/>
        <v>192.64</v>
      </c>
      <c r="S329" s="4">
        <f t="shared" si="44"/>
        <v>270.03199999999998</v>
      </c>
      <c r="T329" s="6">
        <f t="shared" si="45"/>
        <v>0.58363592350520455</v>
      </c>
    </row>
    <row r="330" spans="1:20" x14ac:dyDescent="0.3">
      <c r="A330" s="2">
        <v>1072</v>
      </c>
      <c r="B330" s="3">
        <v>46143</v>
      </c>
      <c r="C330" s="2">
        <f t="shared" si="40"/>
        <v>2026</v>
      </c>
      <c r="D330" s="2">
        <f t="shared" si="46"/>
        <v>2</v>
      </c>
      <c r="E330" s="2">
        <f t="shared" si="41"/>
        <v>5</v>
      </c>
      <c r="F330" s="2" t="str">
        <f t="shared" si="47"/>
        <v>May</v>
      </c>
      <c r="G330" s="2" t="s">
        <v>16</v>
      </c>
      <c r="H330" s="2" t="s">
        <v>22</v>
      </c>
      <c r="I330" s="2" t="s">
        <v>18</v>
      </c>
      <c r="J330" s="2" t="s">
        <v>19</v>
      </c>
      <c r="K330" s="2" t="s">
        <v>36</v>
      </c>
      <c r="L330" s="2" t="s">
        <v>47</v>
      </c>
      <c r="M330" s="2">
        <v>6</v>
      </c>
      <c r="N330" s="4">
        <v>40.6</v>
      </c>
      <c r="O330" s="5">
        <v>0</v>
      </c>
      <c r="P330" s="4">
        <v>15.04</v>
      </c>
      <c r="Q330" s="4">
        <f t="shared" si="42"/>
        <v>243.60000000000002</v>
      </c>
      <c r="R330" s="4">
        <f t="shared" si="43"/>
        <v>90.24</v>
      </c>
      <c r="S330" s="4">
        <f t="shared" si="44"/>
        <v>153.36000000000001</v>
      </c>
      <c r="T330" s="6">
        <f t="shared" si="45"/>
        <v>0.62955665024630547</v>
      </c>
    </row>
    <row r="331" spans="1:20" x14ac:dyDescent="0.3">
      <c r="A331" s="2">
        <v>1190</v>
      </c>
      <c r="B331" s="3">
        <v>46143</v>
      </c>
      <c r="C331" s="2">
        <f t="shared" si="40"/>
        <v>2026</v>
      </c>
      <c r="D331" s="2">
        <f t="shared" si="46"/>
        <v>2</v>
      </c>
      <c r="E331" s="2">
        <f t="shared" si="41"/>
        <v>5</v>
      </c>
      <c r="F331" s="2" t="str">
        <f t="shared" si="47"/>
        <v>May</v>
      </c>
      <c r="G331" s="2" t="s">
        <v>30</v>
      </c>
      <c r="H331" s="2" t="s">
        <v>35</v>
      </c>
      <c r="I331" s="2" t="s">
        <v>23</v>
      </c>
      <c r="J331" s="2" t="s">
        <v>19</v>
      </c>
      <c r="K331" s="2" t="s">
        <v>43</v>
      </c>
      <c r="L331" s="2" t="s">
        <v>57</v>
      </c>
      <c r="M331" s="2">
        <v>5</v>
      </c>
      <c r="N331" s="4">
        <v>82.06</v>
      </c>
      <c r="O331" s="5">
        <v>0</v>
      </c>
      <c r="P331" s="4">
        <v>42.94</v>
      </c>
      <c r="Q331" s="4">
        <f t="shared" si="42"/>
        <v>410.3</v>
      </c>
      <c r="R331" s="4">
        <f t="shared" si="43"/>
        <v>214.7</v>
      </c>
      <c r="S331" s="4">
        <f t="shared" si="44"/>
        <v>195.60000000000002</v>
      </c>
      <c r="T331" s="6">
        <f t="shared" si="45"/>
        <v>0.476724348038021</v>
      </c>
    </row>
    <row r="332" spans="1:20" x14ac:dyDescent="0.3">
      <c r="A332" s="2">
        <v>1195</v>
      </c>
      <c r="B332" s="3">
        <v>46143</v>
      </c>
      <c r="C332" s="2">
        <f t="shared" si="40"/>
        <v>2026</v>
      </c>
      <c r="D332" s="2">
        <f t="shared" si="46"/>
        <v>2</v>
      </c>
      <c r="E332" s="2">
        <f t="shared" si="41"/>
        <v>5</v>
      </c>
      <c r="F332" s="2" t="str">
        <f t="shared" si="47"/>
        <v>May</v>
      </c>
      <c r="G332" s="2" t="s">
        <v>16</v>
      </c>
      <c r="H332" s="2" t="s">
        <v>22</v>
      </c>
      <c r="I332" s="2" t="s">
        <v>18</v>
      </c>
      <c r="J332" s="2" t="s">
        <v>38</v>
      </c>
      <c r="K332" s="2" t="s">
        <v>25</v>
      </c>
      <c r="L332" s="2" t="s">
        <v>55</v>
      </c>
      <c r="M332" s="2">
        <v>5</v>
      </c>
      <c r="N332" s="4">
        <v>194.35</v>
      </c>
      <c r="O332" s="5">
        <v>0.2</v>
      </c>
      <c r="P332" s="4">
        <v>104.22</v>
      </c>
      <c r="Q332" s="4">
        <f t="shared" si="42"/>
        <v>777.40000000000009</v>
      </c>
      <c r="R332" s="4">
        <f t="shared" si="43"/>
        <v>521.1</v>
      </c>
      <c r="S332" s="4">
        <f t="shared" si="44"/>
        <v>256.30000000000007</v>
      </c>
      <c r="T332" s="6">
        <f t="shared" si="45"/>
        <v>0.32968870594288657</v>
      </c>
    </row>
    <row r="333" spans="1:20" x14ac:dyDescent="0.3">
      <c r="A333" s="2">
        <v>1025</v>
      </c>
      <c r="B333" s="3">
        <v>46144</v>
      </c>
      <c r="C333" s="2">
        <f t="shared" si="40"/>
        <v>2026</v>
      </c>
      <c r="D333" s="2">
        <f t="shared" si="46"/>
        <v>2</v>
      </c>
      <c r="E333" s="2">
        <f t="shared" si="41"/>
        <v>5</v>
      </c>
      <c r="F333" s="2" t="str">
        <f t="shared" si="47"/>
        <v>May</v>
      </c>
      <c r="G333" s="2" t="s">
        <v>30</v>
      </c>
      <c r="H333" s="2" t="s">
        <v>45</v>
      </c>
      <c r="I333" s="2" t="s">
        <v>27</v>
      </c>
      <c r="J333" s="2" t="s">
        <v>38</v>
      </c>
      <c r="K333" s="2" t="s">
        <v>43</v>
      </c>
      <c r="L333" s="2" t="s">
        <v>57</v>
      </c>
      <c r="M333" s="2">
        <v>11</v>
      </c>
      <c r="N333" s="4">
        <v>82.06</v>
      </c>
      <c r="O333" s="5">
        <v>0.1</v>
      </c>
      <c r="P333" s="4">
        <v>42.94</v>
      </c>
      <c r="Q333" s="4">
        <f t="shared" si="42"/>
        <v>812.39400000000012</v>
      </c>
      <c r="R333" s="4">
        <f t="shared" si="43"/>
        <v>472.34</v>
      </c>
      <c r="S333" s="4">
        <f t="shared" si="44"/>
        <v>340.05400000000014</v>
      </c>
      <c r="T333" s="6">
        <f t="shared" si="45"/>
        <v>0.41858260893113453</v>
      </c>
    </row>
    <row r="334" spans="1:20" x14ac:dyDescent="0.3">
      <c r="A334" s="2">
        <v>1062</v>
      </c>
      <c r="B334" s="3">
        <v>46144</v>
      </c>
      <c r="C334" s="2">
        <f t="shared" si="40"/>
        <v>2026</v>
      </c>
      <c r="D334" s="2">
        <f t="shared" si="46"/>
        <v>2</v>
      </c>
      <c r="E334" s="2">
        <f t="shared" si="41"/>
        <v>5</v>
      </c>
      <c r="F334" s="2" t="str">
        <f t="shared" si="47"/>
        <v>May</v>
      </c>
      <c r="G334" s="2" t="s">
        <v>30</v>
      </c>
      <c r="H334" s="2" t="s">
        <v>31</v>
      </c>
      <c r="I334" s="2" t="s">
        <v>33</v>
      </c>
      <c r="J334" s="2" t="s">
        <v>19</v>
      </c>
      <c r="K334" s="2" t="s">
        <v>28</v>
      </c>
      <c r="L334" s="2" t="s">
        <v>39</v>
      </c>
      <c r="M334" s="2">
        <v>13</v>
      </c>
      <c r="N334" s="4">
        <v>153.38999999999999</v>
      </c>
      <c r="O334" s="5">
        <v>0.15</v>
      </c>
      <c r="P334" s="4">
        <v>78.59</v>
      </c>
      <c r="Q334" s="4">
        <f t="shared" si="42"/>
        <v>1694.9594999999997</v>
      </c>
      <c r="R334" s="4">
        <f t="shared" si="43"/>
        <v>1021.6700000000001</v>
      </c>
      <c r="S334" s="4">
        <f t="shared" si="44"/>
        <v>673.28949999999963</v>
      </c>
      <c r="T334" s="6">
        <f t="shared" si="45"/>
        <v>0.39723043529948637</v>
      </c>
    </row>
    <row r="335" spans="1:20" x14ac:dyDescent="0.3">
      <c r="A335" s="2">
        <v>1074</v>
      </c>
      <c r="B335" s="3">
        <v>46144</v>
      </c>
      <c r="C335" s="2">
        <f t="shared" si="40"/>
        <v>2026</v>
      </c>
      <c r="D335" s="2">
        <f t="shared" si="46"/>
        <v>2</v>
      </c>
      <c r="E335" s="2">
        <f t="shared" si="41"/>
        <v>5</v>
      </c>
      <c r="F335" s="2" t="str">
        <f t="shared" si="47"/>
        <v>May</v>
      </c>
      <c r="G335" s="2" t="s">
        <v>16</v>
      </c>
      <c r="H335" s="2" t="s">
        <v>22</v>
      </c>
      <c r="I335" s="2" t="s">
        <v>27</v>
      </c>
      <c r="J335" s="2" t="s">
        <v>24</v>
      </c>
      <c r="K335" s="2" t="s">
        <v>28</v>
      </c>
      <c r="L335" s="2" t="s">
        <v>29</v>
      </c>
      <c r="M335" s="2">
        <v>12</v>
      </c>
      <c r="N335" s="4">
        <v>54.75</v>
      </c>
      <c r="O335" s="5">
        <v>0.05</v>
      </c>
      <c r="P335" s="4">
        <v>24.3</v>
      </c>
      <c r="Q335" s="4">
        <f t="shared" si="42"/>
        <v>624.15</v>
      </c>
      <c r="R335" s="4">
        <f t="shared" si="43"/>
        <v>291.60000000000002</v>
      </c>
      <c r="S335" s="4">
        <f t="shared" si="44"/>
        <v>332.54999999999995</v>
      </c>
      <c r="T335" s="6">
        <f t="shared" si="45"/>
        <v>0.53280461427541448</v>
      </c>
    </row>
    <row r="336" spans="1:20" x14ac:dyDescent="0.3">
      <c r="A336" s="2">
        <v>1084</v>
      </c>
      <c r="B336" s="3">
        <v>46144</v>
      </c>
      <c r="C336" s="2">
        <f t="shared" si="40"/>
        <v>2026</v>
      </c>
      <c r="D336" s="2">
        <f t="shared" si="46"/>
        <v>2</v>
      </c>
      <c r="E336" s="2">
        <f t="shared" si="41"/>
        <v>5</v>
      </c>
      <c r="F336" s="2" t="str">
        <f t="shared" si="47"/>
        <v>May</v>
      </c>
      <c r="G336" s="2" t="s">
        <v>30</v>
      </c>
      <c r="H336" s="2" t="s">
        <v>46</v>
      </c>
      <c r="I336" s="2" t="s">
        <v>33</v>
      </c>
      <c r="J336" s="2" t="s">
        <v>19</v>
      </c>
      <c r="K336" s="2" t="s">
        <v>43</v>
      </c>
      <c r="L336" s="2" t="s">
        <v>57</v>
      </c>
      <c r="M336" s="2">
        <v>5</v>
      </c>
      <c r="N336" s="4">
        <v>82.06</v>
      </c>
      <c r="O336" s="5">
        <v>0</v>
      </c>
      <c r="P336" s="4">
        <v>42.94</v>
      </c>
      <c r="Q336" s="4">
        <f t="shared" si="42"/>
        <v>410.3</v>
      </c>
      <c r="R336" s="4">
        <f t="shared" si="43"/>
        <v>214.7</v>
      </c>
      <c r="S336" s="4">
        <f t="shared" si="44"/>
        <v>195.60000000000002</v>
      </c>
      <c r="T336" s="6">
        <f t="shared" si="45"/>
        <v>0.476724348038021</v>
      </c>
    </row>
    <row r="337" spans="1:20" x14ac:dyDescent="0.3">
      <c r="A337" s="2">
        <v>1238</v>
      </c>
      <c r="B337" s="3">
        <v>46144</v>
      </c>
      <c r="C337" s="2">
        <f t="shared" si="40"/>
        <v>2026</v>
      </c>
      <c r="D337" s="2">
        <f t="shared" si="46"/>
        <v>2</v>
      </c>
      <c r="E337" s="2">
        <f t="shared" si="41"/>
        <v>5</v>
      </c>
      <c r="F337" s="2" t="str">
        <f t="shared" si="47"/>
        <v>May</v>
      </c>
      <c r="G337" s="2" t="s">
        <v>48</v>
      </c>
      <c r="H337" s="2" t="s">
        <v>61</v>
      </c>
      <c r="I337" s="2" t="s">
        <v>33</v>
      </c>
      <c r="J337" s="2" t="s">
        <v>24</v>
      </c>
      <c r="K337" s="2" t="s">
        <v>43</v>
      </c>
      <c r="L337" s="2" t="s">
        <v>65</v>
      </c>
      <c r="M337" s="2">
        <v>3</v>
      </c>
      <c r="N337" s="4">
        <v>28.5</v>
      </c>
      <c r="O337" s="5">
        <v>0.15</v>
      </c>
      <c r="P337" s="4">
        <v>12.8</v>
      </c>
      <c r="Q337" s="4">
        <f t="shared" si="42"/>
        <v>72.674999999999997</v>
      </c>
      <c r="R337" s="4">
        <f t="shared" si="43"/>
        <v>38.400000000000006</v>
      </c>
      <c r="S337" s="4">
        <f t="shared" si="44"/>
        <v>34.274999999999991</v>
      </c>
      <c r="T337" s="6">
        <f t="shared" si="45"/>
        <v>0.47162022703818357</v>
      </c>
    </row>
    <row r="338" spans="1:20" x14ac:dyDescent="0.3">
      <c r="A338" s="2">
        <v>1322</v>
      </c>
      <c r="B338" s="3">
        <v>46144</v>
      </c>
      <c r="C338" s="2">
        <f t="shared" si="40"/>
        <v>2026</v>
      </c>
      <c r="D338" s="2">
        <f t="shared" si="46"/>
        <v>2</v>
      </c>
      <c r="E338" s="2">
        <f t="shared" si="41"/>
        <v>5</v>
      </c>
      <c r="F338" s="2" t="str">
        <f t="shared" si="47"/>
        <v>May</v>
      </c>
      <c r="G338" s="2" t="s">
        <v>16</v>
      </c>
      <c r="H338" s="2" t="s">
        <v>32</v>
      </c>
      <c r="I338" s="2" t="s">
        <v>18</v>
      </c>
      <c r="J338" s="2" t="s">
        <v>19</v>
      </c>
      <c r="K338" s="2" t="s">
        <v>25</v>
      </c>
      <c r="L338" s="2" t="s">
        <v>55</v>
      </c>
      <c r="M338" s="2">
        <v>2</v>
      </c>
      <c r="N338" s="4">
        <v>194.35</v>
      </c>
      <c r="O338" s="5">
        <v>0.05</v>
      </c>
      <c r="P338" s="4">
        <v>104.22</v>
      </c>
      <c r="Q338" s="4">
        <f t="shared" si="42"/>
        <v>369.26499999999999</v>
      </c>
      <c r="R338" s="4">
        <f t="shared" si="43"/>
        <v>208.44</v>
      </c>
      <c r="S338" s="4">
        <f t="shared" si="44"/>
        <v>160.82499999999999</v>
      </c>
      <c r="T338" s="6">
        <f t="shared" si="45"/>
        <v>0.43552733132032551</v>
      </c>
    </row>
    <row r="339" spans="1:20" x14ac:dyDescent="0.3">
      <c r="A339" s="2">
        <v>1430</v>
      </c>
      <c r="B339" s="3">
        <v>46144</v>
      </c>
      <c r="C339" s="2">
        <f t="shared" si="40"/>
        <v>2026</v>
      </c>
      <c r="D339" s="2">
        <f t="shared" si="46"/>
        <v>2</v>
      </c>
      <c r="E339" s="2">
        <f t="shared" si="41"/>
        <v>5</v>
      </c>
      <c r="F339" s="2" t="str">
        <f t="shared" si="47"/>
        <v>May</v>
      </c>
      <c r="G339" s="2" t="s">
        <v>48</v>
      </c>
      <c r="H339" s="2" t="s">
        <v>49</v>
      </c>
      <c r="I339" s="2" t="s">
        <v>27</v>
      </c>
      <c r="J339" s="2" t="s">
        <v>38</v>
      </c>
      <c r="K339" s="2" t="s">
        <v>43</v>
      </c>
      <c r="L339" s="2" t="s">
        <v>50</v>
      </c>
      <c r="M339" s="2">
        <v>14</v>
      </c>
      <c r="N339" s="4">
        <v>100.12</v>
      </c>
      <c r="O339" s="5">
        <v>0.05</v>
      </c>
      <c r="P339" s="4">
        <v>49.67</v>
      </c>
      <c r="Q339" s="4">
        <f t="shared" si="42"/>
        <v>1331.596</v>
      </c>
      <c r="R339" s="4">
        <f t="shared" si="43"/>
        <v>695.38</v>
      </c>
      <c r="S339" s="4">
        <f t="shared" si="44"/>
        <v>636.21600000000001</v>
      </c>
      <c r="T339" s="6">
        <f t="shared" si="45"/>
        <v>0.47778455327291464</v>
      </c>
    </row>
    <row r="340" spans="1:20" x14ac:dyDescent="0.3">
      <c r="A340" s="2">
        <v>1091</v>
      </c>
      <c r="B340" s="3">
        <v>46145</v>
      </c>
      <c r="C340" s="2">
        <f t="shared" si="40"/>
        <v>2026</v>
      </c>
      <c r="D340" s="2">
        <f t="shared" si="46"/>
        <v>2</v>
      </c>
      <c r="E340" s="2">
        <f t="shared" si="41"/>
        <v>5</v>
      </c>
      <c r="F340" s="2" t="str">
        <f t="shared" si="47"/>
        <v>May</v>
      </c>
      <c r="G340" s="2" t="s">
        <v>16</v>
      </c>
      <c r="H340" s="2" t="s">
        <v>17</v>
      </c>
      <c r="I340" s="2" t="s">
        <v>18</v>
      </c>
      <c r="J340" s="2" t="s">
        <v>24</v>
      </c>
      <c r="K340" s="2" t="s">
        <v>25</v>
      </c>
      <c r="L340" s="2" t="s">
        <v>60</v>
      </c>
      <c r="M340" s="2">
        <v>2</v>
      </c>
      <c r="N340" s="4">
        <v>81.260000000000005</v>
      </c>
      <c r="O340" s="5">
        <v>0.15</v>
      </c>
      <c r="P340" s="4">
        <v>39.119999999999997</v>
      </c>
      <c r="Q340" s="4">
        <f t="shared" si="42"/>
        <v>138.142</v>
      </c>
      <c r="R340" s="4">
        <f t="shared" si="43"/>
        <v>78.239999999999995</v>
      </c>
      <c r="S340" s="4">
        <f t="shared" si="44"/>
        <v>59.902000000000001</v>
      </c>
      <c r="T340" s="6">
        <f t="shared" si="45"/>
        <v>0.43362626862214243</v>
      </c>
    </row>
    <row r="341" spans="1:20" x14ac:dyDescent="0.3">
      <c r="A341" s="2">
        <v>1144</v>
      </c>
      <c r="B341" s="3">
        <v>46145</v>
      </c>
      <c r="C341" s="2">
        <f t="shared" si="40"/>
        <v>2026</v>
      </c>
      <c r="D341" s="2">
        <f t="shared" si="46"/>
        <v>2</v>
      </c>
      <c r="E341" s="2">
        <f t="shared" si="41"/>
        <v>5</v>
      </c>
      <c r="F341" s="2" t="str">
        <f t="shared" si="47"/>
        <v>May</v>
      </c>
      <c r="G341" s="2" t="s">
        <v>30</v>
      </c>
      <c r="H341" s="2" t="s">
        <v>46</v>
      </c>
      <c r="I341" s="2" t="s">
        <v>18</v>
      </c>
      <c r="J341" s="2" t="s">
        <v>24</v>
      </c>
      <c r="K341" s="2" t="s">
        <v>43</v>
      </c>
      <c r="L341" s="2" t="s">
        <v>65</v>
      </c>
      <c r="M341" s="2">
        <v>12</v>
      </c>
      <c r="N341" s="4">
        <v>28.5</v>
      </c>
      <c r="O341" s="5">
        <v>0.1</v>
      </c>
      <c r="P341" s="4">
        <v>12.8</v>
      </c>
      <c r="Q341" s="4">
        <f t="shared" si="42"/>
        <v>307.8</v>
      </c>
      <c r="R341" s="4">
        <f t="shared" si="43"/>
        <v>153.60000000000002</v>
      </c>
      <c r="S341" s="4">
        <f t="shared" si="44"/>
        <v>154.19999999999999</v>
      </c>
      <c r="T341" s="6">
        <f t="shared" si="45"/>
        <v>0.50097465886939563</v>
      </c>
    </row>
    <row r="342" spans="1:20" x14ac:dyDescent="0.3">
      <c r="A342" s="2">
        <v>1260</v>
      </c>
      <c r="B342" s="3">
        <v>46145</v>
      </c>
      <c r="C342" s="2">
        <f t="shared" si="40"/>
        <v>2026</v>
      </c>
      <c r="D342" s="2">
        <f t="shared" si="46"/>
        <v>2</v>
      </c>
      <c r="E342" s="2">
        <f t="shared" si="41"/>
        <v>5</v>
      </c>
      <c r="F342" s="2" t="str">
        <f t="shared" si="47"/>
        <v>May</v>
      </c>
      <c r="G342" s="2" t="s">
        <v>41</v>
      </c>
      <c r="H342" s="2" t="s">
        <v>59</v>
      </c>
      <c r="I342" s="2" t="s">
        <v>33</v>
      </c>
      <c r="J342" s="2" t="s">
        <v>19</v>
      </c>
      <c r="K342" s="2" t="s">
        <v>36</v>
      </c>
      <c r="L342" s="2" t="s">
        <v>37</v>
      </c>
      <c r="M342" s="2">
        <v>7</v>
      </c>
      <c r="N342" s="4">
        <v>35.78</v>
      </c>
      <c r="O342" s="5">
        <v>0.2</v>
      </c>
      <c r="P342" s="4">
        <v>13.84</v>
      </c>
      <c r="Q342" s="4">
        <f t="shared" si="42"/>
        <v>200.36800000000002</v>
      </c>
      <c r="R342" s="4">
        <f t="shared" si="43"/>
        <v>96.88</v>
      </c>
      <c r="S342" s="4">
        <f t="shared" si="44"/>
        <v>103.48800000000003</v>
      </c>
      <c r="T342" s="6">
        <f t="shared" si="45"/>
        <v>0.51648965902738964</v>
      </c>
    </row>
    <row r="343" spans="1:20" x14ac:dyDescent="0.3">
      <c r="A343" s="2">
        <v>1473</v>
      </c>
      <c r="B343" s="3">
        <v>46145</v>
      </c>
      <c r="C343" s="2">
        <f t="shared" si="40"/>
        <v>2026</v>
      </c>
      <c r="D343" s="2">
        <f t="shared" si="46"/>
        <v>2</v>
      </c>
      <c r="E343" s="2">
        <f t="shared" si="41"/>
        <v>5</v>
      </c>
      <c r="F343" s="2" t="str">
        <f t="shared" si="47"/>
        <v>May</v>
      </c>
      <c r="G343" s="2" t="s">
        <v>30</v>
      </c>
      <c r="H343" s="2" t="s">
        <v>45</v>
      </c>
      <c r="I343" s="2" t="s">
        <v>18</v>
      </c>
      <c r="J343" s="2" t="s">
        <v>24</v>
      </c>
      <c r="K343" s="2" t="s">
        <v>43</v>
      </c>
      <c r="L343" s="2" t="s">
        <v>44</v>
      </c>
      <c r="M343" s="2">
        <v>12</v>
      </c>
      <c r="N343" s="4">
        <v>49.6</v>
      </c>
      <c r="O343" s="5">
        <v>0.2</v>
      </c>
      <c r="P343" s="4">
        <v>23.05</v>
      </c>
      <c r="Q343" s="4">
        <f t="shared" si="42"/>
        <v>476.16000000000008</v>
      </c>
      <c r="R343" s="4">
        <f t="shared" si="43"/>
        <v>276.60000000000002</v>
      </c>
      <c r="S343" s="4">
        <f t="shared" si="44"/>
        <v>199.56000000000006</v>
      </c>
      <c r="T343" s="6">
        <f t="shared" si="45"/>
        <v>0.41910282258064524</v>
      </c>
    </row>
    <row r="344" spans="1:20" x14ac:dyDescent="0.3">
      <c r="A344" s="2">
        <v>1243</v>
      </c>
      <c r="B344" s="3">
        <v>46146</v>
      </c>
      <c r="C344" s="2">
        <f t="shared" si="40"/>
        <v>2026</v>
      </c>
      <c r="D344" s="2">
        <f t="shared" si="46"/>
        <v>2</v>
      </c>
      <c r="E344" s="2">
        <f t="shared" si="41"/>
        <v>5</v>
      </c>
      <c r="F344" s="2" t="str">
        <f t="shared" si="47"/>
        <v>May</v>
      </c>
      <c r="G344" s="2" t="s">
        <v>41</v>
      </c>
      <c r="H344" s="2" t="s">
        <v>53</v>
      </c>
      <c r="I344" s="2" t="s">
        <v>27</v>
      </c>
      <c r="J344" s="2" t="s">
        <v>19</v>
      </c>
      <c r="K344" s="2" t="s">
        <v>20</v>
      </c>
      <c r="L344" s="2" t="s">
        <v>34</v>
      </c>
      <c r="M344" s="2">
        <v>4</v>
      </c>
      <c r="N344" s="4">
        <v>29.95</v>
      </c>
      <c r="O344" s="5">
        <v>0.05</v>
      </c>
      <c r="P344" s="4">
        <v>11.5</v>
      </c>
      <c r="Q344" s="4">
        <f t="shared" si="42"/>
        <v>113.80999999999999</v>
      </c>
      <c r="R344" s="4">
        <f t="shared" si="43"/>
        <v>46</v>
      </c>
      <c r="S344" s="4">
        <f t="shared" si="44"/>
        <v>67.809999999999988</v>
      </c>
      <c r="T344" s="6">
        <f t="shared" si="45"/>
        <v>0.59581759072137774</v>
      </c>
    </row>
    <row r="345" spans="1:20" x14ac:dyDescent="0.3">
      <c r="A345" s="2">
        <v>1107</v>
      </c>
      <c r="B345" s="3">
        <v>46147</v>
      </c>
      <c r="C345" s="2">
        <f t="shared" si="40"/>
        <v>2026</v>
      </c>
      <c r="D345" s="2">
        <f t="shared" si="46"/>
        <v>2</v>
      </c>
      <c r="E345" s="2">
        <f t="shared" si="41"/>
        <v>5</v>
      </c>
      <c r="F345" s="2" t="str">
        <f t="shared" si="47"/>
        <v>May</v>
      </c>
      <c r="G345" s="2" t="s">
        <v>16</v>
      </c>
      <c r="H345" s="2" t="s">
        <v>17</v>
      </c>
      <c r="I345" s="2" t="s">
        <v>27</v>
      </c>
      <c r="J345" s="2" t="s">
        <v>19</v>
      </c>
      <c r="K345" s="2" t="s">
        <v>36</v>
      </c>
      <c r="L345" s="2" t="s">
        <v>62</v>
      </c>
      <c r="M345" s="2">
        <v>12</v>
      </c>
      <c r="N345" s="4">
        <v>124.97</v>
      </c>
      <c r="O345" s="5">
        <v>0</v>
      </c>
      <c r="P345" s="4">
        <v>67.36</v>
      </c>
      <c r="Q345" s="4">
        <f t="shared" si="42"/>
        <v>1499.6399999999999</v>
      </c>
      <c r="R345" s="4">
        <f t="shared" si="43"/>
        <v>808.31999999999994</v>
      </c>
      <c r="S345" s="4">
        <f t="shared" si="44"/>
        <v>691.31999999999994</v>
      </c>
      <c r="T345" s="6">
        <f t="shared" si="45"/>
        <v>0.46099063775306071</v>
      </c>
    </row>
    <row r="346" spans="1:20" x14ac:dyDescent="0.3">
      <c r="A346" s="2">
        <v>1290</v>
      </c>
      <c r="B346" s="3">
        <v>46147</v>
      </c>
      <c r="C346" s="2">
        <f t="shared" si="40"/>
        <v>2026</v>
      </c>
      <c r="D346" s="2">
        <f t="shared" si="46"/>
        <v>2</v>
      </c>
      <c r="E346" s="2">
        <f t="shared" si="41"/>
        <v>5</v>
      </c>
      <c r="F346" s="2" t="str">
        <f t="shared" si="47"/>
        <v>May</v>
      </c>
      <c r="G346" s="2" t="s">
        <v>16</v>
      </c>
      <c r="H346" s="2" t="s">
        <v>17</v>
      </c>
      <c r="I346" s="2" t="s">
        <v>27</v>
      </c>
      <c r="J346" s="2" t="s">
        <v>19</v>
      </c>
      <c r="K346" s="2" t="s">
        <v>36</v>
      </c>
      <c r="L346" s="2" t="s">
        <v>58</v>
      </c>
      <c r="M346" s="2">
        <v>1</v>
      </c>
      <c r="N346" s="4">
        <v>32.99</v>
      </c>
      <c r="O346" s="5">
        <v>0</v>
      </c>
      <c r="P346" s="4">
        <v>12.5</v>
      </c>
      <c r="Q346" s="4">
        <f t="shared" si="42"/>
        <v>32.99</v>
      </c>
      <c r="R346" s="4">
        <f t="shared" si="43"/>
        <v>12.5</v>
      </c>
      <c r="S346" s="4">
        <f t="shared" si="44"/>
        <v>20.490000000000002</v>
      </c>
      <c r="T346" s="6">
        <f t="shared" si="45"/>
        <v>0.6210973022127918</v>
      </c>
    </row>
    <row r="347" spans="1:20" x14ac:dyDescent="0.3">
      <c r="A347" s="2">
        <v>1328</v>
      </c>
      <c r="B347" s="3">
        <v>46148</v>
      </c>
      <c r="C347" s="2">
        <f t="shared" si="40"/>
        <v>2026</v>
      </c>
      <c r="D347" s="2">
        <f t="shared" si="46"/>
        <v>2</v>
      </c>
      <c r="E347" s="2">
        <f t="shared" si="41"/>
        <v>5</v>
      </c>
      <c r="F347" s="2" t="str">
        <f t="shared" si="47"/>
        <v>May</v>
      </c>
      <c r="G347" s="2" t="s">
        <v>48</v>
      </c>
      <c r="H347" s="2" t="s">
        <v>66</v>
      </c>
      <c r="I347" s="2" t="s">
        <v>27</v>
      </c>
      <c r="J347" s="2" t="s">
        <v>38</v>
      </c>
      <c r="K347" s="2" t="s">
        <v>36</v>
      </c>
      <c r="L347" s="2" t="s">
        <v>58</v>
      </c>
      <c r="M347" s="2">
        <v>10</v>
      </c>
      <c r="N347" s="4">
        <v>32.99</v>
      </c>
      <c r="O347" s="5">
        <v>0</v>
      </c>
      <c r="P347" s="4">
        <v>12.5</v>
      </c>
      <c r="Q347" s="4">
        <f t="shared" si="42"/>
        <v>329.90000000000003</v>
      </c>
      <c r="R347" s="4">
        <f t="shared" si="43"/>
        <v>125</v>
      </c>
      <c r="S347" s="4">
        <f t="shared" si="44"/>
        <v>204.90000000000003</v>
      </c>
      <c r="T347" s="6">
        <f t="shared" si="45"/>
        <v>0.6210973022127918</v>
      </c>
    </row>
    <row r="348" spans="1:20" x14ac:dyDescent="0.3">
      <c r="A348" s="2">
        <v>1431</v>
      </c>
      <c r="B348" s="3">
        <v>46148</v>
      </c>
      <c r="C348" s="2">
        <f t="shared" si="40"/>
        <v>2026</v>
      </c>
      <c r="D348" s="2">
        <f t="shared" si="46"/>
        <v>2</v>
      </c>
      <c r="E348" s="2">
        <f t="shared" si="41"/>
        <v>5</v>
      </c>
      <c r="F348" s="2" t="str">
        <f t="shared" si="47"/>
        <v>May</v>
      </c>
      <c r="G348" s="2" t="s">
        <v>16</v>
      </c>
      <c r="H348" s="2" t="s">
        <v>17</v>
      </c>
      <c r="I348" s="2" t="s">
        <v>27</v>
      </c>
      <c r="J348" s="2" t="s">
        <v>38</v>
      </c>
      <c r="K348" s="2" t="s">
        <v>28</v>
      </c>
      <c r="L348" s="2" t="s">
        <v>39</v>
      </c>
      <c r="M348" s="2">
        <v>12</v>
      </c>
      <c r="N348" s="4">
        <v>153.38999999999999</v>
      </c>
      <c r="O348" s="5">
        <v>0.1</v>
      </c>
      <c r="P348" s="4">
        <v>78.59</v>
      </c>
      <c r="Q348" s="4">
        <f t="shared" si="42"/>
        <v>1656.6119999999999</v>
      </c>
      <c r="R348" s="4">
        <f t="shared" si="43"/>
        <v>943.08</v>
      </c>
      <c r="S348" s="4">
        <f t="shared" si="44"/>
        <v>713.53199999999981</v>
      </c>
      <c r="T348" s="6">
        <f t="shared" si="45"/>
        <v>0.43071763333840385</v>
      </c>
    </row>
    <row r="349" spans="1:20" x14ac:dyDescent="0.3">
      <c r="A349" s="2">
        <v>1479</v>
      </c>
      <c r="B349" s="3">
        <v>46148</v>
      </c>
      <c r="C349" s="2">
        <f t="shared" si="40"/>
        <v>2026</v>
      </c>
      <c r="D349" s="2">
        <f t="shared" si="46"/>
        <v>2</v>
      </c>
      <c r="E349" s="2">
        <f t="shared" si="41"/>
        <v>5</v>
      </c>
      <c r="F349" s="2" t="str">
        <f t="shared" si="47"/>
        <v>May</v>
      </c>
      <c r="G349" s="2" t="s">
        <v>48</v>
      </c>
      <c r="H349" s="2" t="s">
        <v>61</v>
      </c>
      <c r="I349" s="2" t="s">
        <v>23</v>
      </c>
      <c r="J349" s="2" t="s">
        <v>19</v>
      </c>
      <c r="K349" s="2" t="s">
        <v>20</v>
      </c>
      <c r="L349" s="2" t="s">
        <v>34</v>
      </c>
      <c r="M349" s="2">
        <v>1</v>
      </c>
      <c r="N349" s="4">
        <v>29.95</v>
      </c>
      <c r="O349" s="5">
        <v>0.15</v>
      </c>
      <c r="P349" s="4">
        <v>11.5</v>
      </c>
      <c r="Q349" s="4">
        <f t="shared" si="42"/>
        <v>25.4575</v>
      </c>
      <c r="R349" s="4">
        <f t="shared" si="43"/>
        <v>11.5</v>
      </c>
      <c r="S349" s="4">
        <f t="shared" si="44"/>
        <v>13.9575</v>
      </c>
      <c r="T349" s="6">
        <f t="shared" si="45"/>
        <v>0.54826671904153979</v>
      </c>
    </row>
    <row r="350" spans="1:20" x14ac:dyDescent="0.3">
      <c r="A350" s="2">
        <v>1214</v>
      </c>
      <c r="B350" s="3">
        <v>46149</v>
      </c>
      <c r="C350" s="2">
        <f t="shared" si="40"/>
        <v>2026</v>
      </c>
      <c r="D350" s="2">
        <f t="shared" si="46"/>
        <v>2</v>
      </c>
      <c r="E350" s="2">
        <f t="shared" si="41"/>
        <v>5</v>
      </c>
      <c r="F350" s="2" t="str">
        <f t="shared" si="47"/>
        <v>May</v>
      </c>
      <c r="G350" s="2" t="s">
        <v>16</v>
      </c>
      <c r="H350" s="2" t="s">
        <v>32</v>
      </c>
      <c r="I350" s="2" t="s">
        <v>23</v>
      </c>
      <c r="J350" s="2" t="s">
        <v>19</v>
      </c>
      <c r="K350" s="2" t="s">
        <v>36</v>
      </c>
      <c r="L350" s="2" t="s">
        <v>37</v>
      </c>
      <c r="M350" s="2">
        <v>8</v>
      </c>
      <c r="N350" s="4">
        <v>35.78</v>
      </c>
      <c r="O350" s="5">
        <v>0.15</v>
      </c>
      <c r="P350" s="4">
        <v>13.84</v>
      </c>
      <c r="Q350" s="4">
        <f t="shared" si="42"/>
        <v>243.304</v>
      </c>
      <c r="R350" s="4">
        <f t="shared" si="43"/>
        <v>110.72</v>
      </c>
      <c r="S350" s="4">
        <f t="shared" si="44"/>
        <v>132.584</v>
      </c>
      <c r="T350" s="6">
        <f t="shared" si="45"/>
        <v>0.5449314437904843</v>
      </c>
    </row>
    <row r="351" spans="1:20" x14ac:dyDescent="0.3">
      <c r="A351" s="2">
        <v>1276</v>
      </c>
      <c r="B351" s="3">
        <v>46149</v>
      </c>
      <c r="C351" s="2">
        <f t="shared" si="40"/>
        <v>2026</v>
      </c>
      <c r="D351" s="2">
        <f t="shared" si="46"/>
        <v>2</v>
      </c>
      <c r="E351" s="2">
        <f t="shared" si="41"/>
        <v>5</v>
      </c>
      <c r="F351" s="2" t="str">
        <f t="shared" si="47"/>
        <v>May</v>
      </c>
      <c r="G351" s="2" t="s">
        <v>16</v>
      </c>
      <c r="H351" s="2" t="s">
        <v>32</v>
      </c>
      <c r="I351" s="2" t="s">
        <v>33</v>
      </c>
      <c r="J351" s="2" t="s">
        <v>24</v>
      </c>
      <c r="K351" s="2" t="s">
        <v>25</v>
      </c>
      <c r="L351" s="2" t="s">
        <v>55</v>
      </c>
      <c r="M351" s="2">
        <v>12</v>
      </c>
      <c r="N351" s="4">
        <v>194.35</v>
      </c>
      <c r="O351" s="5">
        <v>0.1</v>
      </c>
      <c r="P351" s="4">
        <v>104.22</v>
      </c>
      <c r="Q351" s="4">
        <f t="shared" si="42"/>
        <v>2098.98</v>
      </c>
      <c r="R351" s="4">
        <f t="shared" si="43"/>
        <v>1250.6399999999999</v>
      </c>
      <c r="S351" s="4">
        <f t="shared" si="44"/>
        <v>848.34000000000015</v>
      </c>
      <c r="T351" s="6">
        <f t="shared" si="45"/>
        <v>0.40416773861589922</v>
      </c>
    </row>
    <row r="352" spans="1:20" x14ac:dyDescent="0.3">
      <c r="A352" s="2">
        <v>1486</v>
      </c>
      <c r="B352" s="3">
        <v>46149</v>
      </c>
      <c r="C352" s="2">
        <f t="shared" si="40"/>
        <v>2026</v>
      </c>
      <c r="D352" s="2">
        <f t="shared" si="46"/>
        <v>2</v>
      </c>
      <c r="E352" s="2">
        <f t="shared" si="41"/>
        <v>5</v>
      </c>
      <c r="F352" s="2" t="str">
        <f t="shared" si="47"/>
        <v>May</v>
      </c>
      <c r="G352" s="2" t="s">
        <v>41</v>
      </c>
      <c r="H352" s="2" t="s">
        <v>59</v>
      </c>
      <c r="I352" s="2" t="s">
        <v>23</v>
      </c>
      <c r="J352" s="2" t="s">
        <v>24</v>
      </c>
      <c r="K352" s="2" t="s">
        <v>43</v>
      </c>
      <c r="L352" s="2" t="s">
        <v>50</v>
      </c>
      <c r="M352" s="2">
        <v>10</v>
      </c>
      <c r="N352" s="4">
        <v>100.12</v>
      </c>
      <c r="O352" s="5">
        <v>0</v>
      </c>
      <c r="P352" s="4">
        <v>49.67</v>
      </c>
      <c r="Q352" s="4">
        <f t="shared" si="42"/>
        <v>1001.2</v>
      </c>
      <c r="R352" s="4">
        <f t="shared" si="43"/>
        <v>496.70000000000005</v>
      </c>
      <c r="S352" s="4">
        <f t="shared" si="44"/>
        <v>504.5</v>
      </c>
      <c r="T352" s="6">
        <f t="shared" si="45"/>
        <v>0.50389532560926886</v>
      </c>
    </row>
    <row r="353" spans="1:20" x14ac:dyDescent="0.3">
      <c r="A353" s="2">
        <v>1481</v>
      </c>
      <c r="B353" s="3">
        <v>46150</v>
      </c>
      <c r="C353" s="2">
        <f t="shared" si="40"/>
        <v>2026</v>
      </c>
      <c r="D353" s="2">
        <f t="shared" si="46"/>
        <v>2</v>
      </c>
      <c r="E353" s="2">
        <f t="shared" si="41"/>
        <v>5</v>
      </c>
      <c r="F353" s="2" t="str">
        <f t="shared" si="47"/>
        <v>May</v>
      </c>
      <c r="G353" s="2" t="s">
        <v>30</v>
      </c>
      <c r="H353" s="2" t="s">
        <v>31</v>
      </c>
      <c r="I353" s="2" t="s">
        <v>18</v>
      </c>
      <c r="J353" s="2" t="s">
        <v>24</v>
      </c>
      <c r="K353" s="2" t="s">
        <v>43</v>
      </c>
      <c r="L353" s="2" t="s">
        <v>65</v>
      </c>
      <c r="M353" s="2">
        <v>12</v>
      </c>
      <c r="N353" s="4">
        <v>28.5</v>
      </c>
      <c r="O353" s="5">
        <v>0.2</v>
      </c>
      <c r="P353" s="4">
        <v>12.8</v>
      </c>
      <c r="Q353" s="4">
        <f t="shared" si="42"/>
        <v>273.60000000000002</v>
      </c>
      <c r="R353" s="4">
        <f t="shared" si="43"/>
        <v>153.60000000000002</v>
      </c>
      <c r="S353" s="4">
        <f t="shared" si="44"/>
        <v>120</v>
      </c>
      <c r="T353" s="6">
        <f t="shared" si="45"/>
        <v>0.43859649122807015</v>
      </c>
    </row>
    <row r="354" spans="1:20" x14ac:dyDescent="0.3">
      <c r="A354" s="2">
        <v>1143</v>
      </c>
      <c r="B354" s="3">
        <v>46151</v>
      </c>
      <c r="C354" s="2">
        <f t="shared" si="40"/>
        <v>2026</v>
      </c>
      <c r="D354" s="2">
        <f t="shared" si="46"/>
        <v>2</v>
      </c>
      <c r="E354" s="2">
        <f t="shared" si="41"/>
        <v>5</v>
      </c>
      <c r="F354" s="2" t="str">
        <f t="shared" si="47"/>
        <v>May</v>
      </c>
      <c r="G354" s="2" t="s">
        <v>41</v>
      </c>
      <c r="H354" s="2" t="s">
        <v>51</v>
      </c>
      <c r="I354" s="2" t="s">
        <v>18</v>
      </c>
      <c r="J354" s="2" t="s">
        <v>24</v>
      </c>
      <c r="K354" s="2" t="s">
        <v>36</v>
      </c>
      <c r="L354" s="2" t="s">
        <v>37</v>
      </c>
      <c r="M354" s="2">
        <v>8</v>
      </c>
      <c r="N354" s="4">
        <v>35.78</v>
      </c>
      <c r="O354" s="5">
        <v>0.2</v>
      </c>
      <c r="P354" s="4">
        <v>13.84</v>
      </c>
      <c r="Q354" s="4">
        <f t="shared" si="42"/>
        <v>228.99200000000002</v>
      </c>
      <c r="R354" s="4">
        <f t="shared" si="43"/>
        <v>110.72</v>
      </c>
      <c r="S354" s="4">
        <f t="shared" si="44"/>
        <v>118.27200000000002</v>
      </c>
      <c r="T354" s="6">
        <f t="shared" si="45"/>
        <v>0.51648965902738964</v>
      </c>
    </row>
    <row r="355" spans="1:20" x14ac:dyDescent="0.3">
      <c r="A355" s="2">
        <v>1003</v>
      </c>
      <c r="B355" s="3">
        <v>46152</v>
      </c>
      <c r="C355" s="2">
        <f t="shared" si="40"/>
        <v>2026</v>
      </c>
      <c r="D355" s="2">
        <f t="shared" si="46"/>
        <v>2</v>
      </c>
      <c r="E355" s="2">
        <f t="shared" si="41"/>
        <v>5</v>
      </c>
      <c r="F355" s="2" t="str">
        <f t="shared" si="47"/>
        <v>May</v>
      </c>
      <c r="G355" s="2" t="s">
        <v>16</v>
      </c>
      <c r="H355" s="2" t="s">
        <v>22</v>
      </c>
      <c r="I355" s="2" t="s">
        <v>27</v>
      </c>
      <c r="J355" s="2" t="s">
        <v>24</v>
      </c>
      <c r="K355" s="2" t="s">
        <v>28</v>
      </c>
      <c r="L355" s="2" t="s">
        <v>29</v>
      </c>
      <c r="M355" s="2">
        <v>4</v>
      </c>
      <c r="N355" s="4">
        <v>54.75</v>
      </c>
      <c r="O355" s="5">
        <v>0.1</v>
      </c>
      <c r="P355" s="4">
        <v>24.3</v>
      </c>
      <c r="Q355" s="4">
        <f t="shared" si="42"/>
        <v>197.1</v>
      </c>
      <c r="R355" s="4">
        <f t="shared" si="43"/>
        <v>97.2</v>
      </c>
      <c r="S355" s="4">
        <f t="shared" si="44"/>
        <v>99.899999999999991</v>
      </c>
      <c r="T355" s="6">
        <f t="shared" si="45"/>
        <v>0.50684931506849307</v>
      </c>
    </row>
    <row r="356" spans="1:20" x14ac:dyDescent="0.3">
      <c r="A356" s="2">
        <v>1229</v>
      </c>
      <c r="B356" s="3">
        <v>46152</v>
      </c>
      <c r="C356" s="2">
        <f t="shared" si="40"/>
        <v>2026</v>
      </c>
      <c r="D356" s="2">
        <f t="shared" si="46"/>
        <v>2</v>
      </c>
      <c r="E356" s="2">
        <f t="shared" si="41"/>
        <v>5</v>
      </c>
      <c r="F356" s="2" t="str">
        <f t="shared" si="47"/>
        <v>May</v>
      </c>
      <c r="G356" s="2" t="s">
        <v>30</v>
      </c>
      <c r="H356" s="2" t="s">
        <v>45</v>
      </c>
      <c r="I356" s="2" t="s">
        <v>27</v>
      </c>
      <c r="J356" s="2" t="s">
        <v>38</v>
      </c>
      <c r="K356" s="2" t="s">
        <v>28</v>
      </c>
      <c r="L356" s="2" t="s">
        <v>39</v>
      </c>
      <c r="M356" s="2">
        <v>1</v>
      </c>
      <c r="N356" s="4">
        <v>153.38999999999999</v>
      </c>
      <c r="O356" s="5">
        <v>0</v>
      </c>
      <c r="P356" s="4">
        <v>78.59</v>
      </c>
      <c r="Q356" s="4">
        <f t="shared" si="42"/>
        <v>153.38999999999999</v>
      </c>
      <c r="R356" s="4">
        <f t="shared" si="43"/>
        <v>78.59</v>
      </c>
      <c r="S356" s="4">
        <f t="shared" si="44"/>
        <v>74.799999999999983</v>
      </c>
      <c r="T356" s="6">
        <f t="shared" si="45"/>
        <v>0.48764587000456344</v>
      </c>
    </row>
    <row r="357" spans="1:20" x14ac:dyDescent="0.3">
      <c r="A357" s="2">
        <v>1319</v>
      </c>
      <c r="B357" s="3">
        <v>46153</v>
      </c>
      <c r="C357" s="2">
        <f t="shared" si="40"/>
        <v>2026</v>
      </c>
      <c r="D357" s="2">
        <f t="shared" si="46"/>
        <v>2</v>
      </c>
      <c r="E357" s="2">
        <f t="shared" si="41"/>
        <v>5</v>
      </c>
      <c r="F357" s="2" t="str">
        <f t="shared" si="47"/>
        <v>May</v>
      </c>
      <c r="G357" s="2" t="s">
        <v>41</v>
      </c>
      <c r="H357" s="2" t="s">
        <v>59</v>
      </c>
      <c r="I357" s="2" t="s">
        <v>23</v>
      </c>
      <c r="J357" s="2" t="s">
        <v>38</v>
      </c>
      <c r="K357" s="2" t="s">
        <v>20</v>
      </c>
      <c r="L357" s="2" t="s">
        <v>52</v>
      </c>
      <c r="M357" s="2">
        <v>8</v>
      </c>
      <c r="N357" s="4">
        <v>89.99</v>
      </c>
      <c r="O357" s="5">
        <v>0.2</v>
      </c>
      <c r="P357" s="4">
        <v>42.25</v>
      </c>
      <c r="Q357" s="4">
        <f t="shared" si="42"/>
        <v>575.93600000000004</v>
      </c>
      <c r="R357" s="4">
        <f t="shared" si="43"/>
        <v>338</v>
      </c>
      <c r="S357" s="4">
        <f t="shared" si="44"/>
        <v>237.93600000000004</v>
      </c>
      <c r="T357" s="6">
        <f t="shared" si="45"/>
        <v>0.41312923658184247</v>
      </c>
    </row>
    <row r="358" spans="1:20" x14ac:dyDescent="0.3">
      <c r="A358" s="2">
        <v>1336</v>
      </c>
      <c r="B358" s="3">
        <v>46153</v>
      </c>
      <c r="C358" s="2">
        <f t="shared" si="40"/>
        <v>2026</v>
      </c>
      <c r="D358" s="2">
        <f t="shared" si="46"/>
        <v>2</v>
      </c>
      <c r="E358" s="2">
        <f t="shared" si="41"/>
        <v>5</v>
      </c>
      <c r="F358" s="2" t="str">
        <f t="shared" si="47"/>
        <v>May</v>
      </c>
      <c r="G358" s="2" t="s">
        <v>16</v>
      </c>
      <c r="H358" s="2" t="s">
        <v>22</v>
      </c>
      <c r="I358" s="2" t="s">
        <v>27</v>
      </c>
      <c r="J358" s="2" t="s">
        <v>19</v>
      </c>
      <c r="K358" s="2" t="s">
        <v>43</v>
      </c>
      <c r="L358" s="2" t="s">
        <v>50</v>
      </c>
      <c r="M358" s="2">
        <v>13</v>
      </c>
      <c r="N358" s="4">
        <v>100.12</v>
      </c>
      <c r="O358" s="5">
        <v>0.15</v>
      </c>
      <c r="P358" s="4">
        <v>49.67</v>
      </c>
      <c r="Q358" s="4">
        <f t="shared" si="42"/>
        <v>1106.326</v>
      </c>
      <c r="R358" s="4">
        <f t="shared" si="43"/>
        <v>645.71</v>
      </c>
      <c r="S358" s="4">
        <f t="shared" si="44"/>
        <v>460.61599999999999</v>
      </c>
      <c r="T358" s="6">
        <f t="shared" si="45"/>
        <v>0.41634744189325751</v>
      </c>
    </row>
    <row r="359" spans="1:20" x14ac:dyDescent="0.3">
      <c r="A359" s="2">
        <v>1024</v>
      </c>
      <c r="B359" s="3">
        <v>46154</v>
      </c>
      <c r="C359" s="2">
        <f t="shared" si="40"/>
        <v>2026</v>
      </c>
      <c r="D359" s="2">
        <f t="shared" si="46"/>
        <v>2</v>
      </c>
      <c r="E359" s="2">
        <f t="shared" si="41"/>
        <v>5</v>
      </c>
      <c r="F359" s="2" t="str">
        <f t="shared" si="47"/>
        <v>May</v>
      </c>
      <c r="G359" s="2" t="s">
        <v>41</v>
      </c>
      <c r="H359" s="2" t="s">
        <v>42</v>
      </c>
      <c r="I359" s="2" t="s">
        <v>33</v>
      </c>
      <c r="J359" s="2" t="s">
        <v>24</v>
      </c>
      <c r="K359" s="2" t="s">
        <v>25</v>
      </c>
      <c r="L359" s="2" t="s">
        <v>54</v>
      </c>
      <c r="M359" s="2">
        <v>9</v>
      </c>
      <c r="N359" s="4">
        <v>41.22</v>
      </c>
      <c r="O359" s="5">
        <v>0</v>
      </c>
      <c r="P359" s="4">
        <v>16.64</v>
      </c>
      <c r="Q359" s="4">
        <f t="shared" si="42"/>
        <v>370.98</v>
      </c>
      <c r="R359" s="4">
        <f t="shared" si="43"/>
        <v>149.76</v>
      </c>
      <c r="S359" s="4">
        <f t="shared" si="44"/>
        <v>221.22000000000003</v>
      </c>
      <c r="T359" s="6">
        <f t="shared" si="45"/>
        <v>0.59631246967491514</v>
      </c>
    </row>
    <row r="360" spans="1:20" x14ac:dyDescent="0.3">
      <c r="A360" s="2">
        <v>1193</v>
      </c>
      <c r="B360" s="3">
        <v>46154</v>
      </c>
      <c r="C360" s="2">
        <f t="shared" si="40"/>
        <v>2026</v>
      </c>
      <c r="D360" s="2">
        <f t="shared" si="46"/>
        <v>2</v>
      </c>
      <c r="E360" s="2">
        <f t="shared" si="41"/>
        <v>5</v>
      </c>
      <c r="F360" s="2" t="str">
        <f t="shared" si="47"/>
        <v>May</v>
      </c>
      <c r="G360" s="2" t="s">
        <v>41</v>
      </c>
      <c r="H360" s="2" t="s">
        <v>53</v>
      </c>
      <c r="I360" s="2" t="s">
        <v>27</v>
      </c>
      <c r="J360" s="2" t="s">
        <v>24</v>
      </c>
      <c r="K360" s="2" t="s">
        <v>20</v>
      </c>
      <c r="L360" s="2" t="s">
        <v>52</v>
      </c>
      <c r="M360" s="2">
        <v>1</v>
      </c>
      <c r="N360" s="4">
        <v>89.99</v>
      </c>
      <c r="O360" s="5">
        <v>0.15</v>
      </c>
      <c r="P360" s="4">
        <v>42.25</v>
      </c>
      <c r="Q360" s="4">
        <f t="shared" si="42"/>
        <v>76.491499999999988</v>
      </c>
      <c r="R360" s="4">
        <f t="shared" si="43"/>
        <v>42.25</v>
      </c>
      <c r="S360" s="4">
        <f t="shared" si="44"/>
        <v>34.241499999999988</v>
      </c>
      <c r="T360" s="6">
        <f t="shared" si="45"/>
        <v>0.44765104619467516</v>
      </c>
    </row>
    <row r="361" spans="1:20" x14ac:dyDescent="0.3">
      <c r="A361" s="2">
        <v>1344</v>
      </c>
      <c r="B361" s="3">
        <v>46154</v>
      </c>
      <c r="C361" s="2">
        <f t="shared" si="40"/>
        <v>2026</v>
      </c>
      <c r="D361" s="2">
        <f t="shared" si="46"/>
        <v>2</v>
      </c>
      <c r="E361" s="2">
        <f t="shared" si="41"/>
        <v>5</v>
      </c>
      <c r="F361" s="2" t="str">
        <f t="shared" si="47"/>
        <v>May</v>
      </c>
      <c r="G361" s="2" t="s">
        <v>48</v>
      </c>
      <c r="H361" s="2" t="s">
        <v>49</v>
      </c>
      <c r="I361" s="2" t="s">
        <v>18</v>
      </c>
      <c r="J361" s="2" t="s">
        <v>19</v>
      </c>
      <c r="K361" s="2" t="s">
        <v>25</v>
      </c>
      <c r="L361" s="2" t="s">
        <v>60</v>
      </c>
      <c r="M361" s="2">
        <v>6</v>
      </c>
      <c r="N361" s="4">
        <v>81.260000000000005</v>
      </c>
      <c r="O361" s="5">
        <v>0.15</v>
      </c>
      <c r="P361" s="4">
        <v>39.119999999999997</v>
      </c>
      <c r="Q361" s="4">
        <f t="shared" si="42"/>
        <v>414.42600000000004</v>
      </c>
      <c r="R361" s="4">
        <f t="shared" si="43"/>
        <v>234.71999999999997</v>
      </c>
      <c r="S361" s="4">
        <f t="shared" si="44"/>
        <v>179.70600000000007</v>
      </c>
      <c r="T361" s="6">
        <f t="shared" si="45"/>
        <v>0.43362626862214254</v>
      </c>
    </row>
    <row r="362" spans="1:20" x14ac:dyDescent="0.3">
      <c r="A362" s="2">
        <v>1186</v>
      </c>
      <c r="B362" s="3">
        <v>46155</v>
      </c>
      <c r="C362" s="2">
        <f t="shared" si="40"/>
        <v>2026</v>
      </c>
      <c r="D362" s="2">
        <f t="shared" si="46"/>
        <v>2</v>
      </c>
      <c r="E362" s="2">
        <f t="shared" si="41"/>
        <v>5</v>
      </c>
      <c r="F362" s="2" t="str">
        <f t="shared" si="47"/>
        <v>May</v>
      </c>
      <c r="G362" s="2" t="s">
        <v>16</v>
      </c>
      <c r="H362" s="2" t="s">
        <v>32</v>
      </c>
      <c r="I362" s="2" t="s">
        <v>23</v>
      </c>
      <c r="J362" s="2" t="s">
        <v>38</v>
      </c>
      <c r="K362" s="2" t="s">
        <v>43</v>
      </c>
      <c r="L362" s="2" t="s">
        <v>44</v>
      </c>
      <c r="M362" s="2">
        <v>5</v>
      </c>
      <c r="N362" s="4">
        <v>49.6</v>
      </c>
      <c r="O362" s="5">
        <v>0.1</v>
      </c>
      <c r="P362" s="4">
        <v>23.05</v>
      </c>
      <c r="Q362" s="4">
        <f t="shared" si="42"/>
        <v>223.20000000000002</v>
      </c>
      <c r="R362" s="4">
        <f t="shared" si="43"/>
        <v>115.25</v>
      </c>
      <c r="S362" s="4">
        <f t="shared" si="44"/>
        <v>107.95000000000002</v>
      </c>
      <c r="T362" s="6">
        <f t="shared" si="45"/>
        <v>0.48364695340501795</v>
      </c>
    </row>
    <row r="363" spans="1:20" x14ac:dyDescent="0.3">
      <c r="A363" s="2">
        <v>1235</v>
      </c>
      <c r="B363" s="3">
        <v>46155</v>
      </c>
      <c r="C363" s="2">
        <f t="shared" si="40"/>
        <v>2026</v>
      </c>
      <c r="D363" s="2">
        <f t="shared" si="46"/>
        <v>2</v>
      </c>
      <c r="E363" s="2">
        <f t="shared" si="41"/>
        <v>5</v>
      </c>
      <c r="F363" s="2" t="str">
        <f t="shared" si="47"/>
        <v>May</v>
      </c>
      <c r="G363" s="2" t="s">
        <v>30</v>
      </c>
      <c r="H363" s="2" t="s">
        <v>45</v>
      </c>
      <c r="I363" s="2" t="s">
        <v>27</v>
      </c>
      <c r="J363" s="2" t="s">
        <v>24</v>
      </c>
      <c r="K363" s="2" t="s">
        <v>36</v>
      </c>
      <c r="L363" s="2" t="s">
        <v>62</v>
      </c>
      <c r="M363" s="2">
        <v>6</v>
      </c>
      <c r="N363" s="4">
        <v>124.97</v>
      </c>
      <c r="O363" s="5">
        <v>0.15</v>
      </c>
      <c r="P363" s="4">
        <v>67.36</v>
      </c>
      <c r="Q363" s="4">
        <f t="shared" si="42"/>
        <v>637.34699999999998</v>
      </c>
      <c r="R363" s="4">
        <f t="shared" si="43"/>
        <v>404.15999999999997</v>
      </c>
      <c r="S363" s="4">
        <f t="shared" si="44"/>
        <v>233.18700000000001</v>
      </c>
      <c r="T363" s="6">
        <f t="shared" si="45"/>
        <v>0.36587133853301268</v>
      </c>
    </row>
    <row r="364" spans="1:20" x14ac:dyDescent="0.3">
      <c r="A364" s="2">
        <v>1307</v>
      </c>
      <c r="B364" s="3">
        <v>46156</v>
      </c>
      <c r="C364" s="2">
        <f t="shared" si="40"/>
        <v>2026</v>
      </c>
      <c r="D364" s="2">
        <f t="shared" si="46"/>
        <v>2</v>
      </c>
      <c r="E364" s="2">
        <f t="shared" si="41"/>
        <v>5</v>
      </c>
      <c r="F364" s="2" t="str">
        <f t="shared" si="47"/>
        <v>May</v>
      </c>
      <c r="G364" s="2" t="s">
        <v>41</v>
      </c>
      <c r="H364" s="2" t="s">
        <v>59</v>
      </c>
      <c r="I364" s="2" t="s">
        <v>27</v>
      </c>
      <c r="J364" s="2" t="s">
        <v>38</v>
      </c>
      <c r="K364" s="2" t="s">
        <v>28</v>
      </c>
      <c r="L364" s="2" t="s">
        <v>40</v>
      </c>
      <c r="M364" s="2">
        <v>5</v>
      </c>
      <c r="N364" s="4">
        <v>143.66999999999999</v>
      </c>
      <c r="O364" s="5">
        <v>0.05</v>
      </c>
      <c r="P364" s="4">
        <v>81.22</v>
      </c>
      <c r="Q364" s="4">
        <f t="shared" si="42"/>
        <v>682.43249999999989</v>
      </c>
      <c r="R364" s="4">
        <f t="shared" si="43"/>
        <v>406.1</v>
      </c>
      <c r="S364" s="4">
        <f t="shared" si="44"/>
        <v>276.33249999999987</v>
      </c>
      <c r="T364" s="6">
        <f t="shared" si="45"/>
        <v>0.40492283119575917</v>
      </c>
    </row>
    <row r="365" spans="1:20" x14ac:dyDescent="0.3">
      <c r="A365" s="2">
        <v>1426</v>
      </c>
      <c r="B365" s="3">
        <v>46156</v>
      </c>
      <c r="C365" s="2">
        <f t="shared" si="40"/>
        <v>2026</v>
      </c>
      <c r="D365" s="2">
        <f t="shared" si="46"/>
        <v>2</v>
      </c>
      <c r="E365" s="2">
        <f t="shared" si="41"/>
        <v>5</v>
      </c>
      <c r="F365" s="2" t="str">
        <f t="shared" si="47"/>
        <v>May</v>
      </c>
      <c r="G365" s="2" t="s">
        <v>30</v>
      </c>
      <c r="H365" s="2" t="s">
        <v>35</v>
      </c>
      <c r="I365" s="2" t="s">
        <v>23</v>
      </c>
      <c r="J365" s="2" t="s">
        <v>24</v>
      </c>
      <c r="K365" s="2" t="s">
        <v>36</v>
      </c>
      <c r="L365" s="2" t="s">
        <v>58</v>
      </c>
      <c r="M365" s="2">
        <v>2</v>
      </c>
      <c r="N365" s="4">
        <v>32.99</v>
      </c>
      <c r="O365" s="5">
        <v>0.1</v>
      </c>
      <c r="P365" s="4">
        <v>12.5</v>
      </c>
      <c r="Q365" s="4">
        <f t="shared" si="42"/>
        <v>59.382000000000005</v>
      </c>
      <c r="R365" s="4">
        <f t="shared" si="43"/>
        <v>25</v>
      </c>
      <c r="S365" s="4">
        <f t="shared" si="44"/>
        <v>34.382000000000005</v>
      </c>
      <c r="T365" s="6">
        <f t="shared" si="45"/>
        <v>0.57899700245865759</v>
      </c>
    </row>
    <row r="366" spans="1:20" x14ac:dyDescent="0.3">
      <c r="A366" s="2">
        <v>1400</v>
      </c>
      <c r="B366" s="3">
        <v>46157</v>
      </c>
      <c r="C366" s="2">
        <f t="shared" si="40"/>
        <v>2026</v>
      </c>
      <c r="D366" s="2">
        <f t="shared" si="46"/>
        <v>2</v>
      </c>
      <c r="E366" s="2">
        <f t="shared" si="41"/>
        <v>5</v>
      </c>
      <c r="F366" s="2" t="str">
        <f t="shared" si="47"/>
        <v>May</v>
      </c>
      <c r="G366" s="2" t="s">
        <v>30</v>
      </c>
      <c r="H366" s="2" t="s">
        <v>35</v>
      </c>
      <c r="I366" s="2" t="s">
        <v>27</v>
      </c>
      <c r="J366" s="2" t="s">
        <v>19</v>
      </c>
      <c r="K366" s="2" t="s">
        <v>20</v>
      </c>
      <c r="L366" s="2" t="s">
        <v>21</v>
      </c>
      <c r="M366" s="2">
        <v>13</v>
      </c>
      <c r="N366" s="4">
        <v>46.99</v>
      </c>
      <c r="O366" s="5">
        <v>0</v>
      </c>
      <c r="P366" s="4">
        <v>18.11</v>
      </c>
      <c r="Q366" s="4">
        <f t="shared" si="42"/>
        <v>610.87</v>
      </c>
      <c r="R366" s="4">
        <f t="shared" si="43"/>
        <v>235.43</v>
      </c>
      <c r="S366" s="4">
        <f t="shared" si="44"/>
        <v>375.44</v>
      </c>
      <c r="T366" s="6">
        <f t="shared" si="45"/>
        <v>0.61459885081932331</v>
      </c>
    </row>
    <row r="367" spans="1:20" x14ac:dyDescent="0.3">
      <c r="A367" s="2">
        <v>1402</v>
      </c>
      <c r="B367" s="3">
        <v>46157</v>
      </c>
      <c r="C367" s="2">
        <f t="shared" si="40"/>
        <v>2026</v>
      </c>
      <c r="D367" s="2">
        <f t="shared" si="46"/>
        <v>2</v>
      </c>
      <c r="E367" s="2">
        <f t="shared" si="41"/>
        <v>5</v>
      </c>
      <c r="F367" s="2" t="str">
        <f t="shared" si="47"/>
        <v>May</v>
      </c>
      <c r="G367" s="2" t="s">
        <v>48</v>
      </c>
      <c r="H367" s="2" t="s">
        <v>63</v>
      </c>
      <c r="I367" s="2" t="s">
        <v>27</v>
      </c>
      <c r="J367" s="2" t="s">
        <v>38</v>
      </c>
      <c r="K367" s="2" t="s">
        <v>20</v>
      </c>
      <c r="L367" s="2" t="s">
        <v>52</v>
      </c>
      <c r="M367" s="2">
        <v>10</v>
      </c>
      <c r="N367" s="4">
        <v>89.99</v>
      </c>
      <c r="O367" s="5">
        <v>0</v>
      </c>
      <c r="P367" s="4">
        <v>42.25</v>
      </c>
      <c r="Q367" s="4">
        <f t="shared" si="42"/>
        <v>899.9</v>
      </c>
      <c r="R367" s="4">
        <f t="shared" si="43"/>
        <v>422.5</v>
      </c>
      <c r="S367" s="4">
        <f t="shared" si="44"/>
        <v>477.4</v>
      </c>
      <c r="T367" s="6">
        <f t="shared" si="45"/>
        <v>0.53050338926547391</v>
      </c>
    </row>
    <row r="368" spans="1:20" x14ac:dyDescent="0.3">
      <c r="A368" s="2">
        <v>1434</v>
      </c>
      <c r="B368" s="3">
        <v>46157</v>
      </c>
      <c r="C368" s="2">
        <f t="shared" si="40"/>
        <v>2026</v>
      </c>
      <c r="D368" s="2">
        <f t="shared" si="46"/>
        <v>2</v>
      </c>
      <c r="E368" s="2">
        <f t="shared" si="41"/>
        <v>5</v>
      </c>
      <c r="F368" s="2" t="str">
        <f t="shared" si="47"/>
        <v>May</v>
      </c>
      <c r="G368" s="2" t="s">
        <v>16</v>
      </c>
      <c r="H368" s="2" t="s">
        <v>17</v>
      </c>
      <c r="I368" s="2" t="s">
        <v>23</v>
      </c>
      <c r="J368" s="2" t="s">
        <v>24</v>
      </c>
      <c r="K368" s="2" t="s">
        <v>28</v>
      </c>
      <c r="L368" s="2" t="s">
        <v>40</v>
      </c>
      <c r="M368" s="2">
        <v>14</v>
      </c>
      <c r="N368" s="4">
        <v>143.66999999999999</v>
      </c>
      <c r="O368" s="5">
        <v>0</v>
      </c>
      <c r="P368" s="4">
        <v>81.22</v>
      </c>
      <c r="Q368" s="4">
        <f t="shared" si="42"/>
        <v>2011.3799999999999</v>
      </c>
      <c r="R368" s="4">
        <f t="shared" si="43"/>
        <v>1137.08</v>
      </c>
      <c r="S368" s="4">
        <f t="shared" si="44"/>
        <v>874.3</v>
      </c>
      <c r="T368" s="6">
        <f t="shared" si="45"/>
        <v>0.43467668963597134</v>
      </c>
    </row>
    <row r="369" spans="1:20" x14ac:dyDescent="0.3">
      <c r="A369" s="2">
        <v>1018</v>
      </c>
      <c r="B369" s="3">
        <v>46158</v>
      </c>
      <c r="C369" s="2">
        <f t="shared" si="40"/>
        <v>2026</v>
      </c>
      <c r="D369" s="2">
        <f t="shared" si="46"/>
        <v>2</v>
      </c>
      <c r="E369" s="2">
        <f t="shared" si="41"/>
        <v>5</v>
      </c>
      <c r="F369" s="2" t="str">
        <f t="shared" si="47"/>
        <v>May</v>
      </c>
      <c r="G369" s="2" t="s">
        <v>16</v>
      </c>
      <c r="H369" s="2" t="s">
        <v>22</v>
      </c>
      <c r="I369" s="2" t="s">
        <v>27</v>
      </c>
      <c r="J369" s="2" t="s">
        <v>38</v>
      </c>
      <c r="K369" s="2" t="s">
        <v>20</v>
      </c>
      <c r="L369" s="2" t="s">
        <v>52</v>
      </c>
      <c r="M369" s="2">
        <v>1</v>
      </c>
      <c r="N369" s="4">
        <v>89.99</v>
      </c>
      <c r="O369" s="5">
        <v>0</v>
      </c>
      <c r="P369" s="4">
        <v>42.25</v>
      </c>
      <c r="Q369" s="4">
        <f t="shared" si="42"/>
        <v>89.99</v>
      </c>
      <c r="R369" s="4">
        <f t="shared" si="43"/>
        <v>42.25</v>
      </c>
      <c r="S369" s="4">
        <f t="shared" si="44"/>
        <v>47.739999999999995</v>
      </c>
      <c r="T369" s="6">
        <f t="shared" si="45"/>
        <v>0.53050338926547391</v>
      </c>
    </row>
    <row r="370" spans="1:20" x14ac:dyDescent="0.3">
      <c r="A370" s="2">
        <v>1354</v>
      </c>
      <c r="B370" s="3">
        <v>46158</v>
      </c>
      <c r="C370" s="2">
        <f t="shared" si="40"/>
        <v>2026</v>
      </c>
      <c r="D370" s="2">
        <f t="shared" si="46"/>
        <v>2</v>
      </c>
      <c r="E370" s="2">
        <f t="shared" si="41"/>
        <v>5</v>
      </c>
      <c r="F370" s="2" t="str">
        <f t="shared" si="47"/>
        <v>May</v>
      </c>
      <c r="G370" s="2" t="s">
        <v>16</v>
      </c>
      <c r="H370" s="2" t="s">
        <v>22</v>
      </c>
      <c r="I370" s="2" t="s">
        <v>23</v>
      </c>
      <c r="J370" s="2" t="s">
        <v>19</v>
      </c>
      <c r="K370" s="2" t="s">
        <v>28</v>
      </c>
      <c r="L370" s="2" t="s">
        <v>29</v>
      </c>
      <c r="M370" s="2">
        <v>6</v>
      </c>
      <c r="N370" s="4">
        <v>54.75</v>
      </c>
      <c r="O370" s="5">
        <v>0.2</v>
      </c>
      <c r="P370" s="4">
        <v>24.3</v>
      </c>
      <c r="Q370" s="4">
        <f t="shared" si="42"/>
        <v>262.8</v>
      </c>
      <c r="R370" s="4">
        <f t="shared" si="43"/>
        <v>145.80000000000001</v>
      </c>
      <c r="S370" s="4">
        <f t="shared" si="44"/>
        <v>117</v>
      </c>
      <c r="T370" s="6">
        <f t="shared" si="45"/>
        <v>0.4452054794520548</v>
      </c>
    </row>
    <row r="371" spans="1:20" x14ac:dyDescent="0.3">
      <c r="A371" s="2">
        <v>1020</v>
      </c>
      <c r="B371" s="3">
        <v>46159</v>
      </c>
      <c r="C371" s="2">
        <f t="shared" si="40"/>
        <v>2026</v>
      </c>
      <c r="D371" s="2">
        <f t="shared" si="46"/>
        <v>2</v>
      </c>
      <c r="E371" s="2">
        <f t="shared" si="41"/>
        <v>5</v>
      </c>
      <c r="F371" s="2" t="str">
        <f t="shared" si="47"/>
        <v>May</v>
      </c>
      <c r="G371" s="2" t="s">
        <v>41</v>
      </c>
      <c r="H371" s="2" t="s">
        <v>53</v>
      </c>
      <c r="I371" s="2" t="s">
        <v>33</v>
      </c>
      <c r="J371" s="2" t="s">
        <v>24</v>
      </c>
      <c r="K371" s="2" t="s">
        <v>25</v>
      </c>
      <c r="L371" s="2" t="s">
        <v>54</v>
      </c>
      <c r="M371" s="2">
        <v>5</v>
      </c>
      <c r="N371" s="4">
        <v>41.22</v>
      </c>
      <c r="O371" s="5">
        <v>0.15</v>
      </c>
      <c r="P371" s="4">
        <v>16.64</v>
      </c>
      <c r="Q371" s="4">
        <f t="shared" si="42"/>
        <v>175.185</v>
      </c>
      <c r="R371" s="4">
        <f t="shared" si="43"/>
        <v>83.2</v>
      </c>
      <c r="S371" s="4">
        <f t="shared" si="44"/>
        <v>91.984999999999999</v>
      </c>
      <c r="T371" s="6">
        <f t="shared" si="45"/>
        <v>0.52507349373519419</v>
      </c>
    </row>
    <row r="372" spans="1:20" x14ac:dyDescent="0.3">
      <c r="A372" s="2">
        <v>1494</v>
      </c>
      <c r="B372" s="3">
        <v>46159</v>
      </c>
      <c r="C372" s="2">
        <f t="shared" si="40"/>
        <v>2026</v>
      </c>
      <c r="D372" s="2">
        <f t="shared" si="46"/>
        <v>2</v>
      </c>
      <c r="E372" s="2">
        <f t="shared" si="41"/>
        <v>5</v>
      </c>
      <c r="F372" s="2" t="str">
        <f t="shared" si="47"/>
        <v>May</v>
      </c>
      <c r="G372" s="2" t="s">
        <v>48</v>
      </c>
      <c r="H372" s="2" t="s">
        <v>66</v>
      </c>
      <c r="I372" s="2" t="s">
        <v>23</v>
      </c>
      <c r="J372" s="2" t="s">
        <v>24</v>
      </c>
      <c r="K372" s="2" t="s">
        <v>43</v>
      </c>
      <c r="L372" s="2" t="s">
        <v>57</v>
      </c>
      <c r="M372" s="2">
        <v>1</v>
      </c>
      <c r="N372" s="4">
        <v>82.06</v>
      </c>
      <c r="O372" s="5">
        <v>0.1</v>
      </c>
      <c r="P372" s="4">
        <v>42.94</v>
      </c>
      <c r="Q372" s="4">
        <f t="shared" si="42"/>
        <v>73.853999999999999</v>
      </c>
      <c r="R372" s="4">
        <f t="shared" si="43"/>
        <v>42.94</v>
      </c>
      <c r="S372" s="4">
        <f t="shared" si="44"/>
        <v>30.914000000000001</v>
      </c>
      <c r="T372" s="6">
        <f t="shared" si="45"/>
        <v>0.41858260893113441</v>
      </c>
    </row>
    <row r="373" spans="1:20" x14ac:dyDescent="0.3">
      <c r="A373" s="2">
        <v>1016</v>
      </c>
      <c r="B373" s="3">
        <v>46160</v>
      </c>
      <c r="C373" s="2">
        <f t="shared" si="40"/>
        <v>2026</v>
      </c>
      <c r="D373" s="2">
        <f t="shared" si="46"/>
        <v>2</v>
      </c>
      <c r="E373" s="2">
        <f t="shared" si="41"/>
        <v>5</v>
      </c>
      <c r="F373" s="2" t="str">
        <f t="shared" si="47"/>
        <v>May</v>
      </c>
      <c r="G373" s="2" t="s">
        <v>48</v>
      </c>
      <c r="H373" s="2" t="s">
        <v>49</v>
      </c>
      <c r="I373" s="2" t="s">
        <v>33</v>
      </c>
      <c r="J373" s="2" t="s">
        <v>24</v>
      </c>
      <c r="K373" s="2" t="s">
        <v>43</v>
      </c>
      <c r="L373" s="2" t="s">
        <v>50</v>
      </c>
      <c r="M373" s="2">
        <v>7</v>
      </c>
      <c r="N373" s="4">
        <v>100.12</v>
      </c>
      <c r="O373" s="5">
        <v>0</v>
      </c>
      <c r="P373" s="4">
        <v>49.67</v>
      </c>
      <c r="Q373" s="4">
        <f t="shared" si="42"/>
        <v>700.84</v>
      </c>
      <c r="R373" s="4">
        <f t="shared" si="43"/>
        <v>347.69</v>
      </c>
      <c r="S373" s="4">
        <f t="shared" si="44"/>
        <v>353.15000000000003</v>
      </c>
      <c r="T373" s="6">
        <f t="shared" si="45"/>
        <v>0.50389532560926886</v>
      </c>
    </row>
    <row r="374" spans="1:20" x14ac:dyDescent="0.3">
      <c r="A374" s="2">
        <v>1049</v>
      </c>
      <c r="B374" s="3">
        <v>46160</v>
      </c>
      <c r="C374" s="2">
        <f t="shared" si="40"/>
        <v>2026</v>
      </c>
      <c r="D374" s="2">
        <f t="shared" si="46"/>
        <v>2</v>
      </c>
      <c r="E374" s="2">
        <f t="shared" si="41"/>
        <v>5</v>
      </c>
      <c r="F374" s="2" t="str">
        <f t="shared" si="47"/>
        <v>May</v>
      </c>
      <c r="G374" s="2" t="s">
        <v>48</v>
      </c>
      <c r="H374" s="2" t="s">
        <v>63</v>
      </c>
      <c r="I374" s="2" t="s">
        <v>27</v>
      </c>
      <c r="J374" s="2" t="s">
        <v>24</v>
      </c>
      <c r="K374" s="2" t="s">
        <v>43</v>
      </c>
      <c r="L374" s="2" t="s">
        <v>50</v>
      </c>
      <c r="M374" s="2">
        <v>3</v>
      </c>
      <c r="N374" s="4">
        <v>100.12</v>
      </c>
      <c r="O374" s="5">
        <v>0.15</v>
      </c>
      <c r="P374" s="4">
        <v>49.67</v>
      </c>
      <c r="Q374" s="4">
        <f t="shared" si="42"/>
        <v>255.30600000000001</v>
      </c>
      <c r="R374" s="4">
        <f t="shared" si="43"/>
        <v>149.01</v>
      </c>
      <c r="S374" s="4">
        <f t="shared" si="44"/>
        <v>106.29600000000002</v>
      </c>
      <c r="T374" s="6">
        <f t="shared" si="45"/>
        <v>0.41634744189325756</v>
      </c>
    </row>
    <row r="375" spans="1:20" x14ac:dyDescent="0.3">
      <c r="A375" s="2">
        <v>1080</v>
      </c>
      <c r="B375" s="3">
        <v>46160</v>
      </c>
      <c r="C375" s="2">
        <f t="shared" si="40"/>
        <v>2026</v>
      </c>
      <c r="D375" s="2">
        <f t="shared" si="46"/>
        <v>2</v>
      </c>
      <c r="E375" s="2">
        <f t="shared" si="41"/>
        <v>5</v>
      </c>
      <c r="F375" s="2" t="str">
        <f t="shared" si="47"/>
        <v>May</v>
      </c>
      <c r="G375" s="2" t="s">
        <v>30</v>
      </c>
      <c r="H375" s="2" t="s">
        <v>46</v>
      </c>
      <c r="I375" s="2" t="s">
        <v>18</v>
      </c>
      <c r="J375" s="2" t="s">
        <v>38</v>
      </c>
      <c r="K375" s="2" t="s">
        <v>25</v>
      </c>
      <c r="L375" s="2" t="s">
        <v>55</v>
      </c>
      <c r="M375" s="2">
        <v>6</v>
      </c>
      <c r="N375" s="4">
        <v>194.35</v>
      </c>
      <c r="O375" s="5">
        <v>0</v>
      </c>
      <c r="P375" s="4">
        <v>104.22</v>
      </c>
      <c r="Q375" s="4">
        <f t="shared" si="42"/>
        <v>1166.0999999999999</v>
      </c>
      <c r="R375" s="4">
        <f t="shared" si="43"/>
        <v>625.31999999999994</v>
      </c>
      <c r="S375" s="4">
        <f t="shared" si="44"/>
        <v>540.78</v>
      </c>
      <c r="T375" s="6">
        <f t="shared" si="45"/>
        <v>0.46375096475430927</v>
      </c>
    </row>
    <row r="376" spans="1:20" x14ac:dyDescent="0.3">
      <c r="A376" s="2">
        <v>1269</v>
      </c>
      <c r="B376" s="3">
        <v>46160</v>
      </c>
      <c r="C376" s="2">
        <f t="shared" si="40"/>
        <v>2026</v>
      </c>
      <c r="D376" s="2">
        <f t="shared" si="46"/>
        <v>2</v>
      </c>
      <c r="E376" s="2">
        <f t="shared" si="41"/>
        <v>5</v>
      </c>
      <c r="F376" s="2" t="str">
        <f t="shared" si="47"/>
        <v>May</v>
      </c>
      <c r="G376" s="2" t="s">
        <v>30</v>
      </c>
      <c r="H376" s="2" t="s">
        <v>45</v>
      </c>
      <c r="I376" s="2" t="s">
        <v>27</v>
      </c>
      <c r="J376" s="2" t="s">
        <v>38</v>
      </c>
      <c r="K376" s="2" t="s">
        <v>28</v>
      </c>
      <c r="L376" s="2" t="s">
        <v>64</v>
      </c>
      <c r="M376" s="2">
        <v>13</v>
      </c>
      <c r="N376" s="4">
        <v>94.18</v>
      </c>
      <c r="O376" s="5">
        <v>0</v>
      </c>
      <c r="P376" s="4">
        <v>45.03</v>
      </c>
      <c r="Q376" s="4">
        <f t="shared" si="42"/>
        <v>1224.3400000000001</v>
      </c>
      <c r="R376" s="4">
        <f t="shared" si="43"/>
        <v>585.39</v>
      </c>
      <c r="S376" s="4">
        <f t="shared" si="44"/>
        <v>638.95000000000016</v>
      </c>
      <c r="T376" s="6">
        <f t="shared" si="45"/>
        <v>0.52187300913145052</v>
      </c>
    </row>
    <row r="377" spans="1:20" x14ac:dyDescent="0.3">
      <c r="A377" s="2">
        <v>1280</v>
      </c>
      <c r="B377" s="3">
        <v>46160</v>
      </c>
      <c r="C377" s="2">
        <f t="shared" si="40"/>
        <v>2026</v>
      </c>
      <c r="D377" s="2">
        <f t="shared" si="46"/>
        <v>2</v>
      </c>
      <c r="E377" s="2">
        <f t="shared" si="41"/>
        <v>5</v>
      </c>
      <c r="F377" s="2" t="str">
        <f t="shared" si="47"/>
        <v>May</v>
      </c>
      <c r="G377" s="2" t="s">
        <v>41</v>
      </c>
      <c r="H377" s="2" t="s">
        <v>51</v>
      </c>
      <c r="I377" s="2" t="s">
        <v>18</v>
      </c>
      <c r="J377" s="2" t="s">
        <v>24</v>
      </c>
      <c r="K377" s="2" t="s">
        <v>20</v>
      </c>
      <c r="L377" s="2" t="s">
        <v>52</v>
      </c>
      <c r="M377" s="2">
        <v>11</v>
      </c>
      <c r="N377" s="4">
        <v>89.99</v>
      </c>
      <c r="O377" s="5">
        <v>0.15</v>
      </c>
      <c r="P377" s="4">
        <v>42.25</v>
      </c>
      <c r="Q377" s="4">
        <f t="shared" si="42"/>
        <v>841.40649999999994</v>
      </c>
      <c r="R377" s="4">
        <f t="shared" si="43"/>
        <v>464.75</v>
      </c>
      <c r="S377" s="4">
        <f t="shared" si="44"/>
        <v>376.65649999999994</v>
      </c>
      <c r="T377" s="6">
        <f t="shared" si="45"/>
        <v>0.44765104619467516</v>
      </c>
    </row>
    <row r="378" spans="1:20" x14ac:dyDescent="0.3">
      <c r="A378" s="2">
        <v>1317</v>
      </c>
      <c r="B378" s="3">
        <v>46160</v>
      </c>
      <c r="C378" s="2">
        <f t="shared" si="40"/>
        <v>2026</v>
      </c>
      <c r="D378" s="2">
        <f t="shared" si="46"/>
        <v>2</v>
      </c>
      <c r="E378" s="2">
        <f t="shared" si="41"/>
        <v>5</v>
      </c>
      <c r="F378" s="2" t="str">
        <f t="shared" si="47"/>
        <v>May</v>
      </c>
      <c r="G378" s="2" t="s">
        <v>16</v>
      </c>
      <c r="H378" s="2" t="s">
        <v>17</v>
      </c>
      <c r="I378" s="2" t="s">
        <v>18</v>
      </c>
      <c r="J378" s="2" t="s">
        <v>19</v>
      </c>
      <c r="K378" s="2" t="s">
        <v>28</v>
      </c>
      <c r="L378" s="2" t="s">
        <v>39</v>
      </c>
      <c r="M378" s="2">
        <v>3</v>
      </c>
      <c r="N378" s="4">
        <v>153.38999999999999</v>
      </c>
      <c r="O378" s="5">
        <v>0.2</v>
      </c>
      <c r="P378" s="4">
        <v>78.59</v>
      </c>
      <c r="Q378" s="4">
        <f t="shared" si="42"/>
        <v>368.13599999999997</v>
      </c>
      <c r="R378" s="4">
        <f t="shared" si="43"/>
        <v>235.77</v>
      </c>
      <c r="S378" s="4">
        <f t="shared" si="44"/>
        <v>132.36599999999996</v>
      </c>
      <c r="T378" s="6">
        <f t="shared" si="45"/>
        <v>0.35955733750570434</v>
      </c>
    </row>
    <row r="379" spans="1:20" x14ac:dyDescent="0.3">
      <c r="A379" s="2">
        <v>1383</v>
      </c>
      <c r="B379" s="3">
        <v>46160</v>
      </c>
      <c r="C379" s="2">
        <f t="shared" si="40"/>
        <v>2026</v>
      </c>
      <c r="D379" s="2">
        <f t="shared" si="46"/>
        <v>2</v>
      </c>
      <c r="E379" s="2">
        <f t="shared" si="41"/>
        <v>5</v>
      </c>
      <c r="F379" s="2" t="str">
        <f t="shared" si="47"/>
        <v>May</v>
      </c>
      <c r="G379" s="2" t="s">
        <v>48</v>
      </c>
      <c r="H379" s="2" t="s">
        <v>61</v>
      </c>
      <c r="I379" s="2" t="s">
        <v>18</v>
      </c>
      <c r="J379" s="2" t="s">
        <v>24</v>
      </c>
      <c r="K379" s="2" t="s">
        <v>25</v>
      </c>
      <c r="L379" s="2" t="s">
        <v>55</v>
      </c>
      <c r="M379" s="2">
        <v>8</v>
      </c>
      <c r="N379" s="4">
        <v>194.35</v>
      </c>
      <c r="O379" s="5">
        <v>0.05</v>
      </c>
      <c r="P379" s="4">
        <v>104.22</v>
      </c>
      <c r="Q379" s="4">
        <f t="shared" si="42"/>
        <v>1477.06</v>
      </c>
      <c r="R379" s="4">
        <f t="shared" si="43"/>
        <v>833.76</v>
      </c>
      <c r="S379" s="4">
        <f t="shared" si="44"/>
        <v>643.29999999999995</v>
      </c>
      <c r="T379" s="6">
        <f t="shared" si="45"/>
        <v>0.43552733132032551</v>
      </c>
    </row>
    <row r="380" spans="1:20" x14ac:dyDescent="0.3">
      <c r="A380" s="2">
        <v>1021</v>
      </c>
      <c r="B380" s="3">
        <v>46161</v>
      </c>
      <c r="C380" s="2">
        <f t="shared" si="40"/>
        <v>2026</v>
      </c>
      <c r="D380" s="2">
        <f t="shared" si="46"/>
        <v>2</v>
      </c>
      <c r="E380" s="2">
        <f t="shared" si="41"/>
        <v>5</v>
      </c>
      <c r="F380" s="2" t="str">
        <f t="shared" si="47"/>
        <v>May</v>
      </c>
      <c r="G380" s="2" t="s">
        <v>41</v>
      </c>
      <c r="H380" s="2" t="s">
        <v>42</v>
      </c>
      <c r="I380" s="2" t="s">
        <v>33</v>
      </c>
      <c r="J380" s="2" t="s">
        <v>24</v>
      </c>
      <c r="K380" s="2" t="s">
        <v>25</v>
      </c>
      <c r="L380" s="2" t="s">
        <v>55</v>
      </c>
      <c r="M380" s="2">
        <v>8</v>
      </c>
      <c r="N380" s="4">
        <v>194.35</v>
      </c>
      <c r="O380" s="5">
        <v>0.15</v>
      </c>
      <c r="P380" s="4">
        <v>104.22</v>
      </c>
      <c r="Q380" s="4">
        <f t="shared" si="42"/>
        <v>1321.58</v>
      </c>
      <c r="R380" s="4">
        <f t="shared" si="43"/>
        <v>833.76</v>
      </c>
      <c r="S380" s="4">
        <f t="shared" si="44"/>
        <v>487.81999999999994</v>
      </c>
      <c r="T380" s="6">
        <f t="shared" si="45"/>
        <v>0.3691187820638932</v>
      </c>
    </row>
    <row r="381" spans="1:20" x14ac:dyDescent="0.3">
      <c r="A381" s="2">
        <v>1064</v>
      </c>
      <c r="B381" s="3">
        <v>46161</v>
      </c>
      <c r="C381" s="2">
        <f t="shared" si="40"/>
        <v>2026</v>
      </c>
      <c r="D381" s="2">
        <f t="shared" si="46"/>
        <v>2</v>
      </c>
      <c r="E381" s="2">
        <f t="shared" si="41"/>
        <v>5</v>
      </c>
      <c r="F381" s="2" t="str">
        <f t="shared" si="47"/>
        <v>May</v>
      </c>
      <c r="G381" s="2" t="s">
        <v>16</v>
      </c>
      <c r="H381" s="2" t="s">
        <v>17</v>
      </c>
      <c r="I381" s="2" t="s">
        <v>23</v>
      </c>
      <c r="J381" s="2" t="s">
        <v>19</v>
      </c>
      <c r="K381" s="2" t="s">
        <v>28</v>
      </c>
      <c r="L381" s="2" t="s">
        <v>40</v>
      </c>
      <c r="M381" s="2">
        <v>7</v>
      </c>
      <c r="N381" s="4">
        <v>143.66999999999999</v>
      </c>
      <c r="O381" s="5">
        <v>0.2</v>
      </c>
      <c r="P381" s="4">
        <v>81.22</v>
      </c>
      <c r="Q381" s="4">
        <f t="shared" si="42"/>
        <v>804.55200000000002</v>
      </c>
      <c r="R381" s="4">
        <f t="shared" si="43"/>
        <v>568.54</v>
      </c>
      <c r="S381" s="4">
        <f t="shared" si="44"/>
        <v>236.01200000000006</v>
      </c>
      <c r="T381" s="6">
        <f t="shared" si="45"/>
        <v>0.29334586204496421</v>
      </c>
    </row>
    <row r="382" spans="1:20" x14ac:dyDescent="0.3">
      <c r="A382" s="2">
        <v>1002</v>
      </c>
      <c r="B382" s="3">
        <v>46162</v>
      </c>
      <c r="C382" s="2">
        <f t="shared" si="40"/>
        <v>2026</v>
      </c>
      <c r="D382" s="2">
        <f t="shared" si="46"/>
        <v>2</v>
      </c>
      <c r="E382" s="2">
        <f t="shared" si="41"/>
        <v>5</v>
      </c>
      <c r="F382" s="2" t="str">
        <f t="shared" si="47"/>
        <v>May</v>
      </c>
      <c r="G382" s="2" t="s">
        <v>16</v>
      </c>
      <c r="H382" s="2" t="s">
        <v>22</v>
      </c>
      <c r="I382" s="2" t="s">
        <v>23</v>
      </c>
      <c r="J382" s="2" t="s">
        <v>24</v>
      </c>
      <c r="K382" s="2" t="s">
        <v>25</v>
      </c>
      <c r="L382" s="2" t="s">
        <v>26</v>
      </c>
      <c r="M382" s="2">
        <v>1</v>
      </c>
      <c r="N382" s="4">
        <v>347.51</v>
      </c>
      <c r="O382" s="5">
        <v>0</v>
      </c>
      <c r="P382" s="4">
        <v>190.16</v>
      </c>
      <c r="Q382" s="4">
        <f t="shared" si="42"/>
        <v>347.51</v>
      </c>
      <c r="R382" s="4">
        <f t="shared" si="43"/>
        <v>190.16</v>
      </c>
      <c r="S382" s="4">
        <f t="shared" si="44"/>
        <v>157.35</v>
      </c>
      <c r="T382" s="6">
        <f t="shared" si="45"/>
        <v>0.4527927253891974</v>
      </c>
    </row>
    <row r="383" spans="1:20" x14ac:dyDescent="0.3">
      <c r="A383" s="2">
        <v>1112</v>
      </c>
      <c r="B383" s="3">
        <v>46164</v>
      </c>
      <c r="C383" s="2">
        <f t="shared" si="40"/>
        <v>2026</v>
      </c>
      <c r="D383" s="2">
        <f t="shared" si="46"/>
        <v>2</v>
      </c>
      <c r="E383" s="2">
        <f t="shared" si="41"/>
        <v>5</v>
      </c>
      <c r="F383" s="2" t="str">
        <f t="shared" si="47"/>
        <v>May</v>
      </c>
      <c r="G383" s="2" t="s">
        <v>30</v>
      </c>
      <c r="H383" s="2" t="s">
        <v>46</v>
      </c>
      <c r="I383" s="2" t="s">
        <v>33</v>
      </c>
      <c r="J383" s="2" t="s">
        <v>24</v>
      </c>
      <c r="K383" s="2" t="s">
        <v>20</v>
      </c>
      <c r="L383" s="2" t="s">
        <v>21</v>
      </c>
      <c r="M383" s="2">
        <v>12</v>
      </c>
      <c r="N383" s="4">
        <v>46.99</v>
      </c>
      <c r="O383" s="5">
        <v>0</v>
      </c>
      <c r="P383" s="4">
        <v>18.11</v>
      </c>
      <c r="Q383" s="4">
        <f t="shared" si="42"/>
        <v>563.88</v>
      </c>
      <c r="R383" s="4">
        <f t="shared" si="43"/>
        <v>217.32</v>
      </c>
      <c r="S383" s="4">
        <f t="shared" si="44"/>
        <v>346.56</v>
      </c>
      <c r="T383" s="6">
        <f t="shared" si="45"/>
        <v>0.61459885081932331</v>
      </c>
    </row>
    <row r="384" spans="1:20" x14ac:dyDescent="0.3">
      <c r="A384" s="2">
        <v>1139</v>
      </c>
      <c r="B384" s="3">
        <v>46164</v>
      </c>
      <c r="C384" s="2">
        <f t="shared" si="40"/>
        <v>2026</v>
      </c>
      <c r="D384" s="2">
        <f t="shared" si="46"/>
        <v>2</v>
      </c>
      <c r="E384" s="2">
        <f t="shared" si="41"/>
        <v>5</v>
      </c>
      <c r="F384" s="2" t="str">
        <f t="shared" si="47"/>
        <v>May</v>
      </c>
      <c r="G384" s="2" t="s">
        <v>41</v>
      </c>
      <c r="H384" s="2" t="s">
        <v>53</v>
      </c>
      <c r="I384" s="2" t="s">
        <v>18</v>
      </c>
      <c r="J384" s="2" t="s">
        <v>38</v>
      </c>
      <c r="K384" s="2" t="s">
        <v>28</v>
      </c>
      <c r="L384" s="2" t="s">
        <v>39</v>
      </c>
      <c r="M384" s="2">
        <v>13</v>
      </c>
      <c r="N384" s="4">
        <v>153.38999999999999</v>
      </c>
      <c r="O384" s="5">
        <v>0</v>
      </c>
      <c r="P384" s="4">
        <v>78.59</v>
      </c>
      <c r="Q384" s="4">
        <f t="shared" si="42"/>
        <v>1994.0699999999997</v>
      </c>
      <c r="R384" s="4">
        <f t="shared" si="43"/>
        <v>1021.6700000000001</v>
      </c>
      <c r="S384" s="4">
        <f t="shared" si="44"/>
        <v>972.39999999999964</v>
      </c>
      <c r="T384" s="6">
        <f t="shared" si="45"/>
        <v>0.48764587000456344</v>
      </c>
    </row>
    <row r="385" spans="1:20" x14ac:dyDescent="0.3">
      <c r="A385" s="2">
        <v>1217</v>
      </c>
      <c r="B385" s="3">
        <v>46164</v>
      </c>
      <c r="C385" s="2">
        <f t="shared" si="40"/>
        <v>2026</v>
      </c>
      <c r="D385" s="2">
        <f t="shared" si="46"/>
        <v>2</v>
      </c>
      <c r="E385" s="2">
        <f t="shared" si="41"/>
        <v>5</v>
      </c>
      <c r="F385" s="2" t="str">
        <f t="shared" si="47"/>
        <v>May</v>
      </c>
      <c r="G385" s="2" t="s">
        <v>41</v>
      </c>
      <c r="H385" s="2" t="s">
        <v>53</v>
      </c>
      <c r="I385" s="2" t="s">
        <v>23</v>
      </c>
      <c r="J385" s="2" t="s">
        <v>38</v>
      </c>
      <c r="K385" s="2" t="s">
        <v>25</v>
      </c>
      <c r="L385" s="2" t="s">
        <v>26</v>
      </c>
      <c r="M385" s="2">
        <v>14</v>
      </c>
      <c r="N385" s="4">
        <v>347.51</v>
      </c>
      <c r="O385" s="5">
        <v>0</v>
      </c>
      <c r="P385" s="4">
        <v>190.16</v>
      </c>
      <c r="Q385" s="4">
        <f t="shared" si="42"/>
        <v>4865.1399999999994</v>
      </c>
      <c r="R385" s="4">
        <f t="shared" si="43"/>
        <v>2662.24</v>
      </c>
      <c r="S385" s="4">
        <f t="shared" si="44"/>
        <v>2202.8999999999996</v>
      </c>
      <c r="T385" s="6">
        <f t="shared" si="45"/>
        <v>0.4527927253891974</v>
      </c>
    </row>
    <row r="386" spans="1:20" x14ac:dyDescent="0.3">
      <c r="A386" s="2">
        <v>1232</v>
      </c>
      <c r="B386" s="3">
        <v>46164</v>
      </c>
      <c r="C386" s="2">
        <f t="shared" ref="C386:C449" si="48">YEAR(B386)</f>
        <v>2026</v>
      </c>
      <c r="D386" s="2">
        <f t="shared" si="46"/>
        <v>2</v>
      </c>
      <c r="E386" s="2">
        <f t="shared" ref="E386:E449" si="49">MONTH(B386)</f>
        <v>5</v>
      </c>
      <c r="F386" s="2" t="str">
        <f t="shared" si="47"/>
        <v>May</v>
      </c>
      <c r="G386" s="2" t="s">
        <v>48</v>
      </c>
      <c r="H386" s="2" t="s">
        <v>63</v>
      </c>
      <c r="I386" s="2" t="s">
        <v>27</v>
      </c>
      <c r="J386" s="2" t="s">
        <v>19</v>
      </c>
      <c r="K386" s="2" t="s">
        <v>25</v>
      </c>
      <c r="L386" s="2" t="s">
        <v>60</v>
      </c>
      <c r="M386" s="2">
        <v>13</v>
      </c>
      <c r="N386" s="4">
        <v>81.260000000000005</v>
      </c>
      <c r="O386" s="5">
        <v>0.15</v>
      </c>
      <c r="P386" s="4">
        <v>39.119999999999997</v>
      </c>
      <c r="Q386" s="4">
        <f t="shared" ref="Q386:Q449" si="50">M386*N386*(1-O386)</f>
        <v>897.92300000000012</v>
      </c>
      <c r="R386" s="4">
        <f t="shared" ref="R386:R449" si="51">M386*P386</f>
        <v>508.55999999999995</v>
      </c>
      <c r="S386" s="4">
        <f t="shared" ref="S386:S449" si="52">Q386-R386</f>
        <v>389.36300000000017</v>
      </c>
      <c r="T386" s="6">
        <f t="shared" ref="T386:T449" si="53">IFERROR(S386/Q386,0)</f>
        <v>0.43362626862214254</v>
      </c>
    </row>
    <row r="387" spans="1:20" x14ac:dyDescent="0.3">
      <c r="A387" s="2">
        <v>1371</v>
      </c>
      <c r="B387" s="3">
        <v>46164</v>
      </c>
      <c r="C387" s="2">
        <f t="shared" si="48"/>
        <v>2026</v>
      </c>
      <c r="D387" s="2">
        <f t="shared" ref="D387:D450" si="54">ROUNDUP(MONTH(B387)/3,0)</f>
        <v>2</v>
      </c>
      <c r="E387" s="2">
        <f t="shared" si="49"/>
        <v>5</v>
      </c>
      <c r="F387" s="2" t="str">
        <f t="shared" ref="F387:F450" si="55">TEXT(B387,"MMM")</f>
        <v>May</v>
      </c>
      <c r="G387" s="2" t="s">
        <v>30</v>
      </c>
      <c r="H387" s="2" t="s">
        <v>45</v>
      </c>
      <c r="I387" s="2" t="s">
        <v>27</v>
      </c>
      <c r="J387" s="2" t="s">
        <v>38</v>
      </c>
      <c r="K387" s="2" t="s">
        <v>20</v>
      </c>
      <c r="L387" s="2" t="s">
        <v>21</v>
      </c>
      <c r="M387" s="2">
        <v>7</v>
      </c>
      <c r="N387" s="4">
        <v>46.99</v>
      </c>
      <c r="O387" s="5">
        <v>0.2</v>
      </c>
      <c r="P387" s="4">
        <v>18.11</v>
      </c>
      <c r="Q387" s="4">
        <f t="shared" si="50"/>
        <v>263.14400000000001</v>
      </c>
      <c r="R387" s="4">
        <f t="shared" si="51"/>
        <v>126.77</v>
      </c>
      <c r="S387" s="4">
        <f t="shared" si="52"/>
        <v>136.37400000000002</v>
      </c>
      <c r="T387" s="6">
        <f t="shared" si="53"/>
        <v>0.51824856352415416</v>
      </c>
    </row>
    <row r="388" spans="1:20" x14ac:dyDescent="0.3">
      <c r="A388" s="2">
        <v>1492</v>
      </c>
      <c r="B388" s="3">
        <v>46164</v>
      </c>
      <c r="C388" s="2">
        <f t="shared" si="48"/>
        <v>2026</v>
      </c>
      <c r="D388" s="2">
        <f t="shared" si="54"/>
        <v>2</v>
      </c>
      <c r="E388" s="2">
        <f t="shared" si="49"/>
        <v>5</v>
      </c>
      <c r="F388" s="2" t="str">
        <f t="shared" si="55"/>
        <v>May</v>
      </c>
      <c r="G388" s="2" t="s">
        <v>41</v>
      </c>
      <c r="H388" s="2" t="s">
        <v>53</v>
      </c>
      <c r="I388" s="2" t="s">
        <v>23</v>
      </c>
      <c r="J388" s="2" t="s">
        <v>19</v>
      </c>
      <c r="K388" s="2" t="s">
        <v>28</v>
      </c>
      <c r="L388" s="2" t="s">
        <v>39</v>
      </c>
      <c r="M388" s="2">
        <v>11</v>
      </c>
      <c r="N388" s="4">
        <v>153.38999999999999</v>
      </c>
      <c r="O388" s="5">
        <v>0.05</v>
      </c>
      <c r="P388" s="4">
        <v>78.59</v>
      </c>
      <c r="Q388" s="4">
        <f t="shared" si="50"/>
        <v>1602.9254999999998</v>
      </c>
      <c r="R388" s="4">
        <f t="shared" si="51"/>
        <v>864.49</v>
      </c>
      <c r="S388" s="4">
        <f t="shared" si="52"/>
        <v>738.43549999999982</v>
      </c>
      <c r="T388" s="6">
        <f t="shared" si="53"/>
        <v>0.46067986316269838</v>
      </c>
    </row>
    <row r="389" spans="1:20" x14ac:dyDescent="0.3">
      <c r="A389" s="2">
        <v>1478</v>
      </c>
      <c r="B389" s="3">
        <v>46165</v>
      </c>
      <c r="C389" s="2">
        <f t="shared" si="48"/>
        <v>2026</v>
      </c>
      <c r="D389" s="2">
        <f t="shared" si="54"/>
        <v>2</v>
      </c>
      <c r="E389" s="2">
        <f t="shared" si="49"/>
        <v>5</v>
      </c>
      <c r="F389" s="2" t="str">
        <f t="shared" si="55"/>
        <v>May</v>
      </c>
      <c r="G389" s="2" t="s">
        <v>16</v>
      </c>
      <c r="H389" s="2" t="s">
        <v>17</v>
      </c>
      <c r="I389" s="2" t="s">
        <v>23</v>
      </c>
      <c r="J389" s="2" t="s">
        <v>24</v>
      </c>
      <c r="K389" s="2" t="s">
        <v>28</v>
      </c>
      <c r="L389" s="2" t="s">
        <v>29</v>
      </c>
      <c r="M389" s="2">
        <v>14</v>
      </c>
      <c r="N389" s="4">
        <v>54.75</v>
      </c>
      <c r="O389" s="5">
        <v>0.1</v>
      </c>
      <c r="P389" s="4">
        <v>24.3</v>
      </c>
      <c r="Q389" s="4">
        <f t="shared" si="50"/>
        <v>689.85</v>
      </c>
      <c r="R389" s="4">
        <f t="shared" si="51"/>
        <v>340.2</v>
      </c>
      <c r="S389" s="4">
        <f t="shared" si="52"/>
        <v>349.65000000000003</v>
      </c>
      <c r="T389" s="6">
        <f t="shared" si="53"/>
        <v>0.50684931506849318</v>
      </c>
    </row>
    <row r="390" spans="1:20" x14ac:dyDescent="0.3">
      <c r="A390" s="2">
        <v>1404</v>
      </c>
      <c r="B390" s="3">
        <v>46166</v>
      </c>
      <c r="C390" s="2">
        <f t="shared" si="48"/>
        <v>2026</v>
      </c>
      <c r="D390" s="2">
        <f t="shared" si="54"/>
        <v>2</v>
      </c>
      <c r="E390" s="2">
        <f t="shared" si="49"/>
        <v>5</v>
      </c>
      <c r="F390" s="2" t="str">
        <f t="shared" si="55"/>
        <v>May</v>
      </c>
      <c r="G390" s="2" t="s">
        <v>48</v>
      </c>
      <c r="H390" s="2" t="s">
        <v>61</v>
      </c>
      <c r="I390" s="2" t="s">
        <v>27</v>
      </c>
      <c r="J390" s="2" t="s">
        <v>24</v>
      </c>
      <c r="K390" s="2" t="s">
        <v>36</v>
      </c>
      <c r="L390" s="2" t="s">
        <v>62</v>
      </c>
      <c r="M390" s="2">
        <v>7</v>
      </c>
      <c r="N390" s="4">
        <v>124.97</v>
      </c>
      <c r="O390" s="5">
        <v>0.05</v>
      </c>
      <c r="P390" s="4">
        <v>67.36</v>
      </c>
      <c r="Q390" s="4">
        <f t="shared" si="50"/>
        <v>831.05049999999994</v>
      </c>
      <c r="R390" s="4">
        <f t="shared" si="51"/>
        <v>471.52</v>
      </c>
      <c r="S390" s="4">
        <f t="shared" si="52"/>
        <v>359.53049999999996</v>
      </c>
      <c r="T390" s="6">
        <f t="shared" si="53"/>
        <v>0.43262172395059023</v>
      </c>
    </row>
    <row r="391" spans="1:20" x14ac:dyDescent="0.3">
      <c r="A391" s="2">
        <v>1448</v>
      </c>
      <c r="B391" s="3">
        <v>46166</v>
      </c>
      <c r="C391" s="2">
        <f t="shared" si="48"/>
        <v>2026</v>
      </c>
      <c r="D391" s="2">
        <f t="shared" si="54"/>
        <v>2</v>
      </c>
      <c r="E391" s="2">
        <f t="shared" si="49"/>
        <v>5</v>
      </c>
      <c r="F391" s="2" t="str">
        <f t="shared" si="55"/>
        <v>May</v>
      </c>
      <c r="G391" s="2" t="s">
        <v>41</v>
      </c>
      <c r="H391" s="2" t="s">
        <v>42</v>
      </c>
      <c r="I391" s="2" t="s">
        <v>27</v>
      </c>
      <c r="J391" s="2" t="s">
        <v>38</v>
      </c>
      <c r="K391" s="2" t="s">
        <v>43</v>
      </c>
      <c r="L391" s="2" t="s">
        <v>44</v>
      </c>
      <c r="M391" s="2">
        <v>6</v>
      </c>
      <c r="N391" s="4">
        <v>49.6</v>
      </c>
      <c r="O391" s="5">
        <v>0</v>
      </c>
      <c r="P391" s="4">
        <v>23.05</v>
      </c>
      <c r="Q391" s="4">
        <f t="shared" si="50"/>
        <v>297.60000000000002</v>
      </c>
      <c r="R391" s="4">
        <f t="shared" si="51"/>
        <v>138.30000000000001</v>
      </c>
      <c r="S391" s="4">
        <f t="shared" si="52"/>
        <v>159.30000000000001</v>
      </c>
      <c r="T391" s="6">
        <f t="shared" si="53"/>
        <v>0.53528225806451613</v>
      </c>
    </row>
    <row r="392" spans="1:20" x14ac:dyDescent="0.3">
      <c r="A392" s="2">
        <v>1483</v>
      </c>
      <c r="B392" s="3">
        <v>46166</v>
      </c>
      <c r="C392" s="2">
        <f t="shared" si="48"/>
        <v>2026</v>
      </c>
      <c r="D392" s="2">
        <f t="shared" si="54"/>
        <v>2</v>
      </c>
      <c r="E392" s="2">
        <f t="shared" si="49"/>
        <v>5</v>
      </c>
      <c r="F392" s="2" t="str">
        <f t="shared" si="55"/>
        <v>May</v>
      </c>
      <c r="G392" s="2" t="s">
        <v>41</v>
      </c>
      <c r="H392" s="2" t="s">
        <v>59</v>
      </c>
      <c r="I392" s="2" t="s">
        <v>23</v>
      </c>
      <c r="J392" s="2" t="s">
        <v>38</v>
      </c>
      <c r="K392" s="2" t="s">
        <v>20</v>
      </c>
      <c r="L392" s="2" t="s">
        <v>34</v>
      </c>
      <c r="M392" s="2">
        <v>14</v>
      </c>
      <c r="N392" s="4">
        <v>29.95</v>
      </c>
      <c r="O392" s="5">
        <v>0</v>
      </c>
      <c r="P392" s="4">
        <v>11.5</v>
      </c>
      <c r="Q392" s="4">
        <f t="shared" si="50"/>
        <v>419.3</v>
      </c>
      <c r="R392" s="4">
        <f t="shared" si="51"/>
        <v>161</v>
      </c>
      <c r="S392" s="4">
        <f t="shared" si="52"/>
        <v>258.3</v>
      </c>
      <c r="T392" s="6">
        <f t="shared" si="53"/>
        <v>0.61602671118530883</v>
      </c>
    </row>
    <row r="393" spans="1:20" x14ac:dyDescent="0.3">
      <c r="A393" s="2">
        <v>1170</v>
      </c>
      <c r="B393" s="3">
        <v>46167</v>
      </c>
      <c r="C393" s="2">
        <f t="shared" si="48"/>
        <v>2026</v>
      </c>
      <c r="D393" s="2">
        <f t="shared" si="54"/>
        <v>2</v>
      </c>
      <c r="E393" s="2">
        <f t="shared" si="49"/>
        <v>5</v>
      </c>
      <c r="F393" s="2" t="str">
        <f t="shared" si="55"/>
        <v>May</v>
      </c>
      <c r="G393" s="2" t="s">
        <v>48</v>
      </c>
      <c r="H393" s="2" t="s">
        <v>49</v>
      </c>
      <c r="I393" s="2" t="s">
        <v>33</v>
      </c>
      <c r="J393" s="2" t="s">
        <v>19</v>
      </c>
      <c r="K393" s="2" t="s">
        <v>28</v>
      </c>
      <c r="L393" s="2" t="s">
        <v>29</v>
      </c>
      <c r="M393" s="2">
        <v>2</v>
      </c>
      <c r="N393" s="4">
        <v>54.75</v>
      </c>
      <c r="O393" s="5">
        <v>0.1</v>
      </c>
      <c r="P393" s="4">
        <v>24.3</v>
      </c>
      <c r="Q393" s="4">
        <f t="shared" si="50"/>
        <v>98.55</v>
      </c>
      <c r="R393" s="4">
        <f t="shared" si="51"/>
        <v>48.6</v>
      </c>
      <c r="S393" s="4">
        <f t="shared" si="52"/>
        <v>49.949999999999996</v>
      </c>
      <c r="T393" s="6">
        <f t="shared" si="53"/>
        <v>0.50684931506849307</v>
      </c>
    </row>
    <row r="394" spans="1:20" x14ac:dyDescent="0.3">
      <c r="A394" s="2">
        <v>1262</v>
      </c>
      <c r="B394" s="3">
        <v>46167</v>
      </c>
      <c r="C394" s="2">
        <f t="shared" si="48"/>
        <v>2026</v>
      </c>
      <c r="D394" s="2">
        <f t="shared" si="54"/>
        <v>2</v>
      </c>
      <c r="E394" s="2">
        <f t="shared" si="49"/>
        <v>5</v>
      </c>
      <c r="F394" s="2" t="str">
        <f t="shared" si="55"/>
        <v>May</v>
      </c>
      <c r="G394" s="2" t="s">
        <v>16</v>
      </c>
      <c r="H394" s="2" t="s">
        <v>17</v>
      </c>
      <c r="I394" s="2" t="s">
        <v>23</v>
      </c>
      <c r="J394" s="2" t="s">
        <v>24</v>
      </c>
      <c r="K394" s="2" t="s">
        <v>36</v>
      </c>
      <c r="L394" s="2" t="s">
        <v>62</v>
      </c>
      <c r="M394" s="2">
        <v>10</v>
      </c>
      <c r="N394" s="4">
        <v>124.97</v>
      </c>
      <c r="O394" s="5">
        <v>0.15</v>
      </c>
      <c r="P394" s="4">
        <v>67.36</v>
      </c>
      <c r="Q394" s="4">
        <f t="shared" si="50"/>
        <v>1062.2450000000001</v>
      </c>
      <c r="R394" s="4">
        <f t="shared" si="51"/>
        <v>673.6</v>
      </c>
      <c r="S394" s="4">
        <f t="shared" si="52"/>
        <v>388.6450000000001</v>
      </c>
      <c r="T394" s="6">
        <f t="shared" si="53"/>
        <v>0.36587133853301268</v>
      </c>
    </row>
    <row r="395" spans="1:20" x14ac:dyDescent="0.3">
      <c r="A395" s="2">
        <v>1293</v>
      </c>
      <c r="B395" s="3">
        <v>46167</v>
      </c>
      <c r="C395" s="2">
        <f t="shared" si="48"/>
        <v>2026</v>
      </c>
      <c r="D395" s="2">
        <f t="shared" si="54"/>
        <v>2</v>
      </c>
      <c r="E395" s="2">
        <f t="shared" si="49"/>
        <v>5</v>
      </c>
      <c r="F395" s="2" t="str">
        <f t="shared" si="55"/>
        <v>May</v>
      </c>
      <c r="G395" s="2" t="s">
        <v>41</v>
      </c>
      <c r="H395" s="2" t="s">
        <v>53</v>
      </c>
      <c r="I395" s="2" t="s">
        <v>18</v>
      </c>
      <c r="J395" s="2" t="s">
        <v>24</v>
      </c>
      <c r="K395" s="2" t="s">
        <v>20</v>
      </c>
      <c r="L395" s="2" t="s">
        <v>56</v>
      </c>
      <c r="M395" s="2">
        <v>11</v>
      </c>
      <c r="N395" s="4">
        <v>36.72</v>
      </c>
      <c r="O395" s="5">
        <v>0.2</v>
      </c>
      <c r="P395" s="4">
        <v>13.76</v>
      </c>
      <c r="Q395" s="4">
        <f t="shared" si="50"/>
        <v>323.13599999999997</v>
      </c>
      <c r="R395" s="4">
        <f t="shared" si="51"/>
        <v>151.35999999999999</v>
      </c>
      <c r="S395" s="4">
        <f t="shared" si="52"/>
        <v>171.77599999999998</v>
      </c>
      <c r="T395" s="6">
        <f t="shared" si="53"/>
        <v>0.53159041394335516</v>
      </c>
    </row>
    <row r="396" spans="1:20" x14ac:dyDescent="0.3">
      <c r="A396" s="2">
        <v>1420</v>
      </c>
      <c r="B396" s="3">
        <v>46167</v>
      </c>
      <c r="C396" s="2">
        <f t="shared" si="48"/>
        <v>2026</v>
      </c>
      <c r="D396" s="2">
        <f t="shared" si="54"/>
        <v>2</v>
      </c>
      <c r="E396" s="2">
        <f t="shared" si="49"/>
        <v>5</v>
      </c>
      <c r="F396" s="2" t="str">
        <f t="shared" si="55"/>
        <v>May</v>
      </c>
      <c r="G396" s="2" t="s">
        <v>16</v>
      </c>
      <c r="H396" s="2" t="s">
        <v>17</v>
      </c>
      <c r="I396" s="2" t="s">
        <v>33</v>
      </c>
      <c r="J396" s="2" t="s">
        <v>19</v>
      </c>
      <c r="K396" s="2" t="s">
        <v>43</v>
      </c>
      <c r="L396" s="2" t="s">
        <v>57</v>
      </c>
      <c r="M396" s="2">
        <v>11</v>
      </c>
      <c r="N396" s="4">
        <v>82.06</v>
      </c>
      <c r="O396" s="5">
        <v>0.05</v>
      </c>
      <c r="P396" s="4">
        <v>42.94</v>
      </c>
      <c r="Q396" s="4">
        <f t="shared" si="50"/>
        <v>857.52700000000004</v>
      </c>
      <c r="R396" s="4">
        <f t="shared" si="51"/>
        <v>472.34</v>
      </c>
      <c r="S396" s="4">
        <f t="shared" si="52"/>
        <v>385.18700000000007</v>
      </c>
      <c r="T396" s="6">
        <f t="shared" si="53"/>
        <v>0.44918352425054842</v>
      </c>
    </row>
    <row r="397" spans="1:20" x14ac:dyDescent="0.3">
      <c r="A397" s="2">
        <v>1340</v>
      </c>
      <c r="B397" s="3">
        <v>46168</v>
      </c>
      <c r="C397" s="2">
        <f t="shared" si="48"/>
        <v>2026</v>
      </c>
      <c r="D397" s="2">
        <f t="shared" si="54"/>
        <v>2</v>
      </c>
      <c r="E397" s="2">
        <f t="shared" si="49"/>
        <v>5</v>
      </c>
      <c r="F397" s="2" t="str">
        <f t="shared" si="55"/>
        <v>May</v>
      </c>
      <c r="G397" s="2" t="s">
        <v>48</v>
      </c>
      <c r="H397" s="2" t="s">
        <v>49</v>
      </c>
      <c r="I397" s="2" t="s">
        <v>27</v>
      </c>
      <c r="J397" s="2" t="s">
        <v>38</v>
      </c>
      <c r="K397" s="2" t="s">
        <v>36</v>
      </c>
      <c r="L397" s="2" t="s">
        <v>62</v>
      </c>
      <c r="M397" s="2">
        <v>6</v>
      </c>
      <c r="N397" s="4">
        <v>124.97</v>
      </c>
      <c r="O397" s="5">
        <v>0.2</v>
      </c>
      <c r="P397" s="4">
        <v>67.36</v>
      </c>
      <c r="Q397" s="4">
        <f t="shared" si="50"/>
        <v>599.85599999999999</v>
      </c>
      <c r="R397" s="4">
        <f t="shared" si="51"/>
        <v>404.15999999999997</v>
      </c>
      <c r="S397" s="4">
        <f t="shared" si="52"/>
        <v>195.69600000000003</v>
      </c>
      <c r="T397" s="6">
        <f t="shared" si="53"/>
        <v>0.32623829719132597</v>
      </c>
    </row>
    <row r="398" spans="1:20" x14ac:dyDescent="0.3">
      <c r="A398" s="2">
        <v>1427</v>
      </c>
      <c r="B398" s="3">
        <v>46168</v>
      </c>
      <c r="C398" s="2">
        <f t="shared" si="48"/>
        <v>2026</v>
      </c>
      <c r="D398" s="2">
        <f t="shared" si="54"/>
        <v>2</v>
      </c>
      <c r="E398" s="2">
        <f t="shared" si="49"/>
        <v>5</v>
      </c>
      <c r="F398" s="2" t="str">
        <f t="shared" si="55"/>
        <v>May</v>
      </c>
      <c r="G398" s="2" t="s">
        <v>16</v>
      </c>
      <c r="H398" s="2" t="s">
        <v>17</v>
      </c>
      <c r="I398" s="2" t="s">
        <v>27</v>
      </c>
      <c r="J398" s="2" t="s">
        <v>38</v>
      </c>
      <c r="K398" s="2" t="s">
        <v>36</v>
      </c>
      <c r="L398" s="2" t="s">
        <v>47</v>
      </c>
      <c r="M398" s="2">
        <v>13</v>
      </c>
      <c r="N398" s="4">
        <v>40.6</v>
      </c>
      <c r="O398" s="5">
        <v>0.05</v>
      </c>
      <c r="P398" s="4">
        <v>15.04</v>
      </c>
      <c r="Q398" s="4">
        <f t="shared" si="50"/>
        <v>501.41</v>
      </c>
      <c r="R398" s="4">
        <f t="shared" si="51"/>
        <v>195.51999999999998</v>
      </c>
      <c r="S398" s="4">
        <f t="shared" si="52"/>
        <v>305.89000000000004</v>
      </c>
      <c r="T398" s="6">
        <f t="shared" si="53"/>
        <v>0.61005963183821632</v>
      </c>
    </row>
    <row r="399" spans="1:20" x14ac:dyDescent="0.3">
      <c r="A399" s="2">
        <v>1090</v>
      </c>
      <c r="B399" s="3">
        <v>46169</v>
      </c>
      <c r="C399" s="2">
        <f t="shared" si="48"/>
        <v>2026</v>
      </c>
      <c r="D399" s="2">
        <f t="shared" si="54"/>
        <v>2</v>
      </c>
      <c r="E399" s="2">
        <f t="shared" si="49"/>
        <v>5</v>
      </c>
      <c r="F399" s="2" t="str">
        <f t="shared" si="55"/>
        <v>May</v>
      </c>
      <c r="G399" s="2" t="s">
        <v>48</v>
      </c>
      <c r="H399" s="2" t="s">
        <v>66</v>
      </c>
      <c r="I399" s="2" t="s">
        <v>18</v>
      </c>
      <c r="J399" s="2" t="s">
        <v>38</v>
      </c>
      <c r="K399" s="2" t="s">
        <v>25</v>
      </c>
      <c r="L399" s="2" t="s">
        <v>60</v>
      </c>
      <c r="M399" s="2">
        <v>6</v>
      </c>
      <c r="N399" s="4">
        <v>81.260000000000005</v>
      </c>
      <c r="O399" s="5">
        <v>0</v>
      </c>
      <c r="P399" s="4">
        <v>39.119999999999997</v>
      </c>
      <c r="Q399" s="4">
        <f t="shared" si="50"/>
        <v>487.56000000000006</v>
      </c>
      <c r="R399" s="4">
        <f t="shared" si="51"/>
        <v>234.71999999999997</v>
      </c>
      <c r="S399" s="4">
        <f t="shared" si="52"/>
        <v>252.84000000000009</v>
      </c>
      <c r="T399" s="6">
        <f t="shared" si="53"/>
        <v>0.51858232832882123</v>
      </c>
    </row>
    <row r="400" spans="1:20" x14ac:dyDescent="0.3">
      <c r="A400" s="2">
        <v>1194</v>
      </c>
      <c r="B400" s="3">
        <v>46169</v>
      </c>
      <c r="C400" s="2">
        <f t="shared" si="48"/>
        <v>2026</v>
      </c>
      <c r="D400" s="2">
        <f t="shared" si="54"/>
        <v>2</v>
      </c>
      <c r="E400" s="2">
        <f t="shared" si="49"/>
        <v>5</v>
      </c>
      <c r="F400" s="2" t="str">
        <f t="shared" si="55"/>
        <v>May</v>
      </c>
      <c r="G400" s="2" t="s">
        <v>30</v>
      </c>
      <c r="H400" s="2" t="s">
        <v>45</v>
      </c>
      <c r="I400" s="2" t="s">
        <v>18</v>
      </c>
      <c r="J400" s="2" t="s">
        <v>38</v>
      </c>
      <c r="K400" s="2" t="s">
        <v>43</v>
      </c>
      <c r="L400" s="2" t="s">
        <v>50</v>
      </c>
      <c r="M400" s="2">
        <v>2</v>
      </c>
      <c r="N400" s="4">
        <v>100.12</v>
      </c>
      <c r="O400" s="5">
        <v>0.15</v>
      </c>
      <c r="P400" s="4">
        <v>49.67</v>
      </c>
      <c r="Q400" s="4">
        <f t="shared" si="50"/>
        <v>170.20400000000001</v>
      </c>
      <c r="R400" s="4">
        <f t="shared" si="51"/>
        <v>99.34</v>
      </c>
      <c r="S400" s="4">
        <f t="shared" si="52"/>
        <v>70.864000000000004</v>
      </c>
      <c r="T400" s="6">
        <f t="shared" si="53"/>
        <v>0.41634744189325751</v>
      </c>
    </row>
    <row r="401" spans="1:20" x14ac:dyDescent="0.3">
      <c r="A401" s="2">
        <v>1208</v>
      </c>
      <c r="B401" s="3">
        <v>46169</v>
      </c>
      <c r="C401" s="2">
        <f t="shared" si="48"/>
        <v>2026</v>
      </c>
      <c r="D401" s="2">
        <f t="shared" si="54"/>
        <v>2</v>
      </c>
      <c r="E401" s="2">
        <f t="shared" si="49"/>
        <v>5</v>
      </c>
      <c r="F401" s="2" t="str">
        <f t="shared" si="55"/>
        <v>May</v>
      </c>
      <c r="G401" s="2" t="s">
        <v>41</v>
      </c>
      <c r="H401" s="2" t="s">
        <v>42</v>
      </c>
      <c r="I401" s="2" t="s">
        <v>23</v>
      </c>
      <c r="J401" s="2" t="s">
        <v>24</v>
      </c>
      <c r="K401" s="2" t="s">
        <v>25</v>
      </c>
      <c r="L401" s="2" t="s">
        <v>55</v>
      </c>
      <c r="M401" s="2">
        <v>11</v>
      </c>
      <c r="N401" s="4">
        <v>194.35</v>
      </c>
      <c r="O401" s="5">
        <v>0.05</v>
      </c>
      <c r="P401" s="4">
        <v>104.22</v>
      </c>
      <c r="Q401" s="4">
        <f t="shared" si="50"/>
        <v>2030.9574999999998</v>
      </c>
      <c r="R401" s="4">
        <f t="shared" si="51"/>
        <v>1146.42</v>
      </c>
      <c r="S401" s="4">
        <f t="shared" si="52"/>
        <v>884.53749999999968</v>
      </c>
      <c r="T401" s="6">
        <f t="shared" si="53"/>
        <v>0.43552733132032539</v>
      </c>
    </row>
    <row r="402" spans="1:20" x14ac:dyDescent="0.3">
      <c r="A402" s="2">
        <v>1341</v>
      </c>
      <c r="B402" s="3">
        <v>46169</v>
      </c>
      <c r="C402" s="2">
        <f t="shared" si="48"/>
        <v>2026</v>
      </c>
      <c r="D402" s="2">
        <f t="shared" si="54"/>
        <v>2</v>
      </c>
      <c r="E402" s="2">
        <f t="shared" si="49"/>
        <v>5</v>
      </c>
      <c r="F402" s="2" t="str">
        <f t="shared" si="55"/>
        <v>May</v>
      </c>
      <c r="G402" s="2" t="s">
        <v>48</v>
      </c>
      <c r="H402" s="2" t="s">
        <v>63</v>
      </c>
      <c r="I402" s="2" t="s">
        <v>27</v>
      </c>
      <c r="J402" s="2" t="s">
        <v>19</v>
      </c>
      <c r="K402" s="2" t="s">
        <v>28</v>
      </c>
      <c r="L402" s="2" t="s">
        <v>29</v>
      </c>
      <c r="M402" s="2">
        <v>15</v>
      </c>
      <c r="N402" s="4">
        <v>54.75</v>
      </c>
      <c r="O402" s="5">
        <v>0</v>
      </c>
      <c r="P402" s="4">
        <v>24.3</v>
      </c>
      <c r="Q402" s="4">
        <f t="shared" si="50"/>
        <v>821.25</v>
      </c>
      <c r="R402" s="4">
        <f t="shared" si="51"/>
        <v>364.5</v>
      </c>
      <c r="S402" s="4">
        <f t="shared" si="52"/>
        <v>456.75</v>
      </c>
      <c r="T402" s="6">
        <f t="shared" si="53"/>
        <v>0.55616438356164388</v>
      </c>
    </row>
    <row r="403" spans="1:20" x14ac:dyDescent="0.3">
      <c r="A403" s="2">
        <v>1423</v>
      </c>
      <c r="B403" s="3">
        <v>46169</v>
      </c>
      <c r="C403" s="2">
        <f t="shared" si="48"/>
        <v>2026</v>
      </c>
      <c r="D403" s="2">
        <f t="shared" si="54"/>
        <v>2</v>
      </c>
      <c r="E403" s="2">
        <f t="shared" si="49"/>
        <v>5</v>
      </c>
      <c r="F403" s="2" t="str">
        <f t="shared" si="55"/>
        <v>May</v>
      </c>
      <c r="G403" s="2" t="s">
        <v>41</v>
      </c>
      <c r="H403" s="2" t="s">
        <v>51</v>
      </c>
      <c r="I403" s="2" t="s">
        <v>23</v>
      </c>
      <c r="J403" s="2" t="s">
        <v>24</v>
      </c>
      <c r="K403" s="2" t="s">
        <v>25</v>
      </c>
      <c r="L403" s="2" t="s">
        <v>54</v>
      </c>
      <c r="M403" s="2">
        <v>3</v>
      </c>
      <c r="N403" s="4">
        <v>41.22</v>
      </c>
      <c r="O403" s="5">
        <v>0</v>
      </c>
      <c r="P403" s="4">
        <v>16.64</v>
      </c>
      <c r="Q403" s="4">
        <f t="shared" si="50"/>
        <v>123.66</v>
      </c>
      <c r="R403" s="4">
        <f t="shared" si="51"/>
        <v>49.92</v>
      </c>
      <c r="S403" s="4">
        <f t="shared" si="52"/>
        <v>73.739999999999995</v>
      </c>
      <c r="T403" s="6">
        <f t="shared" si="53"/>
        <v>0.59631246967491502</v>
      </c>
    </row>
    <row r="404" spans="1:20" x14ac:dyDescent="0.3">
      <c r="A404" s="2">
        <v>1446</v>
      </c>
      <c r="B404" s="3">
        <v>46169</v>
      </c>
      <c r="C404" s="2">
        <f t="shared" si="48"/>
        <v>2026</v>
      </c>
      <c r="D404" s="2">
        <f t="shared" si="54"/>
        <v>2</v>
      </c>
      <c r="E404" s="2">
        <f t="shared" si="49"/>
        <v>5</v>
      </c>
      <c r="F404" s="2" t="str">
        <f t="shared" si="55"/>
        <v>May</v>
      </c>
      <c r="G404" s="2" t="s">
        <v>41</v>
      </c>
      <c r="H404" s="2" t="s">
        <v>42</v>
      </c>
      <c r="I404" s="2" t="s">
        <v>27</v>
      </c>
      <c r="J404" s="2" t="s">
        <v>19</v>
      </c>
      <c r="K404" s="2" t="s">
        <v>28</v>
      </c>
      <c r="L404" s="2" t="s">
        <v>29</v>
      </c>
      <c r="M404" s="2">
        <v>15</v>
      </c>
      <c r="N404" s="4">
        <v>54.75</v>
      </c>
      <c r="O404" s="5">
        <v>0.2</v>
      </c>
      <c r="P404" s="4">
        <v>24.3</v>
      </c>
      <c r="Q404" s="4">
        <f t="shared" si="50"/>
        <v>657</v>
      </c>
      <c r="R404" s="4">
        <f t="shared" si="51"/>
        <v>364.5</v>
      </c>
      <c r="S404" s="4">
        <f t="shared" si="52"/>
        <v>292.5</v>
      </c>
      <c r="T404" s="6">
        <f t="shared" si="53"/>
        <v>0.4452054794520548</v>
      </c>
    </row>
    <row r="405" spans="1:20" x14ac:dyDescent="0.3">
      <c r="A405" s="2">
        <v>1051</v>
      </c>
      <c r="B405" s="3">
        <v>46170</v>
      </c>
      <c r="C405" s="2">
        <f t="shared" si="48"/>
        <v>2026</v>
      </c>
      <c r="D405" s="2">
        <f t="shared" si="54"/>
        <v>2</v>
      </c>
      <c r="E405" s="2">
        <f t="shared" si="49"/>
        <v>5</v>
      </c>
      <c r="F405" s="2" t="str">
        <f t="shared" si="55"/>
        <v>May</v>
      </c>
      <c r="G405" s="2" t="s">
        <v>41</v>
      </c>
      <c r="H405" s="2" t="s">
        <v>42</v>
      </c>
      <c r="I405" s="2" t="s">
        <v>23</v>
      </c>
      <c r="J405" s="2" t="s">
        <v>38</v>
      </c>
      <c r="K405" s="2" t="s">
        <v>43</v>
      </c>
      <c r="L405" s="2" t="s">
        <v>65</v>
      </c>
      <c r="M405" s="2">
        <v>1</v>
      </c>
      <c r="N405" s="4">
        <v>28.5</v>
      </c>
      <c r="O405" s="5">
        <v>0.15</v>
      </c>
      <c r="P405" s="4">
        <v>12.8</v>
      </c>
      <c r="Q405" s="4">
        <f t="shared" si="50"/>
        <v>24.224999999999998</v>
      </c>
      <c r="R405" s="4">
        <f t="shared" si="51"/>
        <v>12.8</v>
      </c>
      <c r="S405" s="4">
        <f t="shared" si="52"/>
        <v>11.424999999999997</v>
      </c>
      <c r="T405" s="6">
        <f t="shared" si="53"/>
        <v>0.47162022703818363</v>
      </c>
    </row>
    <row r="406" spans="1:20" x14ac:dyDescent="0.3">
      <c r="A406" s="2">
        <v>1274</v>
      </c>
      <c r="B406" s="3">
        <v>46170</v>
      </c>
      <c r="C406" s="2">
        <f t="shared" si="48"/>
        <v>2026</v>
      </c>
      <c r="D406" s="2">
        <f t="shared" si="54"/>
        <v>2</v>
      </c>
      <c r="E406" s="2">
        <f t="shared" si="49"/>
        <v>5</v>
      </c>
      <c r="F406" s="2" t="str">
        <f t="shared" si="55"/>
        <v>May</v>
      </c>
      <c r="G406" s="2" t="s">
        <v>48</v>
      </c>
      <c r="H406" s="2" t="s">
        <v>49</v>
      </c>
      <c r="I406" s="2" t="s">
        <v>23</v>
      </c>
      <c r="J406" s="2" t="s">
        <v>38</v>
      </c>
      <c r="K406" s="2" t="s">
        <v>28</v>
      </c>
      <c r="L406" s="2" t="s">
        <v>39</v>
      </c>
      <c r="M406" s="2">
        <v>15</v>
      </c>
      <c r="N406" s="4">
        <v>153.38999999999999</v>
      </c>
      <c r="O406" s="5">
        <v>0</v>
      </c>
      <c r="P406" s="4">
        <v>78.59</v>
      </c>
      <c r="Q406" s="4">
        <f t="shared" si="50"/>
        <v>2300.85</v>
      </c>
      <c r="R406" s="4">
        <f t="shared" si="51"/>
        <v>1178.8500000000001</v>
      </c>
      <c r="S406" s="4">
        <f t="shared" si="52"/>
        <v>1121.9999999999998</v>
      </c>
      <c r="T406" s="6">
        <f t="shared" si="53"/>
        <v>0.48764587000456344</v>
      </c>
    </row>
    <row r="407" spans="1:20" x14ac:dyDescent="0.3">
      <c r="A407" s="2">
        <v>1368</v>
      </c>
      <c r="B407" s="3">
        <v>46170</v>
      </c>
      <c r="C407" s="2">
        <f t="shared" si="48"/>
        <v>2026</v>
      </c>
      <c r="D407" s="2">
        <f t="shared" si="54"/>
        <v>2</v>
      </c>
      <c r="E407" s="2">
        <f t="shared" si="49"/>
        <v>5</v>
      </c>
      <c r="F407" s="2" t="str">
        <f t="shared" si="55"/>
        <v>May</v>
      </c>
      <c r="G407" s="2" t="s">
        <v>16</v>
      </c>
      <c r="H407" s="2" t="s">
        <v>32</v>
      </c>
      <c r="I407" s="2" t="s">
        <v>23</v>
      </c>
      <c r="J407" s="2" t="s">
        <v>38</v>
      </c>
      <c r="K407" s="2" t="s">
        <v>25</v>
      </c>
      <c r="L407" s="2" t="s">
        <v>55</v>
      </c>
      <c r="M407" s="2">
        <v>1</v>
      </c>
      <c r="N407" s="4">
        <v>194.35</v>
      </c>
      <c r="O407" s="5">
        <v>0.1</v>
      </c>
      <c r="P407" s="4">
        <v>104.22</v>
      </c>
      <c r="Q407" s="4">
        <f t="shared" si="50"/>
        <v>174.91499999999999</v>
      </c>
      <c r="R407" s="4">
        <f t="shared" si="51"/>
        <v>104.22</v>
      </c>
      <c r="S407" s="4">
        <f t="shared" si="52"/>
        <v>70.694999999999993</v>
      </c>
      <c r="T407" s="6">
        <f t="shared" si="53"/>
        <v>0.40416773861589911</v>
      </c>
    </row>
    <row r="408" spans="1:20" x14ac:dyDescent="0.3">
      <c r="A408" s="2">
        <v>1397</v>
      </c>
      <c r="B408" s="3">
        <v>46170</v>
      </c>
      <c r="C408" s="2">
        <f t="shared" si="48"/>
        <v>2026</v>
      </c>
      <c r="D408" s="2">
        <f t="shared" si="54"/>
        <v>2</v>
      </c>
      <c r="E408" s="2">
        <f t="shared" si="49"/>
        <v>5</v>
      </c>
      <c r="F408" s="2" t="str">
        <f t="shared" si="55"/>
        <v>May</v>
      </c>
      <c r="G408" s="2" t="s">
        <v>30</v>
      </c>
      <c r="H408" s="2" t="s">
        <v>31</v>
      </c>
      <c r="I408" s="2" t="s">
        <v>27</v>
      </c>
      <c r="J408" s="2" t="s">
        <v>19</v>
      </c>
      <c r="K408" s="2" t="s">
        <v>28</v>
      </c>
      <c r="L408" s="2" t="s">
        <v>40</v>
      </c>
      <c r="M408" s="2">
        <v>4</v>
      </c>
      <c r="N408" s="4">
        <v>143.66999999999999</v>
      </c>
      <c r="O408" s="5">
        <v>0.15</v>
      </c>
      <c r="P408" s="4">
        <v>81.22</v>
      </c>
      <c r="Q408" s="4">
        <f t="shared" si="50"/>
        <v>488.47799999999995</v>
      </c>
      <c r="R408" s="4">
        <f t="shared" si="51"/>
        <v>324.88</v>
      </c>
      <c r="S408" s="4">
        <f t="shared" si="52"/>
        <v>163.59799999999996</v>
      </c>
      <c r="T408" s="6">
        <f t="shared" si="53"/>
        <v>0.33491375251290739</v>
      </c>
    </row>
    <row r="409" spans="1:20" x14ac:dyDescent="0.3">
      <c r="A409" s="2">
        <v>1173</v>
      </c>
      <c r="B409" s="3">
        <v>46171</v>
      </c>
      <c r="C409" s="2">
        <f t="shared" si="48"/>
        <v>2026</v>
      </c>
      <c r="D409" s="2">
        <f t="shared" si="54"/>
        <v>2</v>
      </c>
      <c r="E409" s="2">
        <f t="shared" si="49"/>
        <v>5</v>
      </c>
      <c r="F409" s="2" t="str">
        <f t="shared" si="55"/>
        <v>May</v>
      </c>
      <c r="G409" s="2" t="s">
        <v>16</v>
      </c>
      <c r="H409" s="2" t="s">
        <v>32</v>
      </c>
      <c r="I409" s="2" t="s">
        <v>33</v>
      </c>
      <c r="J409" s="2" t="s">
        <v>19</v>
      </c>
      <c r="K409" s="2" t="s">
        <v>36</v>
      </c>
      <c r="L409" s="2" t="s">
        <v>62</v>
      </c>
      <c r="M409" s="2">
        <v>6</v>
      </c>
      <c r="N409" s="4">
        <v>124.97</v>
      </c>
      <c r="O409" s="5">
        <v>0.15</v>
      </c>
      <c r="P409" s="4">
        <v>67.36</v>
      </c>
      <c r="Q409" s="4">
        <f t="shared" si="50"/>
        <v>637.34699999999998</v>
      </c>
      <c r="R409" s="4">
        <f t="shared" si="51"/>
        <v>404.15999999999997</v>
      </c>
      <c r="S409" s="4">
        <f t="shared" si="52"/>
        <v>233.18700000000001</v>
      </c>
      <c r="T409" s="6">
        <f t="shared" si="53"/>
        <v>0.36587133853301268</v>
      </c>
    </row>
    <row r="410" spans="1:20" x14ac:dyDescent="0.3">
      <c r="A410" s="2">
        <v>1220</v>
      </c>
      <c r="B410" s="3">
        <v>46171</v>
      </c>
      <c r="C410" s="2">
        <f t="shared" si="48"/>
        <v>2026</v>
      </c>
      <c r="D410" s="2">
        <f t="shared" si="54"/>
        <v>2</v>
      </c>
      <c r="E410" s="2">
        <f t="shared" si="49"/>
        <v>5</v>
      </c>
      <c r="F410" s="2" t="str">
        <f t="shared" si="55"/>
        <v>May</v>
      </c>
      <c r="G410" s="2" t="s">
        <v>41</v>
      </c>
      <c r="H410" s="2" t="s">
        <v>53</v>
      </c>
      <c r="I410" s="2" t="s">
        <v>18</v>
      </c>
      <c r="J410" s="2" t="s">
        <v>24</v>
      </c>
      <c r="K410" s="2" t="s">
        <v>36</v>
      </c>
      <c r="L410" s="2" t="s">
        <v>37</v>
      </c>
      <c r="M410" s="2">
        <v>14</v>
      </c>
      <c r="N410" s="4">
        <v>35.78</v>
      </c>
      <c r="O410" s="5">
        <v>0.15</v>
      </c>
      <c r="P410" s="4">
        <v>13.84</v>
      </c>
      <c r="Q410" s="4">
        <f t="shared" si="50"/>
        <v>425.78199999999998</v>
      </c>
      <c r="R410" s="4">
        <f t="shared" si="51"/>
        <v>193.76</v>
      </c>
      <c r="S410" s="4">
        <f t="shared" si="52"/>
        <v>232.02199999999999</v>
      </c>
      <c r="T410" s="6">
        <f t="shared" si="53"/>
        <v>0.5449314437904843</v>
      </c>
    </row>
    <row r="411" spans="1:20" x14ac:dyDescent="0.3">
      <c r="A411" s="2">
        <v>1013</v>
      </c>
      <c r="B411" s="3">
        <v>46172</v>
      </c>
      <c r="C411" s="2">
        <f t="shared" si="48"/>
        <v>2026</v>
      </c>
      <c r="D411" s="2">
        <f t="shared" si="54"/>
        <v>2</v>
      </c>
      <c r="E411" s="2">
        <f t="shared" si="49"/>
        <v>5</v>
      </c>
      <c r="F411" s="2" t="str">
        <f t="shared" si="55"/>
        <v>May</v>
      </c>
      <c r="G411" s="2" t="s">
        <v>30</v>
      </c>
      <c r="H411" s="2" t="s">
        <v>46</v>
      </c>
      <c r="I411" s="2" t="s">
        <v>33</v>
      </c>
      <c r="J411" s="2" t="s">
        <v>24</v>
      </c>
      <c r="K411" s="2" t="s">
        <v>20</v>
      </c>
      <c r="L411" s="2" t="s">
        <v>21</v>
      </c>
      <c r="M411" s="2">
        <v>3</v>
      </c>
      <c r="N411" s="4">
        <v>46.99</v>
      </c>
      <c r="O411" s="5">
        <v>0.15</v>
      </c>
      <c r="P411" s="4">
        <v>18.11</v>
      </c>
      <c r="Q411" s="4">
        <f t="shared" si="50"/>
        <v>119.8245</v>
      </c>
      <c r="R411" s="4">
        <f t="shared" si="51"/>
        <v>54.33</v>
      </c>
      <c r="S411" s="4">
        <f t="shared" si="52"/>
        <v>65.494500000000002</v>
      </c>
      <c r="T411" s="6">
        <f t="shared" si="53"/>
        <v>0.5465868833168509</v>
      </c>
    </row>
    <row r="412" spans="1:20" x14ac:dyDescent="0.3">
      <c r="A412" s="2">
        <v>1032</v>
      </c>
      <c r="B412" s="3">
        <v>46172</v>
      </c>
      <c r="C412" s="2">
        <f t="shared" si="48"/>
        <v>2026</v>
      </c>
      <c r="D412" s="2">
        <f t="shared" si="54"/>
        <v>2</v>
      </c>
      <c r="E412" s="2">
        <f t="shared" si="49"/>
        <v>5</v>
      </c>
      <c r="F412" s="2" t="str">
        <f t="shared" si="55"/>
        <v>May</v>
      </c>
      <c r="G412" s="2" t="s">
        <v>30</v>
      </c>
      <c r="H412" s="2" t="s">
        <v>45</v>
      </c>
      <c r="I412" s="2" t="s">
        <v>18</v>
      </c>
      <c r="J412" s="2" t="s">
        <v>19</v>
      </c>
      <c r="K412" s="2" t="s">
        <v>43</v>
      </c>
      <c r="L412" s="2" t="s">
        <v>57</v>
      </c>
      <c r="M412" s="2">
        <v>14</v>
      </c>
      <c r="N412" s="4">
        <v>82.06</v>
      </c>
      <c r="O412" s="5">
        <v>0</v>
      </c>
      <c r="P412" s="4">
        <v>42.94</v>
      </c>
      <c r="Q412" s="4">
        <f t="shared" si="50"/>
        <v>1148.8400000000001</v>
      </c>
      <c r="R412" s="4">
        <f t="shared" si="51"/>
        <v>601.16</v>
      </c>
      <c r="S412" s="4">
        <f t="shared" si="52"/>
        <v>547.68000000000018</v>
      </c>
      <c r="T412" s="6">
        <f t="shared" si="53"/>
        <v>0.47672434803802105</v>
      </c>
    </row>
    <row r="413" spans="1:20" x14ac:dyDescent="0.3">
      <c r="A413" s="2">
        <v>1121</v>
      </c>
      <c r="B413" s="3">
        <v>46172</v>
      </c>
      <c r="C413" s="2">
        <f t="shared" si="48"/>
        <v>2026</v>
      </c>
      <c r="D413" s="2">
        <f t="shared" si="54"/>
        <v>2</v>
      </c>
      <c r="E413" s="2">
        <f t="shared" si="49"/>
        <v>5</v>
      </c>
      <c r="F413" s="2" t="str">
        <f t="shared" si="55"/>
        <v>May</v>
      </c>
      <c r="G413" s="2" t="s">
        <v>41</v>
      </c>
      <c r="H413" s="2" t="s">
        <v>53</v>
      </c>
      <c r="I413" s="2" t="s">
        <v>18</v>
      </c>
      <c r="J413" s="2" t="s">
        <v>38</v>
      </c>
      <c r="K413" s="2" t="s">
        <v>25</v>
      </c>
      <c r="L413" s="2" t="s">
        <v>55</v>
      </c>
      <c r="M413" s="2">
        <v>8</v>
      </c>
      <c r="N413" s="4">
        <v>194.35</v>
      </c>
      <c r="O413" s="5">
        <v>0.05</v>
      </c>
      <c r="P413" s="4">
        <v>104.22</v>
      </c>
      <c r="Q413" s="4">
        <f t="shared" si="50"/>
        <v>1477.06</v>
      </c>
      <c r="R413" s="4">
        <f t="shared" si="51"/>
        <v>833.76</v>
      </c>
      <c r="S413" s="4">
        <f t="shared" si="52"/>
        <v>643.29999999999995</v>
      </c>
      <c r="T413" s="6">
        <f t="shared" si="53"/>
        <v>0.43552733132032551</v>
      </c>
    </row>
    <row r="414" spans="1:20" x14ac:dyDescent="0.3">
      <c r="A414" s="2">
        <v>1166</v>
      </c>
      <c r="B414" s="3">
        <v>46173</v>
      </c>
      <c r="C414" s="2">
        <f t="shared" si="48"/>
        <v>2026</v>
      </c>
      <c r="D414" s="2">
        <f t="shared" si="54"/>
        <v>2</v>
      </c>
      <c r="E414" s="2">
        <f t="shared" si="49"/>
        <v>5</v>
      </c>
      <c r="F414" s="2" t="str">
        <f t="shared" si="55"/>
        <v>May</v>
      </c>
      <c r="G414" s="2" t="s">
        <v>30</v>
      </c>
      <c r="H414" s="2" t="s">
        <v>35</v>
      </c>
      <c r="I414" s="2" t="s">
        <v>23</v>
      </c>
      <c r="J414" s="2" t="s">
        <v>38</v>
      </c>
      <c r="K414" s="2" t="s">
        <v>25</v>
      </c>
      <c r="L414" s="2" t="s">
        <v>55</v>
      </c>
      <c r="M414" s="2">
        <v>12</v>
      </c>
      <c r="N414" s="4">
        <v>194.35</v>
      </c>
      <c r="O414" s="5">
        <v>0.05</v>
      </c>
      <c r="P414" s="4">
        <v>104.22</v>
      </c>
      <c r="Q414" s="4">
        <f t="shared" si="50"/>
        <v>2215.5899999999997</v>
      </c>
      <c r="R414" s="4">
        <f t="shared" si="51"/>
        <v>1250.6399999999999</v>
      </c>
      <c r="S414" s="4">
        <f t="shared" si="52"/>
        <v>964.94999999999982</v>
      </c>
      <c r="T414" s="6">
        <f t="shared" si="53"/>
        <v>0.43552733132032551</v>
      </c>
    </row>
    <row r="415" spans="1:20" x14ac:dyDescent="0.3">
      <c r="A415" s="2">
        <v>1339</v>
      </c>
      <c r="B415" s="3">
        <v>46173</v>
      </c>
      <c r="C415" s="2">
        <f t="shared" si="48"/>
        <v>2026</v>
      </c>
      <c r="D415" s="2">
        <f t="shared" si="54"/>
        <v>2</v>
      </c>
      <c r="E415" s="2">
        <f t="shared" si="49"/>
        <v>5</v>
      </c>
      <c r="F415" s="2" t="str">
        <f t="shared" si="55"/>
        <v>May</v>
      </c>
      <c r="G415" s="2" t="s">
        <v>48</v>
      </c>
      <c r="H415" s="2" t="s">
        <v>66</v>
      </c>
      <c r="I415" s="2" t="s">
        <v>23</v>
      </c>
      <c r="J415" s="2" t="s">
        <v>24</v>
      </c>
      <c r="K415" s="2" t="s">
        <v>28</v>
      </c>
      <c r="L415" s="2" t="s">
        <v>40</v>
      </c>
      <c r="M415" s="2">
        <v>13</v>
      </c>
      <c r="N415" s="4">
        <v>143.66999999999999</v>
      </c>
      <c r="O415" s="5">
        <v>0</v>
      </c>
      <c r="P415" s="4">
        <v>81.22</v>
      </c>
      <c r="Q415" s="4">
        <f t="shared" si="50"/>
        <v>1867.7099999999998</v>
      </c>
      <c r="R415" s="4">
        <f t="shared" si="51"/>
        <v>1055.8599999999999</v>
      </c>
      <c r="S415" s="4">
        <f t="shared" si="52"/>
        <v>811.84999999999991</v>
      </c>
      <c r="T415" s="6">
        <f t="shared" si="53"/>
        <v>0.43467668963597134</v>
      </c>
    </row>
    <row r="416" spans="1:20" x14ac:dyDescent="0.3">
      <c r="A416" s="2">
        <v>1356</v>
      </c>
      <c r="B416" s="3">
        <v>46173</v>
      </c>
      <c r="C416" s="2">
        <f t="shared" si="48"/>
        <v>2026</v>
      </c>
      <c r="D416" s="2">
        <f t="shared" si="54"/>
        <v>2</v>
      </c>
      <c r="E416" s="2">
        <f t="shared" si="49"/>
        <v>5</v>
      </c>
      <c r="F416" s="2" t="str">
        <f t="shared" si="55"/>
        <v>May</v>
      </c>
      <c r="G416" s="2" t="s">
        <v>30</v>
      </c>
      <c r="H416" s="2" t="s">
        <v>31</v>
      </c>
      <c r="I416" s="2" t="s">
        <v>23</v>
      </c>
      <c r="J416" s="2" t="s">
        <v>38</v>
      </c>
      <c r="K416" s="2" t="s">
        <v>25</v>
      </c>
      <c r="L416" s="2" t="s">
        <v>55</v>
      </c>
      <c r="M416" s="2">
        <v>13</v>
      </c>
      <c r="N416" s="4">
        <v>194.35</v>
      </c>
      <c r="O416" s="5">
        <v>0</v>
      </c>
      <c r="P416" s="4">
        <v>104.22</v>
      </c>
      <c r="Q416" s="4">
        <f t="shared" si="50"/>
        <v>2526.5499999999997</v>
      </c>
      <c r="R416" s="4">
        <f t="shared" si="51"/>
        <v>1354.86</v>
      </c>
      <c r="S416" s="4">
        <f t="shared" si="52"/>
        <v>1171.6899999999998</v>
      </c>
      <c r="T416" s="6">
        <f t="shared" si="53"/>
        <v>0.46375096475430921</v>
      </c>
    </row>
    <row r="417" spans="1:20" x14ac:dyDescent="0.3">
      <c r="A417" s="2">
        <v>1361</v>
      </c>
      <c r="B417" s="3">
        <v>46173</v>
      </c>
      <c r="C417" s="2">
        <f t="shared" si="48"/>
        <v>2026</v>
      </c>
      <c r="D417" s="2">
        <f t="shared" si="54"/>
        <v>2</v>
      </c>
      <c r="E417" s="2">
        <f t="shared" si="49"/>
        <v>5</v>
      </c>
      <c r="F417" s="2" t="str">
        <f t="shared" si="55"/>
        <v>May</v>
      </c>
      <c r="G417" s="2" t="s">
        <v>16</v>
      </c>
      <c r="H417" s="2" t="s">
        <v>17</v>
      </c>
      <c r="I417" s="2" t="s">
        <v>33</v>
      </c>
      <c r="J417" s="2" t="s">
        <v>19</v>
      </c>
      <c r="K417" s="2" t="s">
        <v>20</v>
      </c>
      <c r="L417" s="2" t="s">
        <v>21</v>
      </c>
      <c r="M417" s="2">
        <v>1</v>
      </c>
      <c r="N417" s="4">
        <v>46.99</v>
      </c>
      <c r="O417" s="5">
        <v>0</v>
      </c>
      <c r="P417" s="4">
        <v>18.11</v>
      </c>
      <c r="Q417" s="4">
        <f t="shared" si="50"/>
        <v>46.99</v>
      </c>
      <c r="R417" s="4">
        <f t="shared" si="51"/>
        <v>18.11</v>
      </c>
      <c r="S417" s="4">
        <f t="shared" si="52"/>
        <v>28.880000000000003</v>
      </c>
      <c r="T417" s="6">
        <f t="shared" si="53"/>
        <v>0.61459885081932331</v>
      </c>
    </row>
    <row r="418" spans="1:20" x14ac:dyDescent="0.3">
      <c r="A418" s="2">
        <v>1364</v>
      </c>
      <c r="B418" s="3">
        <v>46173</v>
      </c>
      <c r="C418" s="2">
        <f t="shared" si="48"/>
        <v>2026</v>
      </c>
      <c r="D418" s="2">
        <f t="shared" si="54"/>
        <v>2</v>
      </c>
      <c r="E418" s="2">
        <f t="shared" si="49"/>
        <v>5</v>
      </c>
      <c r="F418" s="2" t="str">
        <f t="shared" si="55"/>
        <v>May</v>
      </c>
      <c r="G418" s="2" t="s">
        <v>16</v>
      </c>
      <c r="H418" s="2" t="s">
        <v>32</v>
      </c>
      <c r="I418" s="2" t="s">
        <v>18</v>
      </c>
      <c r="J418" s="2" t="s">
        <v>38</v>
      </c>
      <c r="K418" s="2" t="s">
        <v>25</v>
      </c>
      <c r="L418" s="2" t="s">
        <v>54</v>
      </c>
      <c r="M418" s="2">
        <v>1</v>
      </c>
      <c r="N418" s="4">
        <v>41.22</v>
      </c>
      <c r="O418" s="5">
        <v>0</v>
      </c>
      <c r="P418" s="4">
        <v>16.64</v>
      </c>
      <c r="Q418" s="4">
        <f t="shared" si="50"/>
        <v>41.22</v>
      </c>
      <c r="R418" s="4">
        <f t="shared" si="51"/>
        <v>16.64</v>
      </c>
      <c r="S418" s="4">
        <f t="shared" si="52"/>
        <v>24.58</v>
      </c>
      <c r="T418" s="6">
        <f t="shared" si="53"/>
        <v>0.59631246967491502</v>
      </c>
    </row>
    <row r="419" spans="1:20" x14ac:dyDescent="0.3">
      <c r="A419" s="2">
        <v>1388</v>
      </c>
      <c r="B419" s="3">
        <v>46173</v>
      </c>
      <c r="C419" s="2">
        <f t="shared" si="48"/>
        <v>2026</v>
      </c>
      <c r="D419" s="2">
        <f t="shared" si="54"/>
        <v>2</v>
      </c>
      <c r="E419" s="2">
        <f t="shared" si="49"/>
        <v>5</v>
      </c>
      <c r="F419" s="2" t="str">
        <f t="shared" si="55"/>
        <v>May</v>
      </c>
      <c r="G419" s="2" t="s">
        <v>48</v>
      </c>
      <c r="H419" s="2" t="s">
        <v>63</v>
      </c>
      <c r="I419" s="2" t="s">
        <v>33</v>
      </c>
      <c r="J419" s="2" t="s">
        <v>24</v>
      </c>
      <c r="K419" s="2" t="s">
        <v>43</v>
      </c>
      <c r="L419" s="2" t="s">
        <v>57</v>
      </c>
      <c r="M419" s="2">
        <v>4</v>
      </c>
      <c r="N419" s="4">
        <v>82.06</v>
      </c>
      <c r="O419" s="5">
        <v>0.2</v>
      </c>
      <c r="P419" s="4">
        <v>42.94</v>
      </c>
      <c r="Q419" s="4">
        <f t="shared" si="50"/>
        <v>262.59200000000004</v>
      </c>
      <c r="R419" s="4">
        <f t="shared" si="51"/>
        <v>171.76</v>
      </c>
      <c r="S419" s="4">
        <f t="shared" si="52"/>
        <v>90.83200000000005</v>
      </c>
      <c r="T419" s="6">
        <f t="shared" si="53"/>
        <v>0.34590543504752636</v>
      </c>
    </row>
    <row r="420" spans="1:20" x14ac:dyDescent="0.3">
      <c r="A420" s="2">
        <v>1437</v>
      </c>
      <c r="B420" s="3">
        <v>46173</v>
      </c>
      <c r="C420" s="2">
        <f t="shared" si="48"/>
        <v>2026</v>
      </c>
      <c r="D420" s="2">
        <f t="shared" si="54"/>
        <v>2</v>
      </c>
      <c r="E420" s="2">
        <f t="shared" si="49"/>
        <v>5</v>
      </c>
      <c r="F420" s="2" t="str">
        <f t="shared" si="55"/>
        <v>May</v>
      </c>
      <c r="G420" s="2" t="s">
        <v>48</v>
      </c>
      <c r="H420" s="2" t="s">
        <v>49</v>
      </c>
      <c r="I420" s="2" t="s">
        <v>18</v>
      </c>
      <c r="J420" s="2" t="s">
        <v>38</v>
      </c>
      <c r="K420" s="2" t="s">
        <v>28</v>
      </c>
      <c r="L420" s="2" t="s">
        <v>39</v>
      </c>
      <c r="M420" s="2">
        <v>12</v>
      </c>
      <c r="N420" s="4">
        <v>153.38999999999999</v>
      </c>
      <c r="O420" s="5">
        <v>0.2</v>
      </c>
      <c r="P420" s="4">
        <v>78.59</v>
      </c>
      <c r="Q420" s="4">
        <f t="shared" si="50"/>
        <v>1472.5439999999999</v>
      </c>
      <c r="R420" s="4">
        <f t="shared" si="51"/>
        <v>943.08</v>
      </c>
      <c r="S420" s="4">
        <f t="shared" si="52"/>
        <v>529.46399999999983</v>
      </c>
      <c r="T420" s="6">
        <f t="shared" si="53"/>
        <v>0.35955733750570434</v>
      </c>
    </row>
    <row r="421" spans="1:20" x14ac:dyDescent="0.3">
      <c r="A421" s="2">
        <v>1326</v>
      </c>
      <c r="B421" s="3">
        <v>46174</v>
      </c>
      <c r="C421" s="2">
        <f t="shared" si="48"/>
        <v>2026</v>
      </c>
      <c r="D421" s="2">
        <f t="shared" si="54"/>
        <v>2</v>
      </c>
      <c r="E421" s="2">
        <f t="shared" si="49"/>
        <v>6</v>
      </c>
      <c r="F421" s="2" t="str">
        <f t="shared" si="55"/>
        <v>Jun</v>
      </c>
      <c r="G421" s="2" t="s">
        <v>30</v>
      </c>
      <c r="H421" s="2" t="s">
        <v>46</v>
      </c>
      <c r="I421" s="2" t="s">
        <v>18</v>
      </c>
      <c r="J421" s="2" t="s">
        <v>19</v>
      </c>
      <c r="K421" s="2" t="s">
        <v>43</v>
      </c>
      <c r="L421" s="2" t="s">
        <v>44</v>
      </c>
      <c r="M421" s="2">
        <v>4</v>
      </c>
      <c r="N421" s="4">
        <v>49.6</v>
      </c>
      <c r="O421" s="5">
        <v>0.05</v>
      </c>
      <c r="P421" s="4">
        <v>23.05</v>
      </c>
      <c r="Q421" s="4">
        <f t="shared" si="50"/>
        <v>188.48</v>
      </c>
      <c r="R421" s="4">
        <f t="shared" si="51"/>
        <v>92.2</v>
      </c>
      <c r="S421" s="4">
        <f t="shared" si="52"/>
        <v>96.279999999999987</v>
      </c>
      <c r="T421" s="6">
        <f t="shared" si="53"/>
        <v>0.51082342954159587</v>
      </c>
    </row>
    <row r="422" spans="1:20" x14ac:dyDescent="0.3">
      <c r="A422" s="2">
        <v>1015</v>
      </c>
      <c r="B422" s="3">
        <v>46175</v>
      </c>
      <c r="C422" s="2">
        <f t="shared" si="48"/>
        <v>2026</v>
      </c>
      <c r="D422" s="2">
        <f t="shared" si="54"/>
        <v>2</v>
      </c>
      <c r="E422" s="2">
        <f t="shared" si="49"/>
        <v>6</v>
      </c>
      <c r="F422" s="2" t="str">
        <f t="shared" si="55"/>
        <v>Jun</v>
      </c>
      <c r="G422" s="2" t="s">
        <v>30</v>
      </c>
      <c r="H422" s="2" t="s">
        <v>31</v>
      </c>
      <c r="I422" s="2" t="s">
        <v>18</v>
      </c>
      <c r="J422" s="2" t="s">
        <v>19</v>
      </c>
      <c r="K422" s="2" t="s">
        <v>36</v>
      </c>
      <c r="L422" s="2" t="s">
        <v>47</v>
      </c>
      <c r="M422" s="2">
        <v>11</v>
      </c>
      <c r="N422" s="4">
        <v>40.6</v>
      </c>
      <c r="O422" s="5">
        <v>0.2</v>
      </c>
      <c r="P422" s="4">
        <v>15.04</v>
      </c>
      <c r="Q422" s="4">
        <f t="shared" si="50"/>
        <v>357.28000000000003</v>
      </c>
      <c r="R422" s="4">
        <f t="shared" si="51"/>
        <v>165.44</v>
      </c>
      <c r="S422" s="4">
        <f t="shared" si="52"/>
        <v>191.84000000000003</v>
      </c>
      <c r="T422" s="6">
        <f t="shared" si="53"/>
        <v>0.53694581280788178</v>
      </c>
    </row>
    <row r="423" spans="1:20" x14ac:dyDescent="0.3">
      <c r="A423" s="2">
        <v>1146</v>
      </c>
      <c r="B423" s="3">
        <v>46175</v>
      </c>
      <c r="C423" s="2">
        <f t="shared" si="48"/>
        <v>2026</v>
      </c>
      <c r="D423" s="2">
        <f t="shared" si="54"/>
        <v>2</v>
      </c>
      <c r="E423" s="2">
        <f t="shared" si="49"/>
        <v>6</v>
      </c>
      <c r="F423" s="2" t="str">
        <f t="shared" si="55"/>
        <v>Jun</v>
      </c>
      <c r="G423" s="2" t="s">
        <v>48</v>
      </c>
      <c r="H423" s="2" t="s">
        <v>66</v>
      </c>
      <c r="I423" s="2" t="s">
        <v>18</v>
      </c>
      <c r="J423" s="2" t="s">
        <v>19</v>
      </c>
      <c r="K423" s="2" t="s">
        <v>36</v>
      </c>
      <c r="L423" s="2" t="s">
        <v>58</v>
      </c>
      <c r="M423" s="2">
        <v>2</v>
      </c>
      <c r="N423" s="4">
        <v>32.99</v>
      </c>
      <c r="O423" s="5">
        <v>0.2</v>
      </c>
      <c r="P423" s="4">
        <v>12.5</v>
      </c>
      <c r="Q423" s="4">
        <f t="shared" si="50"/>
        <v>52.784000000000006</v>
      </c>
      <c r="R423" s="4">
        <f t="shared" si="51"/>
        <v>25</v>
      </c>
      <c r="S423" s="4">
        <f t="shared" si="52"/>
        <v>27.784000000000006</v>
      </c>
      <c r="T423" s="6">
        <f t="shared" si="53"/>
        <v>0.52637162776598978</v>
      </c>
    </row>
    <row r="424" spans="1:20" x14ac:dyDescent="0.3">
      <c r="A424" s="2">
        <v>1157</v>
      </c>
      <c r="B424" s="3">
        <v>46175</v>
      </c>
      <c r="C424" s="2">
        <f t="shared" si="48"/>
        <v>2026</v>
      </c>
      <c r="D424" s="2">
        <f t="shared" si="54"/>
        <v>2</v>
      </c>
      <c r="E424" s="2">
        <f t="shared" si="49"/>
        <v>6</v>
      </c>
      <c r="F424" s="2" t="str">
        <f t="shared" si="55"/>
        <v>Jun</v>
      </c>
      <c r="G424" s="2" t="s">
        <v>16</v>
      </c>
      <c r="H424" s="2" t="s">
        <v>17</v>
      </c>
      <c r="I424" s="2" t="s">
        <v>18</v>
      </c>
      <c r="J424" s="2" t="s">
        <v>19</v>
      </c>
      <c r="K424" s="2" t="s">
        <v>28</v>
      </c>
      <c r="L424" s="2" t="s">
        <v>40</v>
      </c>
      <c r="M424" s="2">
        <v>13</v>
      </c>
      <c r="N424" s="4">
        <v>143.66999999999999</v>
      </c>
      <c r="O424" s="5">
        <v>0.15</v>
      </c>
      <c r="P424" s="4">
        <v>81.22</v>
      </c>
      <c r="Q424" s="4">
        <f t="shared" si="50"/>
        <v>1587.5534999999998</v>
      </c>
      <c r="R424" s="4">
        <f t="shared" si="51"/>
        <v>1055.8599999999999</v>
      </c>
      <c r="S424" s="4">
        <f t="shared" si="52"/>
        <v>531.69349999999986</v>
      </c>
      <c r="T424" s="6">
        <f t="shared" si="53"/>
        <v>0.33491375251290739</v>
      </c>
    </row>
    <row r="425" spans="1:20" x14ac:dyDescent="0.3">
      <c r="A425" s="2">
        <v>1230</v>
      </c>
      <c r="B425" s="3">
        <v>46175</v>
      </c>
      <c r="C425" s="2">
        <f t="shared" si="48"/>
        <v>2026</v>
      </c>
      <c r="D425" s="2">
        <f t="shared" si="54"/>
        <v>2</v>
      </c>
      <c r="E425" s="2">
        <f t="shared" si="49"/>
        <v>6</v>
      </c>
      <c r="F425" s="2" t="str">
        <f t="shared" si="55"/>
        <v>Jun</v>
      </c>
      <c r="G425" s="2" t="s">
        <v>30</v>
      </c>
      <c r="H425" s="2" t="s">
        <v>31</v>
      </c>
      <c r="I425" s="2" t="s">
        <v>33</v>
      </c>
      <c r="J425" s="2" t="s">
        <v>24</v>
      </c>
      <c r="K425" s="2" t="s">
        <v>36</v>
      </c>
      <c r="L425" s="2" t="s">
        <v>47</v>
      </c>
      <c r="M425" s="2">
        <v>14</v>
      </c>
      <c r="N425" s="4">
        <v>40.6</v>
      </c>
      <c r="O425" s="5">
        <v>0</v>
      </c>
      <c r="P425" s="4">
        <v>15.04</v>
      </c>
      <c r="Q425" s="4">
        <f t="shared" si="50"/>
        <v>568.4</v>
      </c>
      <c r="R425" s="4">
        <f t="shared" si="51"/>
        <v>210.56</v>
      </c>
      <c r="S425" s="4">
        <f t="shared" si="52"/>
        <v>357.84</v>
      </c>
      <c r="T425" s="6">
        <f t="shared" si="53"/>
        <v>0.62955665024630536</v>
      </c>
    </row>
    <row r="426" spans="1:20" x14ac:dyDescent="0.3">
      <c r="A426" s="2">
        <v>1272</v>
      </c>
      <c r="B426" s="3">
        <v>46175</v>
      </c>
      <c r="C426" s="2">
        <f t="shared" si="48"/>
        <v>2026</v>
      </c>
      <c r="D426" s="2">
        <f t="shared" si="54"/>
        <v>2</v>
      </c>
      <c r="E426" s="2">
        <f t="shared" si="49"/>
        <v>6</v>
      </c>
      <c r="F426" s="2" t="str">
        <f t="shared" si="55"/>
        <v>Jun</v>
      </c>
      <c r="G426" s="2" t="s">
        <v>16</v>
      </c>
      <c r="H426" s="2" t="s">
        <v>32</v>
      </c>
      <c r="I426" s="2" t="s">
        <v>18</v>
      </c>
      <c r="J426" s="2" t="s">
        <v>38</v>
      </c>
      <c r="K426" s="2" t="s">
        <v>36</v>
      </c>
      <c r="L426" s="2" t="s">
        <v>47</v>
      </c>
      <c r="M426" s="2">
        <v>4</v>
      </c>
      <c r="N426" s="4">
        <v>40.6</v>
      </c>
      <c r="O426" s="5">
        <v>0.2</v>
      </c>
      <c r="P426" s="4">
        <v>15.04</v>
      </c>
      <c r="Q426" s="4">
        <f t="shared" si="50"/>
        <v>129.92000000000002</v>
      </c>
      <c r="R426" s="4">
        <f t="shared" si="51"/>
        <v>60.16</v>
      </c>
      <c r="S426" s="4">
        <f t="shared" si="52"/>
        <v>69.760000000000019</v>
      </c>
      <c r="T426" s="6">
        <f t="shared" si="53"/>
        <v>0.53694581280788189</v>
      </c>
    </row>
    <row r="427" spans="1:20" x14ac:dyDescent="0.3">
      <c r="A427" s="2">
        <v>1331</v>
      </c>
      <c r="B427" s="3">
        <v>46175</v>
      </c>
      <c r="C427" s="2">
        <f t="shared" si="48"/>
        <v>2026</v>
      </c>
      <c r="D427" s="2">
        <f t="shared" si="54"/>
        <v>2</v>
      </c>
      <c r="E427" s="2">
        <f t="shared" si="49"/>
        <v>6</v>
      </c>
      <c r="F427" s="2" t="str">
        <f t="shared" si="55"/>
        <v>Jun</v>
      </c>
      <c r="G427" s="2" t="s">
        <v>41</v>
      </c>
      <c r="H427" s="2" t="s">
        <v>59</v>
      </c>
      <c r="I427" s="2" t="s">
        <v>23</v>
      </c>
      <c r="J427" s="2" t="s">
        <v>19</v>
      </c>
      <c r="K427" s="2" t="s">
        <v>25</v>
      </c>
      <c r="L427" s="2" t="s">
        <v>54</v>
      </c>
      <c r="M427" s="2">
        <v>8</v>
      </c>
      <c r="N427" s="4">
        <v>41.22</v>
      </c>
      <c r="O427" s="5">
        <v>0.2</v>
      </c>
      <c r="P427" s="4">
        <v>16.64</v>
      </c>
      <c r="Q427" s="4">
        <f t="shared" si="50"/>
        <v>263.80799999999999</v>
      </c>
      <c r="R427" s="4">
        <f t="shared" si="51"/>
        <v>133.12</v>
      </c>
      <c r="S427" s="4">
        <f t="shared" si="52"/>
        <v>130.68799999999999</v>
      </c>
      <c r="T427" s="6">
        <f t="shared" si="53"/>
        <v>0.49539058709364381</v>
      </c>
    </row>
    <row r="428" spans="1:20" x14ac:dyDescent="0.3">
      <c r="A428" s="2">
        <v>1204</v>
      </c>
      <c r="B428" s="3">
        <v>46177</v>
      </c>
      <c r="C428" s="2">
        <f t="shared" si="48"/>
        <v>2026</v>
      </c>
      <c r="D428" s="2">
        <f t="shared" si="54"/>
        <v>2</v>
      </c>
      <c r="E428" s="2">
        <f t="shared" si="49"/>
        <v>6</v>
      </c>
      <c r="F428" s="2" t="str">
        <f t="shared" si="55"/>
        <v>Jun</v>
      </c>
      <c r="G428" s="2" t="s">
        <v>30</v>
      </c>
      <c r="H428" s="2" t="s">
        <v>45</v>
      </c>
      <c r="I428" s="2" t="s">
        <v>27</v>
      </c>
      <c r="J428" s="2" t="s">
        <v>19</v>
      </c>
      <c r="K428" s="2" t="s">
        <v>25</v>
      </c>
      <c r="L428" s="2" t="s">
        <v>55</v>
      </c>
      <c r="M428" s="2">
        <v>8</v>
      </c>
      <c r="N428" s="4">
        <v>194.35</v>
      </c>
      <c r="O428" s="5">
        <v>0</v>
      </c>
      <c r="P428" s="4">
        <v>104.22</v>
      </c>
      <c r="Q428" s="4">
        <f t="shared" si="50"/>
        <v>1554.8</v>
      </c>
      <c r="R428" s="4">
        <f t="shared" si="51"/>
        <v>833.76</v>
      </c>
      <c r="S428" s="4">
        <f t="shared" si="52"/>
        <v>721.04</v>
      </c>
      <c r="T428" s="6">
        <f t="shared" si="53"/>
        <v>0.46375096475430921</v>
      </c>
    </row>
    <row r="429" spans="1:20" x14ac:dyDescent="0.3">
      <c r="A429" s="2">
        <v>1406</v>
      </c>
      <c r="B429" s="3">
        <v>46177</v>
      </c>
      <c r="C429" s="2">
        <f t="shared" si="48"/>
        <v>2026</v>
      </c>
      <c r="D429" s="2">
        <f t="shared" si="54"/>
        <v>2</v>
      </c>
      <c r="E429" s="2">
        <f t="shared" si="49"/>
        <v>6</v>
      </c>
      <c r="F429" s="2" t="str">
        <f t="shared" si="55"/>
        <v>Jun</v>
      </c>
      <c r="G429" s="2" t="s">
        <v>48</v>
      </c>
      <c r="H429" s="2" t="s">
        <v>61</v>
      </c>
      <c r="I429" s="2" t="s">
        <v>23</v>
      </c>
      <c r="J429" s="2" t="s">
        <v>38</v>
      </c>
      <c r="K429" s="2" t="s">
        <v>36</v>
      </c>
      <c r="L429" s="2" t="s">
        <v>47</v>
      </c>
      <c r="M429" s="2">
        <v>15</v>
      </c>
      <c r="N429" s="4">
        <v>40.6</v>
      </c>
      <c r="O429" s="5">
        <v>0.1</v>
      </c>
      <c r="P429" s="4">
        <v>15.04</v>
      </c>
      <c r="Q429" s="4">
        <f t="shared" si="50"/>
        <v>548.1</v>
      </c>
      <c r="R429" s="4">
        <f t="shared" si="51"/>
        <v>225.6</v>
      </c>
      <c r="S429" s="4">
        <f t="shared" si="52"/>
        <v>322.5</v>
      </c>
      <c r="T429" s="6">
        <f t="shared" si="53"/>
        <v>0.58839627805145045</v>
      </c>
    </row>
    <row r="430" spans="1:20" x14ac:dyDescent="0.3">
      <c r="A430" s="2">
        <v>1075</v>
      </c>
      <c r="B430" s="3">
        <v>46178</v>
      </c>
      <c r="C430" s="2">
        <f t="shared" si="48"/>
        <v>2026</v>
      </c>
      <c r="D430" s="2">
        <f t="shared" si="54"/>
        <v>2</v>
      </c>
      <c r="E430" s="2">
        <f t="shared" si="49"/>
        <v>6</v>
      </c>
      <c r="F430" s="2" t="str">
        <f t="shared" si="55"/>
        <v>Jun</v>
      </c>
      <c r="G430" s="2" t="s">
        <v>16</v>
      </c>
      <c r="H430" s="2" t="s">
        <v>17</v>
      </c>
      <c r="I430" s="2" t="s">
        <v>27</v>
      </c>
      <c r="J430" s="2" t="s">
        <v>19</v>
      </c>
      <c r="K430" s="2" t="s">
        <v>20</v>
      </c>
      <c r="L430" s="2" t="s">
        <v>56</v>
      </c>
      <c r="M430" s="2">
        <v>10</v>
      </c>
      <c r="N430" s="4">
        <v>36.72</v>
      </c>
      <c r="O430" s="5">
        <v>0</v>
      </c>
      <c r="P430" s="4">
        <v>13.76</v>
      </c>
      <c r="Q430" s="4">
        <f t="shared" si="50"/>
        <v>367.2</v>
      </c>
      <c r="R430" s="4">
        <f t="shared" si="51"/>
        <v>137.6</v>
      </c>
      <c r="S430" s="4">
        <f t="shared" si="52"/>
        <v>229.6</v>
      </c>
      <c r="T430" s="6">
        <f t="shared" si="53"/>
        <v>0.62527233115468406</v>
      </c>
    </row>
    <row r="431" spans="1:20" x14ac:dyDescent="0.3">
      <c r="A431" s="2">
        <v>1191</v>
      </c>
      <c r="B431" s="3">
        <v>46178</v>
      </c>
      <c r="C431" s="2">
        <f t="shared" si="48"/>
        <v>2026</v>
      </c>
      <c r="D431" s="2">
        <f t="shared" si="54"/>
        <v>2</v>
      </c>
      <c r="E431" s="2">
        <f t="shared" si="49"/>
        <v>6</v>
      </c>
      <c r="F431" s="2" t="str">
        <f t="shared" si="55"/>
        <v>Jun</v>
      </c>
      <c r="G431" s="2" t="s">
        <v>30</v>
      </c>
      <c r="H431" s="2" t="s">
        <v>35</v>
      </c>
      <c r="I431" s="2" t="s">
        <v>18</v>
      </c>
      <c r="J431" s="2" t="s">
        <v>24</v>
      </c>
      <c r="K431" s="2" t="s">
        <v>20</v>
      </c>
      <c r="L431" s="2" t="s">
        <v>21</v>
      </c>
      <c r="M431" s="2">
        <v>5</v>
      </c>
      <c r="N431" s="4">
        <v>46.99</v>
      </c>
      <c r="O431" s="5">
        <v>0</v>
      </c>
      <c r="P431" s="4">
        <v>18.11</v>
      </c>
      <c r="Q431" s="4">
        <f t="shared" si="50"/>
        <v>234.95000000000002</v>
      </c>
      <c r="R431" s="4">
        <f t="shared" si="51"/>
        <v>90.55</v>
      </c>
      <c r="S431" s="4">
        <f t="shared" si="52"/>
        <v>144.40000000000003</v>
      </c>
      <c r="T431" s="6">
        <f t="shared" si="53"/>
        <v>0.61459885081932331</v>
      </c>
    </row>
    <row r="432" spans="1:20" x14ac:dyDescent="0.3">
      <c r="A432" s="2">
        <v>1464</v>
      </c>
      <c r="B432" s="3">
        <v>46178</v>
      </c>
      <c r="C432" s="2">
        <f t="shared" si="48"/>
        <v>2026</v>
      </c>
      <c r="D432" s="2">
        <f t="shared" si="54"/>
        <v>2</v>
      </c>
      <c r="E432" s="2">
        <f t="shared" si="49"/>
        <v>6</v>
      </c>
      <c r="F432" s="2" t="str">
        <f t="shared" si="55"/>
        <v>Jun</v>
      </c>
      <c r="G432" s="2" t="s">
        <v>41</v>
      </c>
      <c r="H432" s="2" t="s">
        <v>59</v>
      </c>
      <c r="I432" s="2" t="s">
        <v>18</v>
      </c>
      <c r="J432" s="2" t="s">
        <v>38</v>
      </c>
      <c r="K432" s="2" t="s">
        <v>43</v>
      </c>
      <c r="L432" s="2" t="s">
        <v>57</v>
      </c>
      <c r="M432" s="2">
        <v>5</v>
      </c>
      <c r="N432" s="4">
        <v>82.06</v>
      </c>
      <c r="O432" s="5">
        <v>0</v>
      </c>
      <c r="P432" s="4">
        <v>42.94</v>
      </c>
      <c r="Q432" s="4">
        <f t="shared" si="50"/>
        <v>410.3</v>
      </c>
      <c r="R432" s="4">
        <f t="shared" si="51"/>
        <v>214.7</v>
      </c>
      <c r="S432" s="4">
        <f t="shared" si="52"/>
        <v>195.60000000000002</v>
      </c>
      <c r="T432" s="6">
        <f t="shared" si="53"/>
        <v>0.476724348038021</v>
      </c>
    </row>
    <row r="433" spans="1:20" x14ac:dyDescent="0.3">
      <c r="A433" s="2">
        <v>1058</v>
      </c>
      <c r="B433" s="3">
        <v>46179</v>
      </c>
      <c r="C433" s="2">
        <f t="shared" si="48"/>
        <v>2026</v>
      </c>
      <c r="D433" s="2">
        <f t="shared" si="54"/>
        <v>2</v>
      </c>
      <c r="E433" s="2">
        <f t="shared" si="49"/>
        <v>6</v>
      </c>
      <c r="F433" s="2" t="str">
        <f t="shared" si="55"/>
        <v>Jun</v>
      </c>
      <c r="G433" s="2" t="s">
        <v>16</v>
      </c>
      <c r="H433" s="2" t="s">
        <v>32</v>
      </c>
      <c r="I433" s="2" t="s">
        <v>33</v>
      </c>
      <c r="J433" s="2" t="s">
        <v>38</v>
      </c>
      <c r="K433" s="2" t="s">
        <v>25</v>
      </c>
      <c r="L433" s="2" t="s">
        <v>54</v>
      </c>
      <c r="M433" s="2">
        <v>12</v>
      </c>
      <c r="N433" s="4">
        <v>41.22</v>
      </c>
      <c r="O433" s="5">
        <v>0.2</v>
      </c>
      <c r="P433" s="4">
        <v>16.64</v>
      </c>
      <c r="Q433" s="4">
        <f t="shared" si="50"/>
        <v>395.71199999999999</v>
      </c>
      <c r="R433" s="4">
        <f t="shared" si="51"/>
        <v>199.68</v>
      </c>
      <c r="S433" s="4">
        <f t="shared" si="52"/>
        <v>196.03199999999998</v>
      </c>
      <c r="T433" s="6">
        <f t="shared" si="53"/>
        <v>0.49539058709364381</v>
      </c>
    </row>
    <row r="434" spans="1:20" x14ac:dyDescent="0.3">
      <c r="A434" s="2">
        <v>1183</v>
      </c>
      <c r="B434" s="3">
        <v>46179</v>
      </c>
      <c r="C434" s="2">
        <f t="shared" si="48"/>
        <v>2026</v>
      </c>
      <c r="D434" s="2">
        <f t="shared" si="54"/>
        <v>2</v>
      </c>
      <c r="E434" s="2">
        <f t="shared" si="49"/>
        <v>6</v>
      </c>
      <c r="F434" s="2" t="str">
        <f t="shared" si="55"/>
        <v>Jun</v>
      </c>
      <c r="G434" s="2" t="s">
        <v>48</v>
      </c>
      <c r="H434" s="2" t="s">
        <v>66</v>
      </c>
      <c r="I434" s="2" t="s">
        <v>23</v>
      </c>
      <c r="J434" s="2" t="s">
        <v>38</v>
      </c>
      <c r="K434" s="2" t="s">
        <v>28</v>
      </c>
      <c r="L434" s="2" t="s">
        <v>40</v>
      </c>
      <c r="M434" s="2">
        <v>5</v>
      </c>
      <c r="N434" s="4">
        <v>143.66999999999999</v>
      </c>
      <c r="O434" s="5">
        <v>0.1</v>
      </c>
      <c r="P434" s="4">
        <v>81.22</v>
      </c>
      <c r="Q434" s="4">
        <f t="shared" si="50"/>
        <v>646.51499999999999</v>
      </c>
      <c r="R434" s="4">
        <f t="shared" si="51"/>
        <v>406.1</v>
      </c>
      <c r="S434" s="4">
        <f t="shared" si="52"/>
        <v>240.41499999999996</v>
      </c>
      <c r="T434" s="6">
        <f t="shared" si="53"/>
        <v>0.37186298848441252</v>
      </c>
    </row>
    <row r="435" spans="1:20" x14ac:dyDescent="0.3">
      <c r="A435" s="2">
        <v>1475</v>
      </c>
      <c r="B435" s="3">
        <v>46179</v>
      </c>
      <c r="C435" s="2">
        <f t="shared" si="48"/>
        <v>2026</v>
      </c>
      <c r="D435" s="2">
        <f t="shared" si="54"/>
        <v>2</v>
      </c>
      <c r="E435" s="2">
        <f t="shared" si="49"/>
        <v>6</v>
      </c>
      <c r="F435" s="2" t="str">
        <f t="shared" si="55"/>
        <v>Jun</v>
      </c>
      <c r="G435" s="2" t="s">
        <v>16</v>
      </c>
      <c r="H435" s="2" t="s">
        <v>22</v>
      </c>
      <c r="I435" s="2" t="s">
        <v>18</v>
      </c>
      <c r="J435" s="2" t="s">
        <v>38</v>
      </c>
      <c r="K435" s="2" t="s">
        <v>28</v>
      </c>
      <c r="L435" s="2" t="s">
        <v>29</v>
      </c>
      <c r="M435" s="2">
        <v>15</v>
      </c>
      <c r="N435" s="4">
        <v>54.75</v>
      </c>
      <c r="O435" s="5">
        <v>0.1</v>
      </c>
      <c r="P435" s="4">
        <v>24.3</v>
      </c>
      <c r="Q435" s="4">
        <f t="shared" si="50"/>
        <v>739.125</v>
      </c>
      <c r="R435" s="4">
        <f t="shared" si="51"/>
        <v>364.5</v>
      </c>
      <c r="S435" s="4">
        <f t="shared" si="52"/>
        <v>374.625</v>
      </c>
      <c r="T435" s="6">
        <f t="shared" si="53"/>
        <v>0.50684931506849318</v>
      </c>
    </row>
    <row r="436" spans="1:20" x14ac:dyDescent="0.3">
      <c r="A436" s="2">
        <v>1132</v>
      </c>
      <c r="B436" s="3">
        <v>46181</v>
      </c>
      <c r="C436" s="2">
        <f t="shared" si="48"/>
        <v>2026</v>
      </c>
      <c r="D436" s="2">
        <f t="shared" si="54"/>
        <v>2</v>
      </c>
      <c r="E436" s="2">
        <f t="shared" si="49"/>
        <v>6</v>
      </c>
      <c r="F436" s="2" t="str">
        <f t="shared" si="55"/>
        <v>Jun</v>
      </c>
      <c r="G436" s="2" t="s">
        <v>48</v>
      </c>
      <c r="H436" s="2" t="s">
        <v>61</v>
      </c>
      <c r="I436" s="2" t="s">
        <v>27</v>
      </c>
      <c r="J436" s="2" t="s">
        <v>19</v>
      </c>
      <c r="K436" s="2" t="s">
        <v>43</v>
      </c>
      <c r="L436" s="2" t="s">
        <v>65</v>
      </c>
      <c r="M436" s="2">
        <v>15</v>
      </c>
      <c r="N436" s="4">
        <v>28.5</v>
      </c>
      <c r="O436" s="5">
        <v>0.2</v>
      </c>
      <c r="P436" s="4">
        <v>12.8</v>
      </c>
      <c r="Q436" s="4">
        <f t="shared" si="50"/>
        <v>342</v>
      </c>
      <c r="R436" s="4">
        <f t="shared" si="51"/>
        <v>192</v>
      </c>
      <c r="S436" s="4">
        <f t="shared" si="52"/>
        <v>150</v>
      </c>
      <c r="T436" s="6">
        <f t="shared" si="53"/>
        <v>0.43859649122807015</v>
      </c>
    </row>
    <row r="437" spans="1:20" x14ac:dyDescent="0.3">
      <c r="A437" s="2">
        <v>1165</v>
      </c>
      <c r="B437" s="3">
        <v>46181</v>
      </c>
      <c r="C437" s="2">
        <f t="shared" si="48"/>
        <v>2026</v>
      </c>
      <c r="D437" s="2">
        <f t="shared" si="54"/>
        <v>2</v>
      </c>
      <c r="E437" s="2">
        <f t="shared" si="49"/>
        <v>6</v>
      </c>
      <c r="F437" s="2" t="str">
        <f t="shared" si="55"/>
        <v>Jun</v>
      </c>
      <c r="G437" s="2" t="s">
        <v>30</v>
      </c>
      <c r="H437" s="2" t="s">
        <v>31</v>
      </c>
      <c r="I437" s="2" t="s">
        <v>23</v>
      </c>
      <c r="J437" s="2" t="s">
        <v>38</v>
      </c>
      <c r="K437" s="2" t="s">
        <v>43</v>
      </c>
      <c r="L437" s="2" t="s">
        <v>65</v>
      </c>
      <c r="M437" s="2">
        <v>14</v>
      </c>
      <c r="N437" s="4">
        <v>28.5</v>
      </c>
      <c r="O437" s="5">
        <v>0</v>
      </c>
      <c r="P437" s="4">
        <v>12.8</v>
      </c>
      <c r="Q437" s="4">
        <f t="shared" si="50"/>
        <v>399</v>
      </c>
      <c r="R437" s="4">
        <f t="shared" si="51"/>
        <v>179.20000000000002</v>
      </c>
      <c r="S437" s="4">
        <f t="shared" si="52"/>
        <v>219.79999999999998</v>
      </c>
      <c r="T437" s="6">
        <f t="shared" si="53"/>
        <v>0.55087719298245608</v>
      </c>
    </row>
    <row r="438" spans="1:20" x14ac:dyDescent="0.3">
      <c r="A438" s="2">
        <v>1499</v>
      </c>
      <c r="B438" s="3">
        <v>46181</v>
      </c>
      <c r="C438" s="2">
        <f t="shared" si="48"/>
        <v>2026</v>
      </c>
      <c r="D438" s="2">
        <f t="shared" si="54"/>
        <v>2</v>
      </c>
      <c r="E438" s="2">
        <f t="shared" si="49"/>
        <v>6</v>
      </c>
      <c r="F438" s="2" t="str">
        <f t="shared" si="55"/>
        <v>Jun</v>
      </c>
      <c r="G438" s="2" t="s">
        <v>30</v>
      </c>
      <c r="H438" s="2" t="s">
        <v>45</v>
      </c>
      <c r="I438" s="2" t="s">
        <v>23</v>
      </c>
      <c r="J438" s="2" t="s">
        <v>38</v>
      </c>
      <c r="K438" s="2" t="s">
        <v>20</v>
      </c>
      <c r="L438" s="2" t="s">
        <v>21</v>
      </c>
      <c r="M438" s="2">
        <v>13</v>
      </c>
      <c r="N438" s="4">
        <v>46.99</v>
      </c>
      <c r="O438" s="5">
        <v>0.2</v>
      </c>
      <c r="P438" s="4">
        <v>18.11</v>
      </c>
      <c r="Q438" s="4">
        <f t="shared" si="50"/>
        <v>488.69600000000003</v>
      </c>
      <c r="R438" s="4">
        <f t="shared" si="51"/>
        <v>235.43</v>
      </c>
      <c r="S438" s="4">
        <f t="shared" si="52"/>
        <v>253.26600000000002</v>
      </c>
      <c r="T438" s="6">
        <f t="shared" si="53"/>
        <v>0.51824856352415405</v>
      </c>
    </row>
    <row r="439" spans="1:20" x14ac:dyDescent="0.3">
      <c r="A439" s="2">
        <v>1036</v>
      </c>
      <c r="B439" s="3">
        <v>46182</v>
      </c>
      <c r="C439" s="2">
        <f t="shared" si="48"/>
        <v>2026</v>
      </c>
      <c r="D439" s="2">
        <f t="shared" si="54"/>
        <v>2</v>
      </c>
      <c r="E439" s="2">
        <f t="shared" si="49"/>
        <v>6</v>
      </c>
      <c r="F439" s="2" t="str">
        <f t="shared" si="55"/>
        <v>Jun</v>
      </c>
      <c r="G439" s="2" t="s">
        <v>16</v>
      </c>
      <c r="H439" s="2" t="s">
        <v>17</v>
      </c>
      <c r="I439" s="2" t="s">
        <v>23</v>
      </c>
      <c r="J439" s="2" t="s">
        <v>38</v>
      </c>
      <c r="K439" s="2" t="s">
        <v>36</v>
      </c>
      <c r="L439" s="2" t="s">
        <v>62</v>
      </c>
      <c r="M439" s="2">
        <v>9</v>
      </c>
      <c r="N439" s="4">
        <v>124.97</v>
      </c>
      <c r="O439" s="5">
        <v>0.05</v>
      </c>
      <c r="P439" s="4">
        <v>67.36</v>
      </c>
      <c r="Q439" s="4">
        <f t="shared" si="50"/>
        <v>1068.4935</v>
      </c>
      <c r="R439" s="4">
        <f t="shared" si="51"/>
        <v>606.24</v>
      </c>
      <c r="S439" s="4">
        <f t="shared" si="52"/>
        <v>462.25350000000003</v>
      </c>
      <c r="T439" s="6">
        <f t="shared" si="53"/>
        <v>0.43262172395059029</v>
      </c>
    </row>
    <row r="440" spans="1:20" x14ac:dyDescent="0.3">
      <c r="A440" s="2">
        <v>1461</v>
      </c>
      <c r="B440" s="3">
        <v>46182</v>
      </c>
      <c r="C440" s="2">
        <f t="shared" si="48"/>
        <v>2026</v>
      </c>
      <c r="D440" s="2">
        <f t="shared" si="54"/>
        <v>2</v>
      </c>
      <c r="E440" s="2">
        <f t="shared" si="49"/>
        <v>6</v>
      </c>
      <c r="F440" s="2" t="str">
        <f t="shared" si="55"/>
        <v>Jun</v>
      </c>
      <c r="G440" s="2" t="s">
        <v>16</v>
      </c>
      <c r="H440" s="2" t="s">
        <v>22</v>
      </c>
      <c r="I440" s="2" t="s">
        <v>18</v>
      </c>
      <c r="J440" s="2" t="s">
        <v>19</v>
      </c>
      <c r="K440" s="2" t="s">
        <v>43</v>
      </c>
      <c r="L440" s="2" t="s">
        <v>57</v>
      </c>
      <c r="M440" s="2">
        <v>11</v>
      </c>
      <c r="N440" s="4">
        <v>82.06</v>
      </c>
      <c r="O440" s="5">
        <v>0</v>
      </c>
      <c r="P440" s="4">
        <v>42.94</v>
      </c>
      <c r="Q440" s="4">
        <f t="shared" si="50"/>
        <v>902.66000000000008</v>
      </c>
      <c r="R440" s="4">
        <f t="shared" si="51"/>
        <v>472.34</v>
      </c>
      <c r="S440" s="4">
        <f t="shared" si="52"/>
        <v>430.32000000000011</v>
      </c>
      <c r="T440" s="6">
        <f t="shared" si="53"/>
        <v>0.47672434803802105</v>
      </c>
    </row>
    <row r="441" spans="1:20" x14ac:dyDescent="0.3">
      <c r="A441" s="2">
        <v>1097</v>
      </c>
      <c r="B441" s="3">
        <v>46183</v>
      </c>
      <c r="C441" s="2">
        <f t="shared" si="48"/>
        <v>2026</v>
      </c>
      <c r="D441" s="2">
        <f t="shared" si="54"/>
        <v>2</v>
      </c>
      <c r="E441" s="2">
        <f t="shared" si="49"/>
        <v>6</v>
      </c>
      <c r="F441" s="2" t="str">
        <f t="shared" si="55"/>
        <v>Jun</v>
      </c>
      <c r="G441" s="2" t="s">
        <v>41</v>
      </c>
      <c r="H441" s="2" t="s">
        <v>59</v>
      </c>
      <c r="I441" s="2" t="s">
        <v>27</v>
      </c>
      <c r="J441" s="2" t="s">
        <v>24</v>
      </c>
      <c r="K441" s="2" t="s">
        <v>43</v>
      </c>
      <c r="L441" s="2" t="s">
        <v>44</v>
      </c>
      <c r="M441" s="2">
        <v>11</v>
      </c>
      <c r="N441" s="4">
        <v>49.6</v>
      </c>
      <c r="O441" s="5">
        <v>0</v>
      </c>
      <c r="P441" s="4">
        <v>23.05</v>
      </c>
      <c r="Q441" s="4">
        <f t="shared" si="50"/>
        <v>545.6</v>
      </c>
      <c r="R441" s="4">
        <f t="shared" si="51"/>
        <v>253.55</v>
      </c>
      <c r="S441" s="4">
        <f t="shared" si="52"/>
        <v>292.05</v>
      </c>
      <c r="T441" s="6">
        <f t="shared" si="53"/>
        <v>0.53528225806451613</v>
      </c>
    </row>
    <row r="442" spans="1:20" x14ac:dyDescent="0.3">
      <c r="A442" s="2">
        <v>1118</v>
      </c>
      <c r="B442" s="3">
        <v>46185</v>
      </c>
      <c r="C442" s="2">
        <f t="shared" si="48"/>
        <v>2026</v>
      </c>
      <c r="D442" s="2">
        <f t="shared" si="54"/>
        <v>2</v>
      </c>
      <c r="E442" s="2">
        <f t="shared" si="49"/>
        <v>6</v>
      </c>
      <c r="F442" s="2" t="str">
        <f t="shared" si="55"/>
        <v>Jun</v>
      </c>
      <c r="G442" s="2" t="s">
        <v>16</v>
      </c>
      <c r="H442" s="2" t="s">
        <v>32</v>
      </c>
      <c r="I442" s="2" t="s">
        <v>18</v>
      </c>
      <c r="J442" s="2" t="s">
        <v>38</v>
      </c>
      <c r="K442" s="2" t="s">
        <v>28</v>
      </c>
      <c r="L442" s="2" t="s">
        <v>39</v>
      </c>
      <c r="M442" s="2">
        <v>15</v>
      </c>
      <c r="N442" s="4">
        <v>153.38999999999999</v>
      </c>
      <c r="O442" s="5">
        <v>0</v>
      </c>
      <c r="P442" s="4">
        <v>78.59</v>
      </c>
      <c r="Q442" s="4">
        <f t="shared" si="50"/>
        <v>2300.85</v>
      </c>
      <c r="R442" s="4">
        <f t="shared" si="51"/>
        <v>1178.8500000000001</v>
      </c>
      <c r="S442" s="4">
        <f t="shared" si="52"/>
        <v>1121.9999999999998</v>
      </c>
      <c r="T442" s="6">
        <f t="shared" si="53"/>
        <v>0.48764587000456344</v>
      </c>
    </row>
    <row r="443" spans="1:20" x14ac:dyDescent="0.3">
      <c r="A443" s="2">
        <v>1126</v>
      </c>
      <c r="B443" s="3">
        <v>46185</v>
      </c>
      <c r="C443" s="2">
        <f t="shared" si="48"/>
        <v>2026</v>
      </c>
      <c r="D443" s="2">
        <f t="shared" si="54"/>
        <v>2</v>
      </c>
      <c r="E443" s="2">
        <f t="shared" si="49"/>
        <v>6</v>
      </c>
      <c r="F443" s="2" t="str">
        <f t="shared" si="55"/>
        <v>Jun</v>
      </c>
      <c r="G443" s="2" t="s">
        <v>41</v>
      </c>
      <c r="H443" s="2" t="s">
        <v>42</v>
      </c>
      <c r="I443" s="2" t="s">
        <v>18</v>
      </c>
      <c r="J443" s="2" t="s">
        <v>38</v>
      </c>
      <c r="K443" s="2" t="s">
        <v>28</v>
      </c>
      <c r="L443" s="2" t="s">
        <v>64</v>
      </c>
      <c r="M443" s="2">
        <v>15</v>
      </c>
      <c r="N443" s="4">
        <v>94.18</v>
      </c>
      <c r="O443" s="5">
        <v>0.2</v>
      </c>
      <c r="P443" s="4">
        <v>45.03</v>
      </c>
      <c r="Q443" s="4">
        <f t="shared" si="50"/>
        <v>1130.1600000000001</v>
      </c>
      <c r="R443" s="4">
        <f t="shared" si="51"/>
        <v>675.45</v>
      </c>
      <c r="S443" s="4">
        <f t="shared" si="52"/>
        <v>454.71000000000004</v>
      </c>
      <c r="T443" s="6">
        <f t="shared" si="53"/>
        <v>0.40234126141431303</v>
      </c>
    </row>
    <row r="444" spans="1:20" x14ac:dyDescent="0.3">
      <c r="A444" s="2">
        <v>1315</v>
      </c>
      <c r="B444" s="3">
        <v>46185</v>
      </c>
      <c r="C444" s="2">
        <f t="shared" si="48"/>
        <v>2026</v>
      </c>
      <c r="D444" s="2">
        <f t="shared" si="54"/>
        <v>2</v>
      </c>
      <c r="E444" s="2">
        <f t="shared" si="49"/>
        <v>6</v>
      </c>
      <c r="F444" s="2" t="str">
        <f t="shared" si="55"/>
        <v>Jun</v>
      </c>
      <c r="G444" s="2" t="s">
        <v>48</v>
      </c>
      <c r="H444" s="2" t="s">
        <v>61</v>
      </c>
      <c r="I444" s="2" t="s">
        <v>33</v>
      </c>
      <c r="J444" s="2" t="s">
        <v>24</v>
      </c>
      <c r="K444" s="2" t="s">
        <v>20</v>
      </c>
      <c r="L444" s="2" t="s">
        <v>21</v>
      </c>
      <c r="M444" s="2">
        <v>12</v>
      </c>
      <c r="N444" s="4">
        <v>46.99</v>
      </c>
      <c r="O444" s="5">
        <v>0.1</v>
      </c>
      <c r="P444" s="4">
        <v>18.11</v>
      </c>
      <c r="Q444" s="4">
        <f t="shared" si="50"/>
        <v>507.49200000000002</v>
      </c>
      <c r="R444" s="4">
        <f t="shared" si="51"/>
        <v>217.32</v>
      </c>
      <c r="S444" s="4">
        <f t="shared" si="52"/>
        <v>290.17200000000003</v>
      </c>
      <c r="T444" s="6">
        <f t="shared" si="53"/>
        <v>0.57177650091035925</v>
      </c>
    </row>
    <row r="445" spans="1:20" x14ac:dyDescent="0.3">
      <c r="A445" s="2">
        <v>1450</v>
      </c>
      <c r="B445" s="3">
        <v>46185</v>
      </c>
      <c r="C445" s="2">
        <f t="shared" si="48"/>
        <v>2026</v>
      </c>
      <c r="D445" s="2">
        <f t="shared" si="54"/>
        <v>2</v>
      </c>
      <c r="E445" s="2">
        <f t="shared" si="49"/>
        <v>6</v>
      </c>
      <c r="F445" s="2" t="str">
        <f t="shared" si="55"/>
        <v>Jun</v>
      </c>
      <c r="G445" s="2" t="s">
        <v>16</v>
      </c>
      <c r="H445" s="2" t="s">
        <v>32</v>
      </c>
      <c r="I445" s="2" t="s">
        <v>33</v>
      </c>
      <c r="J445" s="2" t="s">
        <v>19</v>
      </c>
      <c r="K445" s="2" t="s">
        <v>28</v>
      </c>
      <c r="L445" s="2" t="s">
        <v>64</v>
      </c>
      <c r="M445" s="2">
        <v>14</v>
      </c>
      <c r="N445" s="4">
        <v>94.18</v>
      </c>
      <c r="O445" s="5">
        <v>0.2</v>
      </c>
      <c r="P445" s="4">
        <v>45.03</v>
      </c>
      <c r="Q445" s="4">
        <f t="shared" si="50"/>
        <v>1054.816</v>
      </c>
      <c r="R445" s="4">
        <f t="shared" si="51"/>
        <v>630.42000000000007</v>
      </c>
      <c r="S445" s="4">
        <f t="shared" si="52"/>
        <v>424.39599999999996</v>
      </c>
      <c r="T445" s="6">
        <f t="shared" si="53"/>
        <v>0.40234126141431298</v>
      </c>
    </row>
    <row r="446" spans="1:20" x14ac:dyDescent="0.3">
      <c r="A446" s="2">
        <v>1453</v>
      </c>
      <c r="B446" s="3">
        <v>46185</v>
      </c>
      <c r="C446" s="2">
        <f t="shared" si="48"/>
        <v>2026</v>
      </c>
      <c r="D446" s="2">
        <f t="shared" si="54"/>
        <v>2</v>
      </c>
      <c r="E446" s="2">
        <f t="shared" si="49"/>
        <v>6</v>
      </c>
      <c r="F446" s="2" t="str">
        <f t="shared" si="55"/>
        <v>Jun</v>
      </c>
      <c r="G446" s="2" t="s">
        <v>16</v>
      </c>
      <c r="H446" s="2" t="s">
        <v>17</v>
      </c>
      <c r="I446" s="2" t="s">
        <v>23</v>
      </c>
      <c r="J446" s="2" t="s">
        <v>38</v>
      </c>
      <c r="K446" s="2" t="s">
        <v>25</v>
      </c>
      <c r="L446" s="2" t="s">
        <v>55</v>
      </c>
      <c r="M446" s="2">
        <v>4</v>
      </c>
      <c r="N446" s="4">
        <v>194.35</v>
      </c>
      <c r="O446" s="5">
        <v>0</v>
      </c>
      <c r="P446" s="4">
        <v>104.22</v>
      </c>
      <c r="Q446" s="4">
        <f t="shared" si="50"/>
        <v>777.4</v>
      </c>
      <c r="R446" s="4">
        <f t="shared" si="51"/>
        <v>416.88</v>
      </c>
      <c r="S446" s="4">
        <f t="shared" si="52"/>
        <v>360.52</v>
      </c>
      <c r="T446" s="6">
        <f t="shared" si="53"/>
        <v>0.46375096475430921</v>
      </c>
    </row>
    <row r="447" spans="1:20" x14ac:dyDescent="0.3">
      <c r="A447" s="2">
        <v>1001</v>
      </c>
      <c r="B447" s="3">
        <v>46186</v>
      </c>
      <c r="C447" s="2">
        <f t="shared" si="48"/>
        <v>2026</v>
      </c>
      <c r="D447" s="2">
        <f t="shared" si="54"/>
        <v>2</v>
      </c>
      <c r="E447" s="2">
        <f t="shared" si="49"/>
        <v>6</v>
      </c>
      <c r="F447" s="2" t="str">
        <f t="shared" si="55"/>
        <v>Jun</v>
      </c>
      <c r="G447" s="2" t="s">
        <v>16</v>
      </c>
      <c r="H447" s="2" t="s">
        <v>17</v>
      </c>
      <c r="I447" s="2" t="s">
        <v>18</v>
      </c>
      <c r="J447" s="2" t="s">
        <v>19</v>
      </c>
      <c r="K447" s="2" t="s">
        <v>20</v>
      </c>
      <c r="L447" s="2" t="s">
        <v>21</v>
      </c>
      <c r="M447" s="2">
        <v>4</v>
      </c>
      <c r="N447" s="4">
        <v>46.99</v>
      </c>
      <c r="O447" s="5">
        <v>0</v>
      </c>
      <c r="P447" s="4">
        <v>18.11</v>
      </c>
      <c r="Q447" s="4">
        <f t="shared" si="50"/>
        <v>187.96</v>
      </c>
      <c r="R447" s="4">
        <f t="shared" si="51"/>
        <v>72.44</v>
      </c>
      <c r="S447" s="4">
        <f t="shared" si="52"/>
        <v>115.52000000000001</v>
      </c>
      <c r="T447" s="6">
        <f t="shared" si="53"/>
        <v>0.61459885081932331</v>
      </c>
    </row>
    <row r="448" spans="1:20" x14ac:dyDescent="0.3">
      <c r="A448" s="2">
        <v>1010</v>
      </c>
      <c r="B448" s="3">
        <v>46186</v>
      </c>
      <c r="C448" s="2">
        <f t="shared" si="48"/>
        <v>2026</v>
      </c>
      <c r="D448" s="2">
        <f t="shared" si="54"/>
        <v>2</v>
      </c>
      <c r="E448" s="2">
        <f t="shared" si="49"/>
        <v>6</v>
      </c>
      <c r="F448" s="2" t="str">
        <f t="shared" si="55"/>
        <v>Jun</v>
      </c>
      <c r="G448" s="2" t="s">
        <v>41</v>
      </c>
      <c r="H448" s="2" t="s">
        <v>42</v>
      </c>
      <c r="I448" s="2" t="s">
        <v>27</v>
      </c>
      <c r="J448" s="2" t="s">
        <v>38</v>
      </c>
      <c r="K448" s="2" t="s">
        <v>43</v>
      </c>
      <c r="L448" s="2" t="s">
        <v>44</v>
      </c>
      <c r="M448" s="2">
        <v>14</v>
      </c>
      <c r="N448" s="4">
        <v>49.6</v>
      </c>
      <c r="O448" s="5">
        <v>0</v>
      </c>
      <c r="P448" s="4">
        <v>23.05</v>
      </c>
      <c r="Q448" s="4">
        <f t="shared" si="50"/>
        <v>694.4</v>
      </c>
      <c r="R448" s="4">
        <f t="shared" si="51"/>
        <v>322.7</v>
      </c>
      <c r="S448" s="4">
        <f t="shared" si="52"/>
        <v>371.7</v>
      </c>
      <c r="T448" s="6">
        <f t="shared" si="53"/>
        <v>0.53528225806451613</v>
      </c>
    </row>
    <row r="449" spans="1:20" x14ac:dyDescent="0.3">
      <c r="A449" s="2">
        <v>1138</v>
      </c>
      <c r="B449" s="3">
        <v>46186</v>
      </c>
      <c r="C449" s="2">
        <f t="shared" si="48"/>
        <v>2026</v>
      </c>
      <c r="D449" s="2">
        <f t="shared" si="54"/>
        <v>2</v>
      </c>
      <c r="E449" s="2">
        <f t="shared" si="49"/>
        <v>6</v>
      </c>
      <c r="F449" s="2" t="str">
        <f t="shared" si="55"/>
        <v>Jun</v>
      </c>
      <c r="G449" s="2" t="s">
        <v>16</v>
      </c>
      <c r="H449" s="2" t="s">
        <v>17</v>
      </c>
      <c r="I449" s="2" t="s">
        <v>23</v>
      </c>
      <c r="J449" s="2" t="s">
        <v>24</v>
      </c>
      <c r="K449" s="2" t="s">
        <v>20</v>
      </c>
      <c r="L449" s="2" t="s">
        <v>21</v>
      </c>
      <c r="M449" s="2">
        <v>3</v>
      </c>
      <c r="N449" s="4">
        <v>46.99</v>
      </c>
      <c r="O449" s="5">
        <v>0.15</v>
      </c>
      <c r="P449" s="4">
        <v>18.11</v>
      </c>
      <c r="Q449" s="4">
        <f t="shared" si="50"/>
        <v>119.8245</v>
      </c>
      <c r="R449" s="4">
        <f t="shared" si="51"/>
        <v>54.33</v>
      </c>
      <c r="S449" s="4">
        <f t="shared" si="52"/>
        <v>65.494500000000002</v>
      </c>
      <c r="T449" s="6">
        <f t="shared" si="53"/>
        <v>0.5465868833168509</v>
      </c>
    </row>
    <row r="450" spans="1:20" x14ac:dyDescent="0.3">
      <c r="A450" s="2">
        <v>1222</v>
      </c>
      <c r="B450" s="3">
        <v>46186</v>
      </c>
      <c r="C450" s="2">
        <f t="shared" ref="C450:C501" si="56">YEAR(B450)</f>
        <v>2026</v>
      </c>
      <c r="D450" s="2">
        <f t="shared" si="54"/>
        <v>2</v>
      </c>
      <c r="E450" s="2">
        <f t="shared" ref="E450:E501" si="57">MONTH(B450)</f>
        <v>6</v>
      </c>
      <c r="F450" s="2" t="str">
        <f t="shared" si="55"/>
        <v>Jun</v>
      </c>
      <c r="G450" s="2" t="s">
        <v>16</v>
      </c>
      <c r="H450" s="2" t="s">
        <v>32</v>
      </c>
      <c r="I450" s="2" t="s">
        <v>33</v>
      </c>
      <c r="J450" s="2" t="s">
        <v>24</v>
      </c>
      <c r="K450" s="2" t="s">
        <v>36</v>
      </c>
      <c r="L450" s="2" t="s">
        <v>37</v>
      </c>
      <c r="M450" s="2">
        <v>11</v>
      </c>
      <c r="N450" s="4">
        <v>35.78</v>
      </c>
      <c r="O450" s="5">
        <v>0.05</v>
      </c>
      <c r="P450" s="4">
        <v>13.84</v>
      </c>
      <c r="Q450" s="4">
        <f t="shared" ref="Q450:Q501" si="58">M450*N450*(1-O450)</f>
        <v>373.90100000000001</v>
      </c>
      <c r="R450" s="4">
        <f t="shared" ref="R450:R501" si="59">M450*P450</f>
        <v>152.24</v>
      </c>
      <c r="S450" s="4">
        <f t="shared" ref="S450:S501" si="60">Q450-R450</f>
        <v>221.661</v>
      </c>
      <c r="T450" s="6">
        <f t="shared" ref="T450:T501" si="61">IFERROR(S450/Q450,0)</f>
        <v>0.59283339707569649</v>
      </c>
    </row>
    <row r="451" spans="1:20" x14ac:dyDescent="0.3">
      <c r="A451" s="2">
        <v>1012</v>
      </c>
      <c r="B451" s="3">
        <v>46187</v>
      </c>
      <c r="C451" s="2">
        <f t="shared" si="56"/>
        <v>2026</v>
      </c>
      <c r="D451" s="2">
        <f t="shared" ref="D451:D501" si="62">ROUNDUP(MONTH(B451)/3,0)</f>
        <v>2</v>
      </c>
      <c r="E451" s="2">
        <f t="shared" si="57"/>
        <v>6</v>
      </c>
      <c r="F451" s="2" t="str">
        <f t="shared" ref="F451:F501" si="63">TEXT(B451,"MMM")</f>
        <v>Jun</v>
      </c>
      <c r="G451" s="2" t="s">
        <v>30</v>
      </c>
      <c r="H451" s="2" t="s">
        <v>45</v>
      </c>
      <c r="I451" s="2" t="s">
        <v>27</v>
      </c>
      <c r="J451" s="2" t="s">
        <v>19</v>
      </c>
      <c r="K451" s="2" t="s">
        <v>20</v>
      </c>
      <c r="L451" s="2" t="s">
        <v>21</v>
      </c>
      <c r="M451" s="2">
        <v>4</v>
      </c>
      <c r="N451" s="4">
        <v>46.99</v>
      </c>
      <c r="O451" s="5">
        <v>0.2</v>
      </c>
      <c r="P451" s="4">
        <v>18.11</v>
      </c>
      <c r="Q451" s="4">
        <f t="shared" si="58"/>
        <v>150.36800000000002</v>
      </c>
      <c r="R451" s="4">
        <f t="shared" si="59"/>
        <v>72.44</v>
      </c>
      <c r="S451" s="4">
        <f t="shared" si="60"/>
        <v>77.928000000000026</v>
      </c>
      <c r="T451" s="6">
        <f t="shared" si="61"/>
        <v>0.51824856352415416</v>
      </c>
    </row>
    <row r="452" spans="1:20" x14ac:dyDescent="0.3">
      <c r="A452" s="2">
        <v>1070</v>
      </c>
      <c r="B452" s="3">
        <v>46187</v>
      </c>
      <c r="C452" s="2">
        <f t="shared" si="56"/>
        <v>2026</v>
      </c>
      <c r="D452" s="2">
        <f t="shared" si="62"/>
        <v>2</v>
      </c>
      <c r="E452" s="2">
        <f t="shared" si="57"/>
        <v>6</v>
      </c>
      <c r="F452" s="2" t="str">
        <f t="shared" si="63"/>
        <v>Jun</v>
      </c>
      <c r="G452" s="2" t="s">
        <v>30</v>
      </c>
      <c r="H452" s="2" t="s">
        <v>45</v>
      </c>
      <c r="I452" s="2" t="s">
        <v>33</v>
      </c>
      <c r="J452" s="2" t="s">
        <v>38</v>
      </c>
      <c r="K452" s="2" t="s">
        <v>25</v>
      </c>
      <c r="L452" s="2" t="s">
        <v>54</v>
      </c>
      <c r="M452" s="2">
        <v>1</v>
      </c>
      <c r="N452" s="4">
        <v>41.22</v>
      </c>
      <c r="O452" s="5">
        <v>0.05</v>
      </c>
      <c r="P452" s="4">
        <v>16.64</v>
      </c>
      <c r="Q452" s="4">
        <f t="shared" si="58"/>
        <v>39.158999999999999</v>
      </c>
      <c r="R452" s="4">
        <f t="shared" si="59"/>
        <v>16.64</v>
      </c>
      <c r="S452" s="4">
        <f t="shared" si="60"/>
        <v>22.518999999999998</v>
      </c>
      <c r="T452" s="6">
        <f t="shared" si="61"/>
        <v>0.57506575755254219</v>
      </c>
    </row>
    <row r="453" spans="1:20" x14ac:dyDescent="0.3">
      <c r="A453" s="2">
        <v>1253</v>
      </c>
      <c r="B453" s="3">
        <v>46187</v>
      </c>
      <c r="C453" s="2">
        <f t="shared" si="56"/>
        <v>2026</v>
      </c>
      <c r="D453" s="2">
        <f t="shared" si="62"/>
        <v>2</v>
      </c>
      <c r="E453" s="2">
        <f t="shared" si="57"/>
        <v>6</v>
      </c>
      <c r="F453" s="2" t="str">
        <f t="shared" si="63"/>
        <v>Jun</v>
      </c>
      <c r="G453" s="2" t="s">
        <v>30</v>
      </c>
      <c r="H453" s="2" t="s">
        <v>45</v>
      </c>
      <c r="I453" s="2" t="s">
        <v>18</v>
      </c>
      <c r="J453" s="2" t="s">
        <v>38</v>
      </c>
      <c r="K453" s="2" t="s">
        <v>36</v>
      </c>
      <c r="L453" s="2" t="s">
        <v>58</v>
      </c>
      <c r="M453" s="2">
        <v>5</v>
      </c>
      <c r="N453" s="4">
        <v>32.99</v>
      </c>
      <c r="O453" s="5">
        <v>0</v>
      </c>
      <c r="P453" s="4">
        <v>12.5</v>
      </c>
      <c r="Q453" s="4">
        <f t="shared" si="58"/>
        <v>164.95000000000002</v>
      </c>
      <c r="R453" s="4">
        <f t="shared" si="59"/>
        <v>62.5</v>
      </c>
      <c r="S453" s="4">
        <f t="shared" si="60"/>
        <v>102.45000000000002</v>
      </c>
      <c r="T453" s="6">
        <f t="shared" si="61"/>
        <v>0.6210973022127918</v>
      </c>
    </row>
    <row r="454" spans="1:20" x14ac:dyDescent="0.3">
      <c r="A454" s="2">
        <v>1480</v>
      </c>
      <c r="B454" s="3">
        <v>46187</v>
      </c>
      <c r="C454" s="2">
        <f t="shared" si="56"/>
        <v>2026</v>
      </c>
      <c r="D454" s="2">
        <f t="shared" si="62"/>
        <v>2</v>
      </c>
      <c r="E454" s="2">
        <f t="shared" si="57"/>
        <v>6</v>
      </c>
      <c r="F454" s="2" t="str">
        <f t="shared" si="63"/>
        <v>Jun</v>
      </c>
      <c r="G454" s="2" t="s">
        <v>30</v>
      </c>
      <c r="H454" s="2" t="s">
        <v>46</v>
      </c>
      <c r="I454" s="2" t="s">
        <v>33</v>
      </c>
      <c r="J454" s="2" t="s">
        <v>24</v>
      </c>
      <c r="K454" s="2" t="s">
        <v>28</v>
      </c>
      <c r="L454" s="2" t="s">
        <v>64</v>
      </c>
      <c r="M454" s="2">
        <v>8</v>
      </c>
      <c r="N454" s="4">
        <v>94.18</v>
      </c>
      <c r="O454" s="5">
        <v>0.1</v>
      </c>
      <c r="P454" s="4">
        <v>45.03</v>
      </c>
      <c r="Q454" s="4">
        <f t="shared" si="58"/>
        <v>678.09600000000012</v>
      </c>
      <c r="R454" s="4">
        <f t="shared" si="59"/>
        <v>360.24</v>
      </c>
      <c r="S454" s="4">
        <f t="shared" si="60"/>
        <v>317.85600000000011</v>
      </c>
      <c r="T454" s="6">
        <f t="shared" si="61"/>
        <v>0.46874778792383387</v>
      </c>
    </row>
    <row r="455" spans="1:20" x14ac:dyDescent="0.3">
      <c r="A455" s="2">
        <v>1168</v>
      </c>
      <c r="B455" s="3">
        <v>46188</v>
      </c>
      <c r="C455" s="2">
        <f t="shared" si="56"/>
        <v>2026</v>
      </c>
      <c r="D455" s="2">
        <f t="shared" si="62"/>
        <v>2</v>
      </c>
      <c r="E455" s="2">
        <f t="shared" si="57"/>
        <v>6</v>
      </c>
      <c r="F455" s="2" t="str">
        <f t="shared" si="63"/>
        <v>Jun</v>
      </c>
      <c r="G455" s="2" t="s">
        <v>41</v>
      </c>
      <c r="H455" s="2" t="s">
        <v>53</v>
      </c>
      <c r="I455" s="2" t="s">
        <v>23</v>
      </c>
      <c r="J455" s="2" t="s">
        <v>19</v>
      </c>
      <c r="K455" s="2" t="s">
        <v>43</v>
      </c>
      <c r="L455" s="2" t="s">
        <v>44</v>
      </c>
      <c r="M455" s="2">
        <v>5</v>
      </c>
      <c r="N455" s="4">
        <v>49.6</v>
      </c>
      <c r="O455" s="5">
        <v>0</v>
      </c>
      <c r="P455" s="4">
        <v>23.05</v>
      </c>
      <c r="Q455" s="4">
        <f t="shared" si="58"/>
        <v>248</v>
      </c>
      <c r="R455" s="4">
        <f t="shared" si="59"/>
        <v>115.25</v>
      </c>
      <c r="S455" s="4">
        <f t="shared" si="60"/>
        <v>132.75</v>
      </c>
      <c r="T455" s="6">
        <f t="shared" si="61"/>
        <v>0.53528225806451613</v>
      </c>
    </row>
    <row r="456" spans="1:20" x14ac:dyDescent="0.3">
      <c r="A456" s="2">
        <v>1318</v>
      </c>
      <c r="B456" s="3">
        <v>46188</v>
      </c>
      <c r="C456" s="2">
        <f t="shared" si="56"/>
        <v>2026</v>
      </c>
      <c r="D456" s="2">
        <f t="shared" si="62"/>
        <v>2</v>
      </c>
      <c r="E456" s="2">
        <f t="shared" si="57"/>
        <v>6</v>
      </c>
      <c r="F456" s="2" t="str">
        <f t="shared" si="63"/>
        <v>Jun</v>
      </c>
      <c r="G456" s="2" t="s">
        <v>30</v>
      </c>
      <c r="H456" s="2" t="s">
        <v>31</v>
      </c>
      <c r="I456" s="2" t="s">
        <v>27</v>
      </c>
      <c r="J456" s="2" t="s">
        <v>24</v>
      </c>
      <c r="K456" s="2" t="s">
        <v>25</v>
      </c>
      <c r="L456" s="2" t="s">
        <v>26</v>
      </c>
      <c r="M456" s="2">
        <v>1</v>
      </c>
      <c r="N456" s="4">
        <v>347.51</v>
      </c>
      <c r="O456" s="5">
        <v>0</v>
      </c>
      <c r="P456" s="4">
        <v>190.16</v>
      </c>
      <c r="Q456" s="4">
        <f t="shared" si="58"/>
        <v>347.51</v>
      </c>
      <c r="R456" s="4">
        <f t="shared" si="59"/>
        <v>190.16</v>
      </c>
      <c r="S456" s="4">
        <f t="shared" si="60"/>
        <v>157.35</v>
      </c>
      <c r="T456" s="6">
        <f t="shared" si="61"/>
        <v>0.4527927253891974</v>
      </c>
    </row>
    <row r="457" spans="1:20" x14ac:dyDescent="0.3">
      <c r="A457" s="2">
        <v>1357</v>
      </c>
      <c r="B457" s="3">
        <v>46188</v>
      </c>
      <c r="C457" s="2">
        <f t="shared" si="56"/>
        <v>2026</v>
      </c>
      <c r="D457" s="2">
        <f t="shared" si="62"/>
        <v>2</v>
      </c>
      <c r="E457" s="2">
        <f t="shared" si="57"/>
        <v>6</v>
      </c>
      <c r="F457" s="2" t="str">
        <f t="shared" si="63"/>
        <v>Jun</v>
      </c>
      <c r="G457" s="2" t="s">
        <v>16</v>
      </c>
      <c r="H457" s="2" t="s">
        <v>17</v>
      </c>
      <c r="I457" s="2" t="s">
        <v>18</v>
      </c>
      <c r="J457" s="2" t="s">
        <v>19</v>
      </c>
      <c r="K457" s="2" t="s">
        <v>36</v>
      </c>
      <c r="L457" s="2" t="s">
        <v>37</v>
      </c>
      <c r="M457" s="2">
        <v>13</v>
      </c>
      <c r="N457" s="4">
        <v>35.78</v>
      </c>
      <c r="O457" s="5">
        <v>0.2</v>
      </c>
      <c r="P457" s="4">
        <v>13.84</v>
      </c>
      <c r="Q457" s="4">
        <f t="shared" si="58"/>
        <v>372.11200000000002</v>
      </c>
      <c r="R457" s="4">
        <f t="shared" si="59"/>
        <v>179.92</v>
      </c>
      <c r="S457" s="4">
        <f t="shared" si="60"/>
        <v>192.19200000000004</v>
      </c>
      <c r="T457" s="6">
        <f t="shared" si="61"/>
        <v>0.51648965902738964</v>
      </c>
    </row>
    <row r="458" spans="1:20" x14ac:dyDescent="0.3">
      <c r="A458" s="2">
        <v>1147</v>
      </c>
      <c r="B458" s="3">
        <v>46189</v>
      </c>
      <c r="C458" s="2">
        <f t="shared" si="56"/>
        <v>2026</v>
      </c>
      <c r="D458" s="2">
        <f t="shared" si="62"/>
        <v>2</v>
      </c>
      <c r="E458" s="2">
        <f t="shared" si="57"/>
        <v>6</v>
      </c>
      <c r="F458" s="2" t="str">
        <f t="shared" si="63"/>
        <v>Jun</v>
      </c>
      <c r="G458" s="2" t="s">
        <v>41</v>
      </c>
      <c r="H458" s="2" t="s">
        <v>59</v>
      </c>
      <c r="I458" s="2" t="s">
        <v>33</v>
      </c>
      <c r="J458" s="2" t="s">
        <v>38</v>
      </c>
      <c r="K458" s="2" t="s">
        <v>25</v>
      </c>
      <c r="L458" s="2" t="s">
        <v>54</v>
      </c>
      <c r="M458" s="2">
        <v>7</v>
      </c>
      <c r="N458" s="4">
        <v>41.22</v>
      </c>
      <c r="O458" s="5">
        <v>0.05</v>
      </c>
      <c r="P458" s="4">
        <v>16.64</v>
      </c>
      <c r="Q458" s="4">
        <f t="shared" si="58"/>
        <v>274.11299999999994</v>
      </c>
      <c r="R458" s="4">
        <f t="shared" si="59"/>
        <v>116.48</v>
      </c>
      <c r="S458" s="4">
        <f t="shared" si="60"/>
        <v>157.63299999999992</v>
      </c>
      <c r="T458" s="6">
        <f t="shared" si="61"/>
        <v>0.57506575755254208</v>
      </c>
    </row>
    <row r="459" spans="1:20" x14ac:dyDescent="0.3">
      <c r="A459" s="2">
        <v>1189</v>
      </c>
      <c r="B459" s="3">
        <v>46189</v>
      </c>
      <c r="C459" s="2">
        <f t="shared" si="56"/>
        <v>2026</v>
      </c>
      <c r="D459" s="2">
        <f t="shared" si="62"/>
        <v>2</v>
      </c>
      <c r="E459" s="2">
        <f t="shared" si="57"/>
        <v>6</v>
      </c>
      <c r="F459" s="2" t="str">
        <f t="shared" si="63"/>
        <v>Jun</v>
      </c>
      <c r="G459" s="2" t="s">
        <v>48</v>
      </c>
      <c r="H459" s="2" t="s">
        <v>61</v>
      </c>
      <c r="I459" s="2" t="s">
        <v>23</v>
      </c>
      <c r="J459" s="2" t="s">
        <v>19</v>
      </c>
      <c r="K459" s="2" t="s">
        <v>28</v>
      </c>
      <c r="L459" s="2" t="s">
        <v>64</v>
      </c>
      <c r="M459" s="2">
        <v>5</v>
      </c>
      <c r="N459" s="4">
        <v>94.18</v>
      </c>
      <c r="O459" s="5">
        <v>0.1</v>
      </c>
      <c r="P459" s="4">
        <v>45.03</v>
      </c>
      <c r="Q459" s="4">
        <f t="shared" si="58"/>
        <v>423.81000000000006</v>
      </c>
      <c r="R459" s="4">
        <f t="shared" si="59"/>
        <v>225.15</v>
      </c>
      <c r="S459" s="4">
        <f t="shared" si="60"/>
        <v>198.66000000000005</v>
      </c>
      <c r="T459" s="6">
        <f t="shared" si="61"/>
        <v>0.46874778792383387</v>
      </c>
    </row>
    <row r="460" spans="1:20" x14ac:dyDescent="0.3">
      <c r="A460" s="2">
        <v>1493</v>
      </c>
      <c r="B460" s="3">
        <v>46189</v>
      </c>
      <c r="C460" s="2">
        <f t="shared" si="56"/>
        <v>2026</v>
      </c>
      <c r="D460" s="2">
        <f t="shared" si="62"/>
        <v>2</v>
      </c>
      <c r="E460" s="2">
        <f t="shared" si="57"/>
        <v>6</v>
      </c>
      <c r="F460" s="2" t="str">
        <f t="shared" si="63"/>
        <v>Jun</v>
      </c>
      <c r="G460" s="2" t="s">
        <v>41</v>
      </c>
      <c r="H460" s="2" t="s">
        <v>42</v>
      </c>
      <c r="I460" s="2" t="s">
        <v>33</v>
      </c>
      <c r="J460" s="2" t="s">
        <v>19</v>
      </c>
      <c r="K460" s="2" t="s">
        <v>43</v>
      </c>
      <c r="L460" s="2" t="s">
        <v>50</v>
      </c>
      <c r="M460" s="2">
        <v>9</v>
      </c>
      <c r="N460" s="4">
        <v>100.12</v>
      </c>
      <c r="O460" s="5">
        <v>0.1</v>
      </c>
      <c r="P460" s="4">
        <v>49.67</v>
      </c>
      <c r="Q460" s="4">
        <f t="shared" si="58"/>
        <v>810.97200000000009</v>
      </c>
      <c r="R460" s="4">
        <f t="shared" si="59"/>
        <v>447.03000000000003</v>
      </c>
      <c r="S460" s="4">
        <f t="shared" si="60"/>
        <v>363.94200000000006</v>
      </c>
      <c r="T460" s="6">
        <f t="shared" si="61"/>
        <v>0.44877258401029879</v>
      </c>
    </row>
    <row r="461" spans="1:20" x14ac:dyDescent="0.3">
      <c r="A461" s="2">
        <v>1038</v>
      </c>
      <c r="B461" s="3">
        <v>46190</v>
      </c>
      <c r="C461" s="2">
        <f t="shared" si="56"/>
        <v>2026</v>
      </c>
      <c r="D461" s="2">
        <f t="shared" si="62"/>
        <v>2</v>
      </c>
      <c r="E461" s="2">
        <f t="shared" si="57"/>
        <v>6</v>
      </c>
      <c r="F461" s="2" t="str">
        <f t="shared" si="63"/>
        <v>Jun</v>
      </c>
      <c r="G461" s="2" t="s">
        <v>16</v>
      </c>
      <c r="H461" s="2" t="s">
        <v>22</v>
      </c>
      <c r="I461" s="2" t="s">
        <v>18</v>
      </c>
      <c r="J461" s="2" t="s">
        <v>24</v>
      </c>
      <c r="K461" s="2" t="s">
        <v>36</v>
      </c>
      <c r="L461" s="2" t="s">
        <v>37</v>
      </c>
      <c r="M461" s="2">
        <v>15</v>
      </c>
      <c r="N461" s="4">
        <v>35.78</v>
      </c>
      <c r="O461" s="5">
        <v>0.2</v>
      </c>
      <c r="P461" s="4">
        <v>13.84</v>
      </c>
      <c r="Q461" s="4">
        <f t="shared" si="58"/>
        <v>429.36000000000007</v>
      </c>
      <c r="R461" s="4">
        <f t="shared" si="59"/>
        <v>207.6</v>
      </c>
      <c r="S461" s="4">
        <f t="shared" si="60"/>
        <v>221.76000000000008</v>
      </c>
      <c r="T461" s="6">
        <f t="shared" si="61"/>
        <v>0.51648965902738975</v>
      </c>
    </row>
    <row r="462" spans="1:20" x14ac:dyDescent="0.3">
      <c r="A462" s="2">
        <v>1258</v>
      </c>
      <c r="B462" s="3">
        <v>46190</v>
      </c>
      <c r="C462" s="2">
        <f t="shared" si="56"/>
        <v>2026</v>
      </c>
      <c r="D462" s="2">
        <f t="shared" si="62"/>
        <v>2</v>
      </c>
      <c r="E462" s="2">
        <f t="shared" si="57"/>
        <v>6</v>
      </c>
      <c r="F462" s="2" t="str">
        <f t="shared" si="63"/>
        <v>Jun</v>
      </c>
      <c r="G462" s="2" t="s">
        <v>48</v>
      </c>
      <c r="H462" s="2" t="s">
        <v>61</v>
      </c>
      <c r="I462" s="2" t="s">
        <v>23</v>
      </c>
      <c r="J462" s="2" t="s">
        <v>38</v>
      </c>
      <c r="K462" s="2" t="s">
        <v>43</v>
      </c>
      <c r="L462" s="2" t="s">
        <v>57</v>
      </c>
      <c r="M462" s="2">
        <v>8</v>
      </c>
      <c r="N462" s="4">
        <v>82.06</v>
      </c>
      <c r="O462" s="5">
        <v>0.05</v>
      </c>
      <c r="P462" s="4">
        <v>42.94</v>
      </c>
      <c r="Q462" s="4">
        <f t="shared" si="58"/>
        <v>623.65599999999995</v>
      </c>
      <c r="R462" s="4">
        <f t="shared" si="59"/>
        <v>343.52</v>
      </c>
      <c r="S462" s="4">
        <f t="shared" si="60"/>
        <v>280.13599999999997</v>
      </c>
      <c r="T462" s="6">
        <f t="shared" si="61"/>
        <v>0.44918352425054836</v>
      </c>
    </row>
    <row r="463" spans="1:20" x14ac:dyDescent="0.3">
      <c r="A463" s="2">
        <v>1152</v>
      </c>
      <c r="B463" s="3">
        <v>46191</v>
      </c>
      <c r="C463" s="2">
        <f t="shared" si="56"/>
        <v>2026</v>
      </c>
      <c r="D463" s="2">
        <f t="shared" si="62"/>
        <v>2</v>
      </c>
      <c r="E463" s="2">
        <f t="shared" si="57"/>
        <v>6</v>
      </c>
      <c r="F463" s="2" t="str">
        <f t="shared" si="63"/>
        <v>Jun</v>
      </c>
      <c r="G463" s="2" t="s">
        <v>30</v>
      </c>
      <c r="H463" s="2" t="s">
        <v>45</v>
      </c>
      <c r="I463" s="2" t="s">
        <v>27</v>
      </c>
      <c r="J463" s="2" t="s">
        <v>24</v>
      </c>
      <c r="K463" s="2" t="s">
        <v>43</v>
      </c>
      <c r="L463" s="2" t="s">
        <v>50</v>
      </c>
      <c r="M463" s="2">
        <v>14</v>
      </c>
      <c r="N463" s="4">
        <v>100.12</v>
      </c>
      <c r="O463" s="5">
        <v>0.15</v>
      </c>
      <c r="P463" s="4">
        <v>49.67</v>
      </c>
      <c r="Q463" s="4">
        <f t="shared" si="58"/>
        <v>1191.4280000000001</v>
      </c>
      <c r="R463" s="4">
        <f t="shared" si="59"/>
        <v>695.38</v>
      </c>
      <c r="S463" s="4">
        <f t="shared" si="60"/>
        <v>496.04800000000012</v>
      </c>
      <c r="T463" s="6">
        <f t="shared" si="61"/>
        <v>0.41634744189325756</v>
      </c>
    </row>
    <row r="464" spans="1:20" x14ac:dyDescent="0.3">
      <c r="A464" s="2">
        <v>1155</v>
      </c>
      <c r="B464" s="3">
        <v>46191</v>
      </c>
      <c r="C464" s="2">
        <f t="shared" si="56"/>
        <v>2026</v>
      </c>
      <c r="D464" s="2">
        <f t="shared" si="62"/>
        <v>2</v>
      </c>
      <c r="E464" s="2">
        <f t="shared" si="57"/>
        <v>6</v>
      </c>
      <c r="F464" s="2" t="str">
        <f t="shared" si="63"/>
        <v>Jun</v>
      </c>
      <c r="G464" s="2" t="s">
        <v>30</v>
      </c>
      <c r="H464" s="2" t="s">
        <v>35</v>
      </c>
      <c r="I464" s="2" t="s">
        <v>23</v>
      </c>
      <c r="J464" s="2" t="s">
        <v>38</v>
      </c>
      <c r="K464" s="2" t="s">
        <v>28</v>
      </c>
      <c r="L464" s="2" t="s">
        <v>64</v>
      </c>
      <c r="M464" s="2">
        <v>2</v>
      </c>
      <c r="N464" s="4">
        <v>94.18</v>
      </c>
      <c r="O464" s="5">
        <v>0.2</v>
      </c>
      <c r="P464" s="4">
        <v>45.03</v>
      </c>
      <c r="Q464" s="4">
        <f t="shared" si="58"/>
        <v>150.68800000000002</v>
      </c>
      <c r="R464" s="4">
        <f t="shared" si="59"/>
        <v>90.06</v>
      </c>
      <c r="S464" s="4">
        <f t="shared" si="60"/>
        <v>60.628000000000014</v>
      </c>
      <c r="T464" s="6">
        <f t="shared" si="61"/>
        <v>0.40234126141431309</v>
      </c>
    </row>
    <row r="465" spans="1:20" x14ac:dyDescent="0.3">
      <c r="A465" s="2">
        <v>1490</v>
      </c>
      <c r="B465" s="3">
        <v>46191</v>
      </c>
      <c r="C465" s="2">
        <f t="shared" si="56"/>
        <v>2026</v>
      </c>
      <c r="D465" s="2">
        <f t="shared" si="62"/>
        <v>2</v>
      </c>
      <c r="E465" s="2">
        <f t="shared" si="57"/>
        <v>6</v>
      </c>
      <c r="F465" s="2" t="str">
        <f t="shared" si="63"/>
        <v>Jun</v>
      </c>
      <c r="G465" s="2" t="s">
        <v>48</v>
      </c>
      <c r="H465" s="2" t="s">
        <v>66</v>
      </c>
      <c r="I465" s="2" t="s">
        <v>27</v>
      </c>
      <c r="J465" s="2" t="s">
        <v>38</v>
      </c>
      <c r="K465" s="2" t="s">
        <v>25</v>
      </c>
      <c r="L465" s="2" t="s">
        <v>54</v>
      </c>
      <c r="M465" s="2">
        <v>5</v>
      </c>
      <c r="N465" s="4">
        <v>41.22</v>
      </c>
      <c r="O465" s="5">
        <v>0.1</v>
      </c>
      <c r="P465" s="4">
        <v>16.64</v>
      </c>
      <c r="Q465" s="4">
        <f t="shared" si="58"/>
        <v>185.49</v>
      </c>
      <c r="R465" s="4">
        <f t="shared" si="59"/>
        <v>83.2</v>
      </c>
      <c r="S465" s="4">
        <f t="shared" si="60"/>
        <v>102.29</v>
      </c>
      <c r="T465" s="6">
        <f t="shared" si="61"/>
        <v>0.55145829963879456</v>
      </c>
    </row>
    <row r="466" spans="1:20" x14ac:dyDescent="0.3">
      <c r="A466" s="2">
        <v>1380</v>
      </c>
      <c r="B466" s="3">
        <v>46192</v>
      </c>
      <c r="C466" s="2">
        <f t="shared" si="56"/>
        <v>2026</v>
      </c>
      <c r="D466" s="2">
        <f t="shared" si="62"/>
        <v>2</v>
      </c>
      <c r="E466" s="2">
        <f t="shared" si="57"/>
        <v>6</v>
      </c>
      <c r="F466" s="2" t="str">
        <f t="shared" si="63"/>
        <v>Jun</v>
      </c>
      <c r="G466" s="2" t="s">
        <v>41</v>
      </c>
      <c r="H466" s="2" t="s">
        <v>53</v>
      </c>
      <c r="I466" s="2" t="s">
        <v>33</v>
      </c>
      <c r="J466" s="2" t="s">
        <v>19</v>
      </c>
      <c r="K466" s="2" t="s">
        <v>20</v>
      </c>
      <c r="L466" s="2" t="s">
        <v>34</v>
      </c>
      <c r="M466" s="2">
        <v>14</v>
      </c>
      <c r="N466" s="4">
        <v>29.95</v>
      </c>
      <c r="O466" s="5">
        <v>0.05</v>
      </c>
      <c r="P466" s="4">
        <v>11.5</v>
      </c>
      <c r="Q466" s="4">
        <f t="shared" si="58"/>
        <v>398.33499999999998</v>
      </c>
      <c r="R466" s="4">
        <f t="shared" si="59"/>
        <v>161</v>
      </c>
      <c r="S466" s="4">
        <f t="shared" si="60"/>
        <v>237.33499999999998</v>
      </c>
      <c r="T466" s="6">
        <f t="shared" si="61"/>
        <v>0.59581759072137774</v>
      </c>
    </row>
    <row r="467" spans="1:20" x14ac:dyDescent="0.3">
      <c r="A467" s="2">
        <v>1418</v>
      </c>
      <c r="B467" s="3">
        <v>46192</v>
      </c>
      <c r="C467" s="2">
        <f t="shared" si="56"/>
        <v>2026</v>
      </c>
      <c r="D467" s="2">
        <f t="shared" si="62"/>
        <v>2</v>
      </c>
      <c r="E467" s="2">
        <f t="shared" si="57"/>
        <v>6</v>
      </c>
      <c r="F467" s="2" t="str">
        <f t="shared" si="63"/>
        <v>Jun</v>
      </c>
      <c r="G467" s="2" t="s">
        <v>48</v>
      </c>
      <c r="H467" s="2" t="s">
        <v>63</v>
      </c>
      <c r="I467" s="2" t="s">
        <v>33</v>
      </c>
      <c r="J467" s="2" t="s">
        <v>38</v>
      </c>
      <c r="K467" s="2" t="s">
        <v>36</v>
      </c>
      <c r="L467" s="2" t="s">
        <v>58</v>
      </c>
      <c r="M467" s="2">
        <v>3</v>
      </c>
      <c r="N467" s="4">
        <v>32.99</v>
      </c>
      <c r="O467" s="5">
        <v>0.05</v>
      </c>
      <c r="P467" s="4">
        <v>12.5</v>
      </c>
      <c r="Q467" s="4">
        <f t="shared" si="58"/>
        <v>94.021499999999989</v>
      </c>
      <c r="R467" s="4">
        <f t="shared" si="59"/>
        <v>37.5</v>
      </c>
      <c r="S467" s="4">
        <f t="shared" si="60"/>
        <v>56.521499999999989</v>
      </c>
      <c r="T467" s="6">
        <f t="shared" si="61"/>
        <v>0.60115505496083343</v>
      </c>
    </row>
    <row r="468" spans="1:20" x14ac:dyDescent="0.3">
      <c r="A468" s="2">
        <v>1471</v>
      </c>
      <c r="B468" s="3">
        <v>46192</v>
      </c>
      <c r="C468" s="2">
        <f t="shared" si="56"/>
        <v>2026</v>
      </c>
      <c r="D468" s="2">
        <f t="shared" si="62"/>
        <v>2</v>
      </c>
      <c r="E468" s="2">
        <f t="shared" si="57"/>
        <v>6</v>
      </c>
      <c r="F468" s="2" t="str">
        <f t="shared" si="63"/>
        <v>Jun</v>
      </c>
      <c r="G468" s="2" t="s">
        <v>41</v>
      </c>
      <c r="H468" s="2" t="s">
        <v>42</v>
      </c>
      <c r="I468" s="2" t="s">
        <v>18</v>
      </c>
      <c r="J468" s="2" t="s">
        <v>38</v>
      </c>
      <c r="K468" s="2" t="s">
        <v>20</v>
      </c>
      <c r="L468" s="2" t="s">
        <v>52</v>
      </c>
      <c r="M468" s="2">
        <v>10</v>
      </c>
      <c r="N468" s="4">
        <v>89.99</v>
      </c>
      <c r="O468" s="5">
        <v>0.05</v>
      </c>
      <c r="P468" s="4">
        <v>42.25</v>
      </c>
      <c r="Q468" s="4">
        <f t="shared" si="58"/>
        <v>854.90499999999997</v>
      </c>
      <c r="R468" s="4">
        <f t="shared" si="59"/>
        <v>422.5</v>
      </c>
      <c r="S468" s="4">
        <f t="shared" si="60"/>
        <v>432.40499999999997</v>
      </c>
      <c r="T468" s="6">
        <f t="shared" si="61"/>
        <v>0.50579304133207781</v>
      </c>
    </row>
    <row r="469" spans="1:20" x14ac:dyDescent="0.3">
      <c r="A469" s="2">
        <v>1054</v>
      </c>
      <c r="B469" s="3">
        <v>46193</v>
      </c>
      <c r="C469" s="2">
        <f t="shared" si="56"/>
        <v>2026</v>
      </c>
      <c r="D469" s="2">
        <f t="shared" si="62"/>
        <v>2</v>
      </c>
      <c r="E469" s="2">
        <f t="shared" si="57"/>
        <v>6</v>
      </c>
      <c r="F469" s="2" t="str">
        <f t="shared" si="63"/>
        <v>Jun</v>
      </c>
      <c r="G469" s="2" t="s">
        <v>30</v>
      </c>
      <c r="H469" s="2" t="s">
        <v>45</v>
      </c>
      <c r="I469" s="2" t="s">
        <v>18</v>
      </c>
      <c r="J469" s="2" t="s">
        <v>38</v>
      </c>
      <c r="K469" s="2" t="s">
        <v>36</v>
      </c>
      <c r="L469" s="2" t="s">
        <v>37</v>
      </c>
      <c r="M469" s="2">
        <v>7</v>
      </c>
      <c r="N469" s="4">
        <v>35.78</v>
      </c>
      <c r="O469" s="5">
        <v>0.15</v>
      </c>
      <c r="P469" s="4">
        <v>13.84</v>
      </c>
      <c r="Q469" s="4">
        <f t="shared" si="58"/>
        <v>212.89099999999999</v>
      </c>
      <c r="R469" s="4">
        <f t="shared" si="59"/>
        <v>96.88</v>
      </c>
      <c r="S469" s="4">
        <f t="shared" si="60"/>
        <v>116.011</v>
      </c>
      <c r="T469" s="6">
        <f t="shared" si="61"/>
        <v>0.5449314437904843</v>
      </c>
    </row>
    <row r="470" spans="1:20" x14ac:dyDescent="0.3">
      <c r="A470" s="2">
        <v>1151</v>
      </c>
      <c r="B470" s="3">
        <v>46193</v>
      </c>
      <c r="C470" s="2">
        <f t="shared" si="56"/>
        <v>2026</v>
      </c>
      <c r="D470" s="2">
        <f t="shared" si="62"/>
        <v>2</v>
      </c>
      <c r="E470" s="2">
        <f t="shared" si="57"/>
        <v>6</v>
      </c>
      <c r="F470" s="2" t="str">
        <f t="shared" si="63"/>
        <v>Jun</v>
      </c>
      <c r="G470" s="2" t="s">
        <v>30</v>
      </c>
      <c r="H470" s="2" t="s">
        <v>35</v>
      </c>
      <c r="I470" s="2" t="s">
        <v>23</v>
      </c>
      <c r="J470" s="2" t="s">
        <v>24</v>
      </c>
      <c r="K470" s="2" t="s">
        <v>20</v>
      </c>
      <c r="L470" s="2" t="s">
        <v>34</v>
      </c>
      <c r="M470" s="2">
        <v>6</v>
      </c>
      <c r="N470" s="4">
        <v>29.95</v>
      </c>
      <c r="O470" s="5">
        <v>0</v>
      </c>
      <c r="P470" s="4">
        <v>11.5</v>
      </c>
      <c r="Q470" s="4">
        <f t="shared" si="58"/>
        <v>179.7</v>
      </c>
      <c r="R470" s="4">
        <f t="shared" si="59"/>
        <v>69</v>
      </c>
      <c r="S470" s="4">
        <f t="shared" si="60"/>
        <v>110.69999999999999</v>
      </c>
      <c r="T470" s="6">
        <f t="shared" si="61"/>
        <v>0.61602671118530883</v>
      </c>
    </row>
    <row r="471" spans="1:20" x14ac:dyDescent="0.3">
      <c r="A471" s="2">
        <v>1160</v>
      </c>
      <c r="B471" s="3">
        <v>46193</v>
      </c>
      <c r="C471" s="2">
        <f t="shared" si="56"/>
        <v>2026</v>
      </c>
      <c r="D471" s="2">
        <f t="shared" si="62"/>
        <v>2</v>
      </c>
      <c r="E471" s="2">
        <f t="shared" si="57"/>
        <v>6</v>
      </c>
      <c r="F471" s="2" t="str">
        <f t="shared" si="63"/>
        <v>Jun</v>
      </c>
      <c r="G471" s="2" t="s">
        <v>48</v>
      </c>
      <c r="H471" s="2" t="s">
        <v>63</v>
      </c>
      <c r="I471" s="2" t="s">
        <v>18</v>
      </c>
      <c r="J471" s="2" t="s">
        <v>24</v>
      </c>
      <c r="K471" s="2" t="s">
        <v>28</v>
      </c>
      <c r="L471" s="2" t="s">
        <v>29</v>
      </c>
      <c r="M471" s="2">
        <v>10</v>
      </c>
      <c r="N471" s="4">
        <v>54.75</v>
      </c>
      <c r="O471" s="5">
        <v>0</v>
      </c>
      <c r="P471" s="4">
        <v>24.3</v>
      </c>
      <c r="Q471" s="4">
        <f t="shared" si="58"/>
        <v>547.5</v>
      </c>
      <c r="R471" s="4">
        <f t="shared" si="59"/>
        <v>243</v>
      </c>
      <c r="S471" s="4">
        <f t="shared" si="60"/>
        <v>304.5</v>
      </c>
      <c r="T471" s="6">
        <f t="shared" si="61"/>
        <v>0.55616438356164388</v>
      </c>
    </row>
    <row r="472" spans="1:20" x14ac:dyDescent="0.3">
      <c r="A472" s="2">
        <v>1261</v>
      </c>
      <c r="B472" s="3">
        <v>46193</v>
      </c>
      <c r="C472" s="2">
        <f t="shared" si="56"/>
        <v>2026</v>
      </c>
      <c r="D472" s="2">
        <f t="shared" si="62"/>
        <v>2</v>
      </c>
      <c r="E472" s="2">
        <f t="shared" si="57"/>
        <v>6</v>
      </c>
      <c r="F472" s="2" t="str">
        <f t="shared" si="63"/>
        <v>Jun</v>
      </c>
      <c r="G472" s="2" t="s">
        <v>41</v>
      </c>
      <c r="H472" s="2" t="s">
        <v>53</v>
      </c>
      <c r="I472" s="2" t="s">
        <v>27</v>
      </c>
      <c r="J472" s="2" t="s">
        <v>24</v>
      </c>
      <c r="K472" s="2" t="s">
        <v>36</v>
      </c>
      <c r="L472" s="2" t="s">
        <v>47</v>
      </c>
      <c r="M472" s="2">
        <v>9</v>
      </c>
      <c r="N472" s="4">
        <v>40.6</v>
      </c>
      <c r="O472" s="5">
        <v>0.1</v>
      </c>
      <c r="P472" s="4">
        <v>15.04</v>
      </c>
      <c r="Q472" s="4">
        <f t="shared" si="58"/>
        <v>328.86</v>
      </c>
      <c r="R472" s="4">
        <f t="shared" si="59"/>
        <v>135.35999999999999</v>
      </c>
      <c r="S472" s="4">
        <f t="shared" si="60"/>
        <v>193.50000000000003</v>
      </c>
      <c r="T472" s="6">
        <f t="shared" si="61"/>
        <v>0.58839627805145056</v>
      </c>
    </row>
    <row r="473" spans="1:20" x14ac:dyDescent="0.3">
      <c r="A473" s="2">
        <v>1046</v>
      </c>
      <c r="B473" s="3">
        <v>46194</v>
      </c>
      <c r="C473" s="2">
        <f t="shared" si="56"/>
        <v>2026</v>
      </c>
      <c r="D473" s="2">
        <f t="shared" si="62"/>
        <v>2</v>
      </c>
      <c r="E473" s="2">
        <f t="shared" si="57"/>
        <v>6</v>
      </c>
      <c r="F473" s="2" t="str">
        <f t="shared" si="63"/>
        <v>Jun</v>
      </c>
      <c r="G473" s="2" t="s">
        <v>41</v>
      </c>
      <c r="H473" s="2" t="s">
        <v>42</v>
      </c>
      <c r="I473" s="2" t="s">
        <v>33</v>
      </c>
      <c r="J473" s="2" t="s">
        <v>24</v>
      </c>
      <c r="K473" s="2" t="s">
        <v>28</v>
      </c>
      <c r="L473" s="2" t="s">
        <v>64</v>
      </c>
      <c r="M473" s="2">
        <v>7</v>
      </c>
      <c r="N473" s="4">
        <v>94.18</v>
      </c>
      <c r="O473" s="5">
        <v>0</v>
      </c>
      <c r="P473" s="4">
        <v>45.03</v>
      </c>
      <c r="Q473" s="4">
        <f t="shared" si="58"/>
        <v>659.26</v>
      </c>
      <c r="R473" s="4">
        <f t="shared" si="59"/>
        <v>315.21000000000004</v>
      </c>
      <c r="S473" s="4">
        <f t="shared" si="60"/>
        <v>344.04999999999995</v>
      </c>
      <c r="T473" s="6">
        <f t="shared" si="61"/>
        <v>0.5218730091314504</v>
      </c>
    </row>
    <row r="474" spans="1:20" x14ac:dyDescent="0.3">
      <c r="A474" s="2">
        <v>1495</v>
      </c>
      <c r="B474" s="3">
        <v>46194</v>
      </c>
      <c r="C474" s="2">
        <f t="shared" si="56"/>
        <v>2026</v>
      </c>
      <c r="D474" s="2">
        <f t="shared" si="62"/>
        <v>2</v>
      </c>
      <c r="E474" s="2">
        <f t="shared" si="57"/>
        <v>6</v>
      </c>
      <c r="F474" s="2" t="str">
        <f t="shared" si="63"/>
        <v>Jun</v>
      </c>
      <c r="G474" s="2" t="s">
        <v>16</v>
      </c>
      <c r="H474" s="2" t="s">
        <v>17</v>
      </c>
      <c r="I474" s="2" t="s">
        <v>27</v>
      </c>
      <c r="J474" s="2" t="s">
        <v>24</v>
      </c>
      <c r="K474" s="2" t="s">
        <v>20</v>
      </c>
      <c r="L474" s="2" t="s">
        <v>21</v>
      </c>
      <c r="M474" s="2">
        <v>5</v>
      </c>
      <c r="N474" s="4">
        <v>46.99</v>
      </c>
      <c r="O474" s="5">
        <v>0.2</v>
      </c>
      <c r="P474" s="4">
        <v>18.11</v>
      </c>
      <c r="Q474" s="4">
        <f t="shared" si="58"/>
        <v>187.96000000000004</v>
      </c>
      <c r="R474" s="4">
        <f t="shared" si="59"/>
        <v>90.55</v>
      </c>
      <c r="S474" s="4">
        <f t="shared" si="60"/>
        <v>97.410000000000039</v>
      </c>
      <c r="T474" s="6">
        <f t="shared" si="61"/>
        <v>0.51824856352415416</v>
      </c>
    </row>
    <row r="475" spans="1:20" x14ac:dyDescent="0.3">
      <c r="A475" s="2">
        <v>1255</v>
      </c>
      <c r="B475" s="3">
        <v>46195</v>
      </c>
      <c r="C475" s="2">
        <f t="shared" si="56"/>
        <v>2026</v>
      </c>
      <c r="D475" s="2">
        <f t="shared" si="62"/>
        <v>2</v>
      </c>
      <c r="E475" s="2">
        <f t="shared" si="57"/>
        <v>6</v>
      </c>
      <c r="F475" s="2" t="str">
        <f t="shared" si="63"/>
        <v>Jun</v>
      </c>
      <c r="G475" s="2" t="s">
        <v>41</v>
      </c>
      <c r="H475" s="2" t="s">
        <v>53</v>
      </c>
      <c r="I475" s="2" t="s">
        <v>27</v>
      </c>
      <c r="J475" s="2" t="s">
        <v>24</v>
      </c>
      <c r="K475" s="2" t="s">
        <v>36</v>
      </c>
      <c r="L475" s="2" t="s">
        <v>58</v>
      </c>
      <c r="M475" s="2">
        <v>14</v>
      </c>
      <c r="N475" s="4">
        <v>32.99</v>
      </c>
      <c r="O475" s="5">
        <v>0.1</v>
      </c>
      <c r="P475" s="4">
        <v>12.5</v>
      </c>
      <c r="Q475" s="4">
        <f t="shared" si="58"/>
        <v>415.67400000000004</v>
      </c>
      <c r="R475" s="4">
        <f t="shared" si="59"/>
        <v>175</v>
      </c>
      <c r="S475" s="4">
        <f t="shared" si="60"/>
        <v>240.67400000000004</v>
      </c>
      <c r="T475" s="6">
        <f t="shared" si="61"/>
        <v>0.57899700245865759</v>
      </c>
    </row>
    <row r="476" spans="1:20" x14ac:dyDescent="0.3">
      <c r="A476" s="2">
        <v>1270</v>
      </c>
      <c r="B476" s="3">
        <v>46195</v>
      </c>
      <c r="C476" s="2">
        <f t="shared" si="56"/>
        <v>2026</v>
      </c>
      <c r="D476" s="2">
        <f t="shared" si="62"/>
        <v>2</v>
      </c>
      <c r="E476" s="2">
        <f t="shared" si="57"/>
        <v>6</v>
      </c>
      <c r="F476" s="2" t="str">
        <f t="shared" si="63"/>
        <v>Jun</v>
      </c>
      <c r="G476" s="2" t="s">
        <v>30</v>
      </c>
      <c r="H476" s="2" t="s">
        <v>46</v>
      </c>
      <c r="I476" s="2" t="s">
        <v>23</v>
      </c>
      <c r="J476" s="2" t="s">
        <v>38</v>
      </c>
      <c r="K476" s="2" t="s">
        <v>28</v>
      </c>
      <c r="L476" s="2" t="s">
        <v>40</v>
      </c>
      <c r="M476" s="2">
        <v>8</v>
      </c>
      <c r="N476" s="4">
        <v>143.66999999999999</v>
      </c>
      <c r="O476" s="5">
        <v>0.05</v>
      </c>
      <c r="P476" s="4">
        <v>81.22</v>
      </c>
      <c r="Q476" s="4">
        <f t="shared" si="58"/>
        <v>1091.8919999999998</v>
      </c>
      <c r="R476" s="4">
        <f t="shared" si="59"/>
        <v>649.76</v>
      </c>
      <c r="S476" s="4">
        <f t="shared" si="60"/>
        <v>442.13199999999983</v>
      </c>
      <c r="T476" s="6">
        <f t="shared" si="61"/>
        <v>0.40492283119575923</v>
      </c>
    </row>
    <row r="477" spans="1:20" x14ac:dyDescent="0.3">
      <c r="A477" s="2">
        <v>1488</v>
      </c>
      <c r="B477" s="3">
        <v>46195</v>
      </c>
      <c r="C477" s="2">
        <f t="shared" si="56"/>
        <v>2026</v>
      </c>
      <c r="D477" s="2">
        <f t="shared" si="62"/>
        <v>2</v>
      </c>
      <c r="E477" s="2">
        <f t="shared" si="57"/>
        <v>6</v>
      </c>
      <c r="F477" s="2" t="str">
        <f t="shared" si="63"/>
        <v>Jun</v>
      </c>
      <c r="G477" s="2" t="s">
        <v>16</v>
      </c>
      <c r="H477" s="2" t="s">
        <v>32</v>
      </c>
      <c r="I477" s="2" t="s">
        <v>18</v>
      </c>
      <c r="J477" s="2" t="s">
        <v>19</v>
      </c>
      <c r="K477" s="2" t="s">
        <v>25</v>
      </c>
      <c r="L477" s="2" t="s">
        <v>54</v>
      </c>
      <c r="M477" s="2">
        <v>8</v>
      </c>
      <c r="N477" s="4">
        <v>41.22</v>
      </c>
      <c r="O477" s="5">
        <v>0</v>
      </c>
      <c r="P477" s="4">
        <v>16.64</v>
      </c>
      <c r="Q477" s="4">
        <f t="shared" si="58"/>
        <v>329.76</v>
      </c>
      <c r="R477" s="4">
        <f t="shared" si="59"/>
        <v>133.12</v>
      </c>
      <c r="S477" s="4">
        <f t="shared" si="60"/>
        <v>196.64</v>
      </c>
      <c r="T477" s="6">
        <f t="shared" si="61"/>
        <v>0.59631246967491502</v>
      </c>
    </row>
    <row r="478" spans="1:20" x14ac:dyDescent="0.3">
      <c r="A478" s="2">
        <v>1497</v>
      </c>
      <c r="B478" s="3">
        <v>46195</v>
      </c>
      <c r="C478" s="2">
        <f t="shared" si="56"/>
        <v>2026</v>
      </c>
      <c r="D478" s="2">
        <f t="shared" si="62"/>
        <v>2</v>
      </c>
      <c r="E478" s="2">
        <f t="shared" si="57"/>
        <v>6</v>
      </c>
      <c r="F478" s="2" t="str">
        <f t="shared" si="63"/>
        <v>Jun</v>
      </c>
      <c r="G478" s="2" t="s">
        <v>41</v>
      </c>
      <c r="H478" s="2" t="s">
        <v>59</v>
      </c>
      <c r="I478" s="2" t="s">
        <v>18</v>
      </c>
      <c r="J478" s="2" t="s">
        <v>38</v>
      </c>
      <c r="K478" s="2" t="s">
        <v>28</v>
      </c>
      <c r="L478" s="2" t="s">
        <v>39</v>
      </c>
      <c r="M478" s="2">
        <v>12</v>
      </c>
      <c r="N478" s="4">
        <v>153.38999999999999</v>
      </c>
      <c r="O478" s="5">
        <v>0.2</v>
      </c>
      <c r="P478" s="4">
        <v>78.59</v>
      </c>
      <c r="Q478" s="4">
        <f t="shared" si="58"/>
        <v>1472.5439999999999</v>
      </c>
      <c r="R478" s="4">
        <f t="shared" si="59"/>
        <v>943.08</v>
      </c>
      <c r="S478" s="4">
        <f t="shared" si="60"/>
        <v>529.46399999999983</v>
      </c>
      <c r="T478" s="6">
        <f t="shared" si="61"/>
        <v>0.35955733750570434</v>
      </c>
    </row>
    <row r="479" spans="1:20" x14ac:dyDescent="0.3">
      <c r="A479" s="2">
        <v>1076</v>
      </c>
      <c r="B479" s="3">
        <v>46196</v>
      </c>
      <c r="C479" s="2">
        <f t="shared" si="56"/>
        <v>2026</v>
      </c>
      <c r="D479" s="2">
        <f t="shared" si="62"/>
        <v>2</v>
      </c>
      <c r="E479" s="2">
        <f t="shared" si="57"/>
        <v>6</v>
      </c>
      <c r="F479" s="2" t="str">
        <f t="shared" si="63"/>
        <v>Jun</v>
      </c>
      <c r="G479" s="2" t="s">
        <v>30</v>
      </c>
      <c r="H479" s="2" t="s">
        <v>46</v>
      </c>
      <c r="I479" s="2" t="s">
        <v>23</v>
      </c>
      <c r="J479" s="2" t="s">
        <v>24</v>
      </c>
      <c r="K479" s="2" t="s">
        <v>28</v>
      </c>
      <c r="L479" s="2" t="s">
        <v>64</v>
      </c>
      <c r="M479" s="2">
        <v>10</v>
      </c>
      <c r="N479" s="4">
        <v>94.18</v>
      </c>
      <c r="O479" s="5">
        <v>0.2</v>
      </c>
      <c r="P479" s="4">
        <v>45.03</v>
      </c>
      <c r="Q479" s="4">
        <f t="shared" si="58"/>
        <v>753.44</v>
      </c>
      <c r="R479" s="4">
        <f t="shared" si="59"/>
        <v>450.3</v>
      </c>
      <c r="S479" s="4">
        <f t="shared" si="60"/>
        <v>303.14000000000004</v>
      </c>
      <c r="T479" s="6">
        <f t="shared" si="61"/>
        <v>0.40234126141431303</v>
      </c>
    </row>
    <row r="480" spans="1:20" x14ac:dyDescent="0.3">
      <c r="A480" s="2">
        <v>1130</v>
      </c>
      <c r="B480" s="3">
        <v>46196</v>
      </c>
      <c r="C480" s="2">
        <f t="shared" si="56"/>
        <v>2026</v>
      </c>
      <c r="D480" s="2">
        <f t="shared" si="62"/>
        <v>2</v>
      </c>
      <c r="E480" s="2">
        <f t="shared" si="57"/>
        <v>6</v>
      </c>
      <c r="F480" s="2" t="str">
        <f t="shared" si="63"/>
        <v>Jun</v>
      </c>
      <c r="G480" s="2" t="s">
        <v>30</v>
      </c>
      <c r="H480" s="2" t="s">
        <v>31</v>
      </c>
      <c r="I480" s="2" t="s">
        <v>18</v>
      </c>
      <c r="J480" s="2" t="s">
        <v>38</v>
      </c>
      <c r="K480" s="2" t="s">
        <v>43</v>
      </c>
      <c r="L480" s="2" t="s">
        <v>65</v>
      </c>
      <c r="M480" s="2">
        <v>1</v>
      </c>
      <c r="N480" s="4">
        <v>28.5</v>
      </c>
      <c r="O480" s="5">
        <v>0.05</v>
      </c>
      <c r="P480" s="4">
        <v>12.8</v>
      </c>
      <c r="Q480" s="4">
        <f t="shared" si="58"/>
        <v>27.074999999999999</v>
      </c>
      <c r="R480" s="4">
        <f t="shared" si="59"/>
        <v>12.8</v>
      </c>
      <c r="S480" s="4">
        <f t="shared" si="60"/>
        <v>14.274999999999999</v>
      </c>
      <c r="T480" s="6">
        <f t="shared" si="61"/>
        <v>0.52723915050784853</v>
      </c>
    </row>
    <row r="481" spans="1:20" x14ac:dyDescent="0.3">
      <c r="A481" s="2">
        <v>1184</v>
      </c>
      <c r="B481" s="3">
        <v>46196</v>
      </c>
      <c r="C481" s="2">
        <f t="shared" si="56"/>
        <v>2026</v>
      </c>
      <c r="D481" s="2">
        <f t="shared" si="62"/>
        <v>2</v>
      </c>
      <c r="E481" s="2">
        <f t="shared" si="57"/>
        <v>6</v>
      </c>
      <c r="F481" s="2" t="str">
        <f t="shared" si="63"/>
        <v>Jun</v>
      </c>
      <c r="G481" s="2" t="s">
        <v>30</v>
      </c>
      <c r="H481" s="2" t="s">
        <v>46</v>
      </c>
      <c r="I481" s="2" t="s">
        <v>33</v>
      </c>
      <c r="J481" s="2" t="s">
        <v>24</v>
      </c>
      <c r="K481" s="2" t="s">
        <v>20</v>
      </c>
      <c r="L481" s="2" t="s">
        <v>52</v>
      </c>
      <c r="M481" s="2">
        <v>9</v>
      </c>
      <c r="N481" s="4">
        <v>89.99</v>
      </c>
      <c r="O481" s="5">
        <v>0.15</v>
      </c>
      <c r="P481" s="4">
        <v>42.25</v>
      </c>
      <c r="Q481" s="4">
        <f t="shared" si="58"/>
        <v>688.42349999999999</v>
      </c>
      <c r="R481" s="4">
        <f t="shared" si="59"/>
        <v>380.25</v>
      </c>
      <c r="S481" s="4">
        <f t="shared" si="60"/>
        <v>308.17349999999999</v>
      </c>
      <c r="T481" s="6">
        <f t="shared" si="61"/>
        <v>0.44765104619467522</v>
      </c>
    </row>
    <row r="482" spans="1:20" x14ac:dyDescent="0.3">
      <c r="A482" s="2">
        <v>1456</v>
      </c>
      <c r="B482" s="3">
        <v>46196</v>
      </c>
      <c r="C482" s="2">
        <f t="shared" si="56"/>
        <v>2026</v>
      </c>
      <c r="D482" s="2">
        <f t="shared" si="62"/>
        <v>2</v>
      </c>
      <c r="E482" s="2">
        <f t="shared" si="57"/>
        <v>6</v>
      </c>
      <c r="F482" s="2" t="str">
        <f t="shared" si="63"/>
        <v>Jun</v>
      </c>
      <c r="G482" s="2" t="s">
        <v>16</v>
      </c>
      <c r="H482" s="2" t="s">
        <v>22</v>
      </c>
      <c r="I482" s="2" t="s">
        <v>27</v>
      </c>
      <c r="J482" s="2" t="s">
        <v>24</v>
      </c>
      <c r="K482" s="2" t="s">
        <v>28</v>
      </c>
      <c r="L482" s="2" t="s">
        <v>40</v>
      </c>
      <c r="M482" s="2">
        <v>12</v>
      </c>
      <c r="N482" s="4">
        <v>143.66999999999999</v>
      </c>
      <c r="O482" s="5">
        <v>0.05</v>
      </c>
      <c r="P482" s="4">
        <v>81.22</v>
      </c>
      <c r="Q482" s="4">
        <f t="shared" si="58"/>
        <v>1637.838</v>
      </c>
      <c r="R482" s="4">
        <f t="shared" si="59"/>
        <v>974.64</v>
      </c>
      <c r="S482" s="4">
        <f t="shared" si="60"/>
        <v>663.19799999999998</v>
      </c>
      <c r="T482" s="6">
        <f t="shared" si="61"/>
        <v>0.40492283119575928</v>
      </c>
    </row>
    <row r="483" spans="1:20" x14ac:dyDescent="0.3">
      <c r="A483" s="2">
        <v>1470</v>
      </c>
      <c r="B483" s="3">
        <v>46196</v>
      </c>
      <c r="C483" s="2">
        <f t="shared" si="56"/>
        <v>2026</v>
      </c>
      <c r="D483" s="2">
        <f t="shared" si="62"/>
        <v>2</v>
      </c>
      <c r="E483" s="2">
        <f t="shared" si="57"/>
        <v>6</v>
      </c>
      <c r="F483" s="2" t="str">
        <f t="shared" si="63"/>
        <v>Jun</v>
      </c>
      <c r="G483" s="2" t="s">
        <v>48</v>
      </c>
      <c r="H483" s="2" t="s">
        <v>66</v>
      </c>
      <c r="I483" s="2" t="s">
        <v>18</v>
      </c>
      <c r="J483" s="2" t="s">
        <v>24</v>
      </c>
      <c r="K483" s="2" t="s">
        <v>43</v>
      </c>
      <c r="L483" s="2" t="s">
        <v>57</v>
      </c>
      <c r="M483" s="2">
        <v>14</v>
      </c>
      <c r="N483" s="4">
        <v>82.06</v>
      </c>
      <c r="O483" s="5">
        <v>0</v>
      </c>
      <c r="P483" s="4">
        <v>42.94</v>
      </c>
      <c r="Q483" s="4">
        <f t="shared" si="58"/>
        <v>1148.8400000000001</v>
      </c>
      <c r="R483" s="4">
        <f t="shared" si="59"/>
        <v>601.16</v>
      </c>
      <c r="S483" s="4">
        <f t="shared" si="60"/>
        <v>547.68000000000018</v>
      </c>
      <c r="T483" s="6">
        <f t="shared" si="61"/>
        <v>0.47672434803802105</v>
      </c>
    </row>
    <row r="484" spans="1:20" x14ac:dyDescent="0.3">
      <c r="A484" s="2">
        <v>1009</v>
      </c>
      <c r="B484" s="3">
        <v>46197</v>
      </c>
      <c r="C484" s="2">
        <f t="shared" si="56"/>
        <v>2026</v>
      </c>
      <c r="D484" s="2">
        <f t="shared" si="62"/>
        <v>2</v>
      </c>
      <c r="E484" s="2">
        <f t="shared" si="57"/>
        <v>6</v>
      </c>
      <c r="F484" s="2" t="str">
        <f t="shared" si="63"/>
        <v>Jun</v>
      </c>
      <c r="G484" s="2" t="s">
        <v>16</v>
      </c>
      <c r="H484" s="2" t="s">
        <v>22</v>
      </c>
      <c r="I484" s="2" t="s">
        <v>33</v>
      </c>
      <c r="J484" s="2" t="s">
        <v>38</v>
      </c>
      <c r="K484" s="2" t="s">
        <v>28</v>
      </c>
      <c r="L484" s="2" t="s">
        <v>40</v>
      </c>
      <c r="M484" s="2">
        <v>3</v>
      </c>
      <c r="N484" s="4">
        <v>143.66999999999999</v>
      </c>
      <c r="O484" s="5">
        <v>0.1</v>
      </c>
      <c r="P484" s="4">
        <v>81.22</v>
      </c>
      <c r="Q484" s="4">
        <f t="shared" si="58"/>
        <v>387.90899999999999</v>
      </c>
      <c r="R484" s="4">
        <f t="shared" si="59"/>
        <v>243.66</v>
      </c>
      <c r="S484" s="4">
        <f t="shared" si="60"/>
        <v>144.249</v>
      </c>
      <c r="T484" s="6">
        <f t="shared" si="61"/>
        <v>0.37186298848441257</v>
      </c>
    </row>
    <row r="485" spans="1:20" x14ac:dyDescent="0.3">
      <c r="A485" s="2">
        <v>1120</v>
      </c>
      <c r="B485" s="3">
        <v>46197</v>
      </c>
      <c r="C485" s="2">
        <f t="shared" si="56"/>
        <v>2026</v>
      </c>
      <c r="D485" s="2">
        <f t="shared" si="62"/>
        <v>2</v>
      </c>
      <c r="E485" s="2">
        <f t="shared" si="57"/>
        <v>6</v>
      </c>
      <c r="F485" s="2" t="str">
        <f t="shared" si="63"/>
        <v>Jun</v>
      </c>
      <c r="G485" s="2" t="s">
        <v>41</v>
      </c>
      <c r="H485" s="2" t="s">
        <v>53</v>
      </c>
      <c r="I485" s="2" t="s">
        <v>23</v>
      </c>
      <c r="J485" s="2" t="s">
        <v>38</v>
      </c>
      <c r="K485" s="2" t="s">
        <v>28</v>
      </c>
      <c r="L485" s="2" t="s">
        <v>64</v>
      </c>
      <c r="M485" s="2">
        <v>10</v>
      </c>
      <c r="N485" s="4">
        <v>94.18</v>
      </c>
      <c r="O485" s="5">
        <v>0.1</v>
      </c>
      <c r="P485" s="4">
        <v>45.03</v>
      </c>
      <c r="Q485" s="4">
        <f t="shared" si="58"/>
        <v>847.62000000000012</v>
      </c>
      <c r="R485" s="4">
        <f t="shared" si="59"/>
        <v>450.3</v>
      </c>
      <c r="S485" s="4">
        <f t="shared" si="60"/>
        <v>397.32000000000011</v>
      </c>
      <c r="T485" s="6">
        <f t="shared" si="61"/>
        <v>0.46874778792383387</v>
      </c>
    </row>
    <row r="486" spans="1:20" x14ac:dyDescent="0.3">
      <c r="A486" s="2">
        <v>1233</v>
      </c>
      <c r="B486" s="3">
        <v>46197</v>
      </c>
      <c r="C486" s="2">
        <f t="shared" si="56"/>
        <v>2026</v>
      </c>
      <c r="D486" s="2">
        <f t="shared" si="62"/>
        <v>2</v>
      </c>
      <c r="E486" s="2">
        <f t="shared" si="57"/>
        <v>6</v>
      </c>
      <c r="F486" s="2" t="str">
        <f t="shared" si="63"/>
        <v>Jun</v>
      </c>
      <c r="G486" s="2" t="s">
        <v>16</v>
      </c>
      <c r="H486" s="2" t="s">
        <v>17</v>
      </c>
      <c r="I486" s="2" t="s">
        <v>27</v>
      </c>
      <c r="J486" s="2" t="s">
        <v>24</v>
      </c>
      <c r="K486" s="2" t="s">
        <v>43</v>
      </c>
      <c r="L486" s="2" t="s">
        <v>65</v>
      </c>
      <c r="M486" s="2">
        <v>6</v>
      </c>
      <c r="N486" s="4">
        <v>28.5</v>
      </c>
      <c r="O486" s="5">
        <v>0.05</v>
      </c>
      <c r="P486" s="4">
        <v>12.8</v>
      </c>
      <c r="Q486" s="4">
        <f t="shared" si="58"/>
        <v>162.44999999999999</v>
      </c>
      <c r="R486" s="4">
        <f t="shared" si="59"/>
        <v>76.800000000000011</v>
      </c>
      <c r="S486" s="4">
        <f t="shared" si="60"/>
        <v>85.649999999999977</v>
      </c>
      <c r="T486" s="6">
        <f t="shared" si="61"/>
        <v>0.52723915050784842</v>
      </c>
    </row>
    <row r="487" spans="1:20" x14ac:dyDescent="0.3">
      <c r="A487" s="2">
        <v>1239</v>
      </c>
      <c r="B487" s="3">
        <v>46197</v>
      </c>
      <c r="C487" s="2">
        <f t="shared" si="56"/>
        <v>2026</v>
      </c>
      <c r="D487" s="2">
        <f t="shared" si="62"/>
        <v>2</v>
      </c>
      <c r="E487" s="2">
        <f t="shared" si="57"/>
        <v>6</v>
      </c>
      <c r="F487" s="2" t="str">
        <f t="shared" si="63"/>
        <v>Jun</v>
      </c>
      <c r="G487" s="2" t="s">
        <v>41</v>
      </c>
      <c r="H487" s="2" t="s">
        <v>51</v>
      </c>
      <c r="I487" s="2" t="s">
        <v>33</v>
      </c>
      <c r="J487" s="2" t="s">
        <v>38</v>
      </c>
      <c r="K487" s="2" t="s">
        <v>36</v>
      </c>
      <c r="L487" s="2" t="s">
        <v>47</v>
      </c>
      <c r="M487" s="2">
        <v>4</v>
      </c>
      <c r="N487" s="4">
        <v>40.6</v>
      </c>
      <c r="O487" s="5">
        <v>0</v>
      </c>
      <c r="P487" s="4">
        <v>15.04</v>
      </c>
      <c r="Q487" s="4">
        <f t="shared" si="58"/>
        <v>162.4</v>
      </c>
      <c r="R487" s="4">
        <f t="shared" si="59"/>
        <v>60.16</v>
      </c>
      <c r="S487" s="4">
        <f t="shared" si="60"/>
        <v>102.24000000000001</v>
      </c>
      <c r="T487" s="6">
        <f t="shared" si="61"/>
        <v>0.62955665024630547</v>
      </c>
    </row>
    <row r="488" spans="1:20" x14ac:dyDescent="0.3">
      <c r="A488" s="2">
        <v>1149</v>
      </c>
      <c r="B488" s="3">
        <v>46198</v>
      </c>
      <c r="C488" s="2">
        <f t="shared" si="56"/>
        <v>2026</v>
      </c>
      <c r="D488" s="2">
        <f t="shared" si="62"/>
        <v>2</v>
      </c>
      <c r="E488" s="2">
        <f t="shared" si="57"/>
        <v>6</v>
      </c>
      <c r="F488" s="2" t="str">
        <f t="shared" si="63"/>
        <v>Jun</v>
      </c>
      <c r="G488" s="2" t="s">
        <v>30</v>
      </c>
      <c r="H488" s="2" t="s">
        <v>35</v>
      </c>
      <c r="I488" s="2" t="s">
        <v>18</v>
      </c>
      <c r="J488" s="2" t="s">
        <v>19</v>
      </c>
      <c r="K488" s="2" t="s">
        <v>43</v>
      </c>
      <c r="L488" s="2" t="s">
        <v>57</v>
      </c>
      <c r="M488" s="2">
        <v>2</v>
      </c>
      <c r="N488" s="4">
        <v>82.06</v>
      </c>
      <c r="O488" s="5">
        <v>0.1</v>
      </c>
      <c r="P488" s="4">
        <v>42.94</v>
      </c>
      <c r="Q488" s="4">
        <f t="shared" si="58"/>
        <v>147.708</v>
      </c>
      <c r="R488" s="4">
        <f t="shared" si="59"/>
        <v>85.88</v>
      </c>
      <c r="S488" s="4">
        <f t="shared" si="60"/>
        <v>61.828000000000003</v>
      </c>
      <c r="T488" s="6">
        <f t="shared" si="61"/>
        <v>0.41858260893113441</v>
      </c>
    </row>
    <row r="489" spans="1:20" x14ac:dyDescent="0.3">
      <c r="A489" s="2">
        <v>1223</v>
      </c>
      <c r="B489" s="3">
        <v>46198</v>
      </c>
      <c r="C489" s="2">
        <f t="shared" si="56"/>
        <v>2026</v>
      </c>
      <c r="D489" s="2">
        <f t="shared" si="62"/>
        <v>2</v>
      </c>
      <c r="E489" s="2">
        <f t="shared" si="57"/>
        <v>6</v>
      </c>
      <c r="F489" s="2" t="str">
        <f t="shared" si="63"/>
        <v>Jun</v>
      </c>
      <c r="G489" s="2" t="s">
        <v>30</v>
      </c>
      <c r="H489" s="2" t="s">
        <v>31</v>
      </c>
      <c r="I489" s="2" t="s">
        <v>23</v>
      </c>
      <c r="J489" s="2" t="s">
        <v>38</v>
      </c>
      <c r="K489" s="2" t="s">
        <v>25</v>
      </c>
      <c r="L489" s="2" t="s">
        <v>26</v>
      </c>
      <c r="M489" s="2">
        <v>12</v>
      </c>
      <c r="N489" s="4">
        <v>347.51</v>
      </c>
      <c r="O489" s="5">
        <v>0</v>
      </c>
      <c r="P489" s="4">
        <v>190.16</v>
      </c>
      <c r="Q489" s="4">
        <f t="shared" si="58"/>
        <v>4170.12</v>
      </c>
      <c r="R489" s="4">
        <f t="shared" si="59"/>
        <v>2281.92</v>
      </c>
      <c r="S489" s="4">
        <f t="shared" si="60"/>
        <v>1888.1999999999998</v>
      </c>
      <c r="T489" s="6">
        <f t="shared" si="61"/>
        <v>0.4527927253891974</v>
      </c>
    </row>
    <row r="490" spans="1:20" x14ac:dyDescent="0.3">
      <c r="A490" s="2">
        <v>1259</v>
      </c>
      <c r="B490" s="3">
        <v>46198</v>
      </c>
      <c r="C490" s="2">
        <f t="shared" si="56"/>
        <v>2026</v>
      </c>
      <c r="D490" s="2">
        <f t="shared" si="62"/>
        <v>2</v>
      </c>
      <c r="E490" s="2">
        <f t="shared" si="57"/>
        <v>6</v>
      </c>
      <c r="F490" s="2" t="str">
        <f t="shared" si="63"/>
        <v>Jun</v>
      </c>
      <c r="G490" s="2" t="s">
        <v>48</v>
      </c>
      <c r="H490" s="2" t="s">
        <v>63</v>
      </c>
      <c r="I490" s="2" t="s">
        <v>23</v>
      </c>
      <c r="J490" s="2" t="s">
        <v>24</v>
      </c>
      <c r="K490" s="2" t="s">
        <v>20</v>
      </c>
      <c r="L490" s="2" t="s">
        <v>34</v>
      </c>
      <c r="M490" s="2">
        <v>10</v>
      </c>
      <c r="N490" s="4">
        <v>29.95</v>
      </c>
      <c r="O490" s="5">
        <v>0</v>
      </c>
      <c r="P490" s="4">
        <v>11.5</v>
      </c>
      <c r="Q490" s="4">
        <f t="shared" si="58"/>
        <v>299.5</v>
      </c>
      <c r="R490" s="4">
        <f t="shared" si="59"/>
        <v>115</v>
      </c>
      <c r="S490" s="4">
        <f t="shared" si="60"/>
        <v>184.5</v>
      </c>
      <c r="T490" s="6">
        <f t="shared" si="61"/>
        <v>0.61602671118530883</v>
      </c>
    </row>
    <row r="491" spans="1:20" x14ac:dyDescent="0.3">
      <c r="A491" s="2">
        <v>1334</v>
      </c>
      <c r="B491" s="3">
        <v>46198</v>
      </c>
      <c r="C491" s="2">
        <f t="shared" si="56"/>
        <v>2026</v>
      </c>
      <c r="D491" s="2">
        <f t="shared" si="62"/>
        <v>2</v>
      </c>
      <c r="E491" s="2">
        <f t="shared" si="57"/>
        <v>6</v>
      </c>
      <c r="F491" s="2" t="str">
        <f t="shared" si="63"/>
        <v>Jun</v>
      </c>
      <c r="G491" s="2" t="s">
        <v>30</v>
      </c>
      <c r="H491" s="2" t="s">
        <v>46</v>
      </c>
      <c r="I491" s="2" t="s">
        <v>18</v>
      </c>
      <c r="J491" s="2" t="s">
        <v>24</v>
      </c>
      <c r="K491" s="2" t="s">
        <v>25</v>
      </c>
      <c r="L491" s="2" t="s">
        <v>60</v>
      </c>
      <c r="M491" s="2">
        <v>3</v>
      </c>
      <c r="N491" s="4">
        <v>81.260000000000005</v>
      </c>
      <c r="O491" s="5">
        <v>0</v>
      </c>
      <c r="P491" s="4">
        <v>39.119999999999997</v>
      </c>
      <c r="Q491" s="4">
        <f t="shared" si="58"/>
        <v>243.78000000000003</v>
      </c>
      <c r="R491" s="4">
        <f t="shared" si="59"/>
        <v>117.35999999999999</v>
      </c>
      <c r="S491" s="4">
        <f t="shared" si="60"/>
        <v>126.42000000000004</v>
      </c>
      <c r="T491" s="6">
        <f t="shared" si="61"/>
        <v>0.51858232832882123</v>
      </c>
    </row>
    <row r="492" spans="1:20" x14ac:dyDescent="0.3">
      <c r="A492" s="2">
        <v>1116</v>
      </c>
      <c r="B492" s="3">
        <v>46200</v>
      </c>
      <c r="C492" s="2">
        <f t="shared" si="56"/>
        <v>2026</v>
      </c>
      <c r="D492" s="2">
        <f t="shared" si="62"/>
        <v>2</v>
      </c>
      <c r="E492" s="2">
        <f t="shared" si="57"/>
        <v>6</v>
      </c>
      <c r="F492" s="2" t="str">
        <f t="shared" si="63"/>
        <v>Jun</v>
      </c>
      <c r="G492" s="2" t="s">
        <v>30</v>
      </c>
      <c r="H492" s="2" t="s">
        <v>35</v>
      </c>
      <c r="I492" s="2" t="s">
        <v>33</v>
      </c>
      <c r="J492" s="2" t="s">
        <v>19</v>
      </c>
      <c r="K492" s="2" t="s">
        <v>20</v>
      </c>
      <c r="L492" s="2" t="s">
        <v>52</v>
      </c>
      <c r="M492" s="2">
        <v>6</v>
      </c>
      <c r="N492" s="4">
        <v>89.99</v>
      </c>
      <c r="O492" s="5">
        <v>0.2</v>
      </c>
      <c r="P492" s="4">
        <v>42.25</v>
      </c>
      <c r="Q492" s="4">
        <f t="shared" si="58"/>
        <v>431.952</v>
      </c>
      <c r="R492" s="4">
        <f t="shared" si="59"/>
        <v>253.5</v>
      </c>
      <c r="S492" s="4">
        <f t="shared" si="60"/>
        <v>178.452</v>
      </c>
      <c r="T492" s="6">
        <f t="shared" si="61"/>
        <v>0.41312923658184242</v>
      </c>
    </row>
    <row r="493" spans="1:20" x14ac:dyDescent="0.3">
      <c r="A493" s="2">
        <v>1352</v>
      </c>
      <c r="B493" s="3">
        <v>46200</v>
      </c>
      <c r="C493" s="2">
        <f t="shared" si="56"/>
        <v>2026</v>
      </c>
      <c r="D493" s="2">
        <f t="shared" si="62"/>
        <v>2</v>
      </c>
      <c r="E493" s="2">
        <f t="shared" si="57"/>
        <v>6</v>
      </c>
      <c r="F493" s="2" t="str">
        <f t="shared" si="63"/>
        <v>Jun</v>
      </c>
      <c r="G493" s="2" t="s">
        <v>41</v>
      </c>
      <c r="H493" s="2" t="s">
        <v>59</v>
      </c>
      <c r="I493" s="2" t="s">
        <v>18</v>
      </c>
      <c r="J493" s="2" t="s">
        <v>24</v>
      </c>
      <c r="K493" s="2" t="s">
        <v>43</v>
      </c>
      <c r="L493" s="2" t="s">
        <v>44</v>
      </c>
      <c r="M493" s="2">
        <v>7</v>
      </c>
      <c r="N493" s="4">
        <v>49.6</v>
      </c>
      <c r="O493" s="5">
        <v>0</v>
      </c>
      <c r="P493" s="4">
        <v>23.05</v>
      </c>
      <c r="Q493" s="4">
        <f t="shared" si="58"/>
        <v>347.2</v>
      </c>
      <c r="R493" s="4">
        <f t="shared" si="59"/>
        <v>161.35</v>
      </c>
      <c r="S493" s="4">
        <f t="shared" si="60"/>
        <v>185.85</v>
      </c>
      <c r="T493" s="6">
        <f t="shared" si="61"/>
        <v>0.53528225806451613</v>
      </c>
    </row>
    <row r="494" spans="1:20" x14ac:dyDescent="0.3">
      <c r="A494" s="2">
        <v>1060</v>
      </c>
      <c r="B494" s="3">
        <v>46201</v>
      </c>
      <c r="C494" s="2">
        <f t="shared" si="56"/>
        <v>2026</v>
      </c>
      <c r="D494" s="2">
        <f t="shared" si="62"/>
        <v>2</v>
      </c>
      <c r="E494" s="2">
        <f t="shared" si="57"/>
        <v>6</v>
      </c>
      <c r="F494" s="2" t="str">
        <f t="shared" si="63"/>
        <v>Jun</v>
      </c>
      <c r="G494" s="2" t="s">
        <v>30</v>
      </c>
      <c r="H494" s="2" t="s">
        <v>35</v>
      </c>
      <c r="I494" s="2" t="s">
        <v>33</v>
      </c>
      <c r="J494" s="2" t="s">
        <v>24</v>
      </c>
      <c r="K494" s="2" t="s">
        <v>36</v>
      </c>
      <c r="L494" s="2" t="s">
        <v>62</v>
      </c>
      <c r="M494" s="2">
        <v>15</v>
      </c>
      <c r="N494" s="4">
        <v>124.97</v>
      </c>
      <c r="O494" s="5">
        <v>0</v>
      </c>
      <c r="P494" s="4">
        <v>67.36</v>
      </c>
      <c r="Q494" s="4">
        <f t="shared" si="58"/>
        <v>1874.55</v>
      </c>
      <c r="R494" s="4">
        <f t="shared" si="59"/>
        <v>1010.4</v>
      </c>
      <c r="S494" s="4">
        <f t="shared" si="60"/>
        <v>864.15</v>
      </c>
      <c r="T494" s="6">
        <f t="shared" si="61"/>
        <v>0.46099063775306076</v>
      </c>
    </row>
    <row r="495" spans="1:20" x14ac:dyDescent="0.3">
      <c r="A495" s="2">
        <v>1077</v>
      </c>
      <c r="B495" s="3">
        <v>46201</v>
      </c>
      <c r="C495" s="2">
        <f t="shared" si="56"/>
        <v>2026</v>
      </c>
      <c r="D495" s="2">
        <f t="shared" si="62"/>
        <v>2</v>
      </c>
      <c r="E495" s="2">
        <f t="shared" si="57"/>
        <v>6</v>
      </c>
      <c r="F495" s="2" t="str">
        <f t="shared" si="63"/>
        <v>Jun</v>
      </c>
      <c r="G495" s="2" t="s">
        <v>48</v>
      </c>
      <c r="H495" s="2" t="s">
        <v>63</v>
      </c>
      <c r="I495" s="2" t="s">
        <v>33</v>
      </c>
      <c r="J495" s="2" t="s">
        <v>19</v>
      </c>
      <c r="K495" s="2" t="s">
        <v>36</v>
      </c>
      <c r="L495" s="2" t="s">
        <v>47</v>
      </c>
      <c r="M495" s="2">
        <v>6</v>
      </c>
      <c r="N495" s="4">
        <v>40.6</v>
      </c>
      <c r="O495" s="5">
        <v>0.15</v>
      </c>
      <c r="P495" s="4">
        <v>15.04</v>
      </c>
      <c r="Q495" s="4">
        <f t="shared" si="58"/>
        <v>207.06</v>
      </c>
      <c r="R495" s="4">
        <f t="shared" si="59"/>
        <v>90.24</v>
      </c>
      <c r="S495" s="4">
        <f t="shared" si="60"/>
        <v>116.82000000000001</v>
      </c>
      <c r="T495" s="6">
        <f t="shared" si="61"/>
        <v>0.56418429440741813</v>
      </c>
    </row>
    <row r="496" spans="1:20" x14ac:dyDescent="0.3">
      <c r="A496" s="2">
        <v>1178</v>
      </c>
      <c r="B496" s="3">
        <v>46201</v>
      </c>
      <c r="C496" s="2">
        <f t="shared" si="56"/>
        <v>2026</v>
      </c>
      <c r="D496" s="2">
        <f t="shared" si="62"/>
        <v>2</v>
      </c>
      <c r="E496" s="2">
        <f t="shared" si="57"/>
        <v>6</v>
      </c>
      <c r="F496" s="2" t="str">
        <f t="shared" si="63"/>
        <v>Jun</v>
      </c>
      <c r="G496" s="2" t="s">
        <v>30</v>
      </c>
      <c r="H496" s="2" t="s">
        <v>45</v>
      </c>
      <c r="I496" s="2" t="s">
        <v>33</v>
      </c>
      <c r="J496" s="2" t="s">
        <v>19</v>
      </c>
      <c r="K496" s="2" t="s">
        <v>36</v>
      </c>
      <c r="L496" s="2" t="s">
        <v>47</v>
      </c>
      <c r="M496" s="2">
        <v>5</v>
      </c>
      <c r="N496" s="4">
        <v>40.6</v>
      </c>
      <c r="O496" s="5">
        <v>0.15</v>
      </c>
      <c r="P496" s="4">
        <v>15.04</v>
      </c>
      <c r="Q496" s="4">
        <f t="shared" si="58"/>
        <v>172.54999999999998</v>
      </c>
      <c r="R496" s="4">
        <f t="shared" si="59"/>
        <v>75.199999999999989</v>
      </c>
      <c r="S496" s="4">
        <f t="shared" si="60"/>
        <v>97.35</v>
      </c>
      <c r="T496" s="6">
        <f t="shared" si="61"/>
        <v>0.56418429440741813</v>
      </c>
    </row>
    <row r="497" spans="1:20" x14ac:dyDescent="0.3">
      <c r="A497" s="2">
        <v>1247</v>
      </c>
      <c r="B497" s="3">
        <v>46201</v>
      </c>
      <c r="C497" s="2">
        <f t="shared" si="56"/>
        <v>2026</v>
      </c>
      <c r="D497" s="2">
        <f t="shared" si="62"/>
        <v>2</v>
      </c>
      <c r="E497" s="2">
        <f t="shared" si="57"/>
        <v>6</v>
      </c>
      <c r="F497" s="2" t="str">
        <f t="shared" si="63"/>
        <v>Jun</v>
      </c>
      <c r="G497" s="2" t="s">
        <v>48</v>
      </c>
      <c r="H497" s="2" t="s">
        <v>61</v>
      </c>
      <c r="I497" s="2" t="s">
        <v>23</v>
      </c>
      <c r="J497" s="2" t="s">
        <v>19</v>
      </c>
      <c r="K497" s="2" t="s">
        <v>43</v>
      </c>
      <c r="L497" s="2" t="s">
        <v>44</v>
      </c>
      <c r="M497" s="2">
        <v>4</v>
      </c>
      <c r="N497" s="4">
        <v>49.6</v>
      </c>
      <c r="O497" s="5">
        <v>0</v>
      </c>
      <c r="P497" s="4">
        <v>23.05</v>
      </c>
      <c r="Q497" s="4">
        <f t="shared" si="58"/>
        <v>198.4</v>
      </c>
      <c r="R497" s="4">
        <f t="shared" si="59"/>
        <v>92.2</v>
      </c>
      <c r="S497" s="4">
        <f t="shared" si="60"/>
        <v>106.2</v>
      </c>
      <c r="T497" s="6">
        <f t="shared" si="61"/>
        <v>0.53528225806451613</v>
      </c>
    </row>
    <row r="498" spans="1:20" x14ac:dyDescent="0.3">
      <c r="A498" s="2">
        <v>1398</v>
      </c>
      <c r="B498" s="3">
        <v>46201</v>
      </c>
      <c r="C498" s="2">
        <f t="shared" si="56"/>
        <v>2026</v>
      </c>
      <c r="D498" s="2">
        <f t="shared" si="62"/>
        <v>2</v>
      </c>
      <c r="E498" s="2">
        <f t="shared" si="57"/>
        <v>6</v>
      </c>
      <c r="F498" s="2" t="str">
        <f t="shared" si="63"/>
        <v>Jun</v>
      </c>
      <c r="G498" s="2" t="s">
        <v>48</v>
      </c>
      <c r="H498" s="2" t="s">
        <v>63</v>
      </c>
      <c r="I498" s="2" t="s">
        <v>33</v>
      </c>
      <c r="J498" s="2" t="s">
        <v>19</v>
      </c>
      <c r="K498" s="2" t="s">
        <v>20</v>
      </c>
      <c r="L498" s="2" t="s">
        <v>21</v>
      </c>
      <c r="M498" s="2">
        <v>10</v>
      </c>
      <c r="N498" s="4">
        <v>46.99</v>
      </c>
      <c r="O498" s="5">
        <v>0</v>
      </c>
      <c r="P498" s="4">
        <v>18.11</v>
      </c>
      <c r="Q498" s="4">
        <f t="shared" si="58"/>
        <v>469.90000000000003</v>
      </c>
      <c r="R498" s="4">
        <f t="shared" si="59"/>
        <v>181.1</v>
      </c>
      <c r="S498" s="4">
        <f t="shared" si="60"/>
        <v>288.80000000000007</v>
      </c>
      <c r="T498" s="6">
        <f t="shared" si="61"/>
        <v>0.61459885081932331</v>
      </c>
    </row>
    <row r="499" spans="1:20" x14ac:dyDescent="0.3">
      <c r="A499" s="2">
        <v>1086</v>
      </c>
      <c r="B499" s="3">
        <v>46202</v>
      </c>
      <c r="C499" s="2">
        <f t="shared" si="56"/>
        <v>2026</v>
      </c>
      <c r="D499" s="2">
        <f t="shared" si="62"/>
        <v>2</v>
      </c>
      <c r="E499" s="2">
        <f t="shared" si="57"/>
        <v>6</v>
      </c>
      <c r="F499" s="2" t="str">
        <f t="shared" si="63"/>
        <v>Jun</v>
      </c>
      <c r="G499" s="2" t="s">
        <v>30</v>
      </c>
      <c r="H499" s="2" t="s">
        <v>31</v>
      </c>
      <c r="I499" s="2" t="s">
        <v>23</v>
      </c>
      <c r="J499" s="2" t="s">
        <v>38</v>
      </c>
      <c r="K499" s="2" t="s">
        <v>20</v>
      </c>
      <c r="L499" s="2" t="s">
        <v>34</v>
      </c>
      <c r="M499" s="2">
        <v>4</v>
      </c>
      <c r="N499" s="4">
        <v>29.95</v>
      </c>
      <c r="O499" s="5">
        <v>0</v>
      </c>
      <c r="P499" s="4">
        <v>11.5</v>
      </c>
      <c r="Q499" s="4">
        <f t="shared" si="58"/>
        <v>119.8</v>
      </c>
      <c r="R499" s="4">
        <f t="shared" si="59"/>
        <v>46</v>
      </c>
      <c r="S499" s="4">
        <f t="shared" si="60"/>
        <v>73.8</v>
      </c>
      <c r="T499" s="6">
        <f t="shared" si="61"/>
        <v>0.61602671118530883</v>
      </c>
    </row>
    <row r="500" spans="1:20" x14ac:dyDescent="0.3">
      <c r="A500" s="2">
        <v>1213</v>
      </c>
      <c r="B500" s="3">
        <v>46202</v>
      </c>
      <c r="C500" s="2">
        <f t="shared" si="56"/>
        <v>2026</v>
      </c>
      <c r="D500" s="2">
        <f t="shared" si="62"/>
        <v>2</v>
      </c>
      <c r="E500" s="2">
        <f t="shared" si="57"/>
        <v>6</v>
      </c>
      <c r="F500" s="2" t="str">
        <f t="shared" si="63"/>
        <v>Jun</v>
      </c>
      <c r="G500" s="2" t="s">
        <v>41</v>
      </c>
      <c r="H500" s="2" t="s">
        <v>42</v>
      </c>
      <c r="I500" s="2" t="s">
        <v>23</v>
      </c>
      <c r="J500" s="2" t="s">
        <v>24</v>
      </c>
      <c r="K500" s="2" t="s">
        <v>36</v>
      </c>
      <c r="L500" s="2" t="s">
        <v>62</v>
      </c>
      <c r="M500" s="2">
        <v>2</v>
      </c>
      <c r="N500" s="4">
        <v>124.97</v>
      </c>
      <c r="O500" s="5">
        <v>0</v>
      </c>
      <c r="P500" s="4">
        <v>67.36</v>
      </c>
      <c r="Q500" s="4">
        <f t="shared" si="58"/>
        <v>249.94</v>
      </c>
      <c r="R500" s="4">
        <f t="shared" si="59"/>
        <v>134.72</v>
      </c>
      <c r="S500" s="4">
        <f t="shared" si="60"/>
        <v>115.22</v>
      </c>
      <c r="T500" s="6">
        <f t="shared" si="61"/>
        <v>0.46099063775306076</v>
      </c>
    </row>
    <row r="501" spans="1:20" x14ac:dyDescent="0.3">
      <c r="A501" s="7">
        <v>1350</v>
      </c>
      <c r="B501" s="8">
        <v>46202</v>
      </c>
      <c r="C501" s="2">
        <f t="shared" si="56"/>
        <v>2026</v>
      </c>
      <c r="D501" s="2">
        <f t="shared" si="62"/>
        <v>2</v>
      </c>
      <c r="E501" s="2">
        <f t="shared" si="57"/>
        <v>6</v>
      </c>
      <c r="F501" s="2" t="str">
        <f t="shared" si="63"/>
        <v>Jun</v>
      </c>
      <c r="G501" s="7" t="s">
        <v>41</v>
      </c>
      <c r="H501" s="7" t="s">
        <v>59</v>
      </c>
      <c r="I501" s="7" t="s">
        <v>33</v>
      </c>
      <c r="J501" s="7" t="s">
        <v>24</v>
      </c>
      <c r="K501" s="7" t="s">
        <v>43</v>
      </c>
      <c r="L501" s="7" t="s">
        <v>57</v>
      </c>
      <c r="M501" s="7">
        <v>1</v>
      </c>
      <c r="N501" s="9">
        <v>82.06</v>
      </c>
      <c r="O501" s="10">
        <v>0</v>
      </c>
      <c r="P501" s="9">
        <v>42.94</v>
      </c>
      <c r="Q501" s="9">
        <f t="shared" si="58"/>
        <v>82.06</v>
      </c>
      <c r="R501" s="9">
        <f t="shared" si="59"/>
        <v>42.94</v>
      </c>
      <c r="S501" s="9">
        <f t="shared" si="60"/>
        <v>39.120000000000005</v>
      </c>
      <c r="T501" s="11">
        <f t="shared" si="61"/>
        <v>0.476724348038021</v>
      </c>
    </row>
  </sheetData>
  <sortState xmlns:xlrd2="http://schemas.microsoft.com/office/spreadsheetml/2017/richdata2" ref="A2:T501">
    <sortCondition ref="B1:B501"/>
  </sortState>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BEC4A-0D4A-44FD-B06A-3497D460C52D}">
  <dimension ref="B3:S24"/>
  <sheetViews>
    <sheetView topLeftCell="C1" zoomScale="85" zoomScaleNormal="130" workbookViewId="0">
      <selection activeCell="G21" sqref="G21"/>
    </sheetView>
  </sheetViews>
  <sheetFormatPr defaultRowHeight="14.4" x14ac:dyDescent="0.3"/>
  <cols>
    <col min="2" max="2" width="14.88671875" bestFit="1" customWidth="1"/>
    <col min="3" max="3" width="17.88671875" bestFit="1" customWidth="1"/>
    <col min="4" max="4" width="19.21875" bestFit="1" customWidth="1"/>
    <col min="5" max="5" width="2.77734375" customWidth="1"/>
    <col min="6" max="6" width="22.21875" bestFit="1" customWidth="1"/>
    <col min="7" max="7" width="19.88671875" bestFit="1" customWidth="1"/>
    <col min="8" max="8" width="16.88671875" bestFit="1" customWidth="1"/>
    <col min="9" max="9" width="13.33203125" bestFit="1" customWidth="1"/>
    <col min="10" max="10" width="18.109375" customWidth="1"/>
    <col min="11" max="11" width="2.33203125" customWidth="1"/>
    <col min="12" max="12" width="15.88671875" bestFit="1" customWidth="1"/>
    <col min="13" max="13" width="17.88671875" bestFit="1" customWidth="1"/>
    <col min="14" max="14" width="2.44140625" customWidth="1"/>
    <col min="15" max="15" width="14.5546875" bestFit="1" customWidth="1"/>
    <col min="16" max="16" width="17.88671875" bestFit="1" customWidth="1"/>
    <col min="17" max="17" width="4.33203125" customWidth="1"/>
    <col min="18" max="18" width="14" bestFit="1" customWidth="1"/>
    <col min="19" max="19" width="14.77734375" bestFit="1" customWidth="1"/>
  </cols>
  <sheetData>
    <row r="3" spans="2:19" x14ac:dyDescent="0.3">
      <c r="B3" s="25" t="s">
        <v>73</v>
      </c>
      <c r="D3" s="25" t="s">
        <v>74</v>
      </c>
      <c r="F3" s="20" t="s">
        <v>75</v>
      </c>
      <c r="H3" s="25" t="s">
        <v>82</v>
      </c>
      <c r="J3" s="25" t="s">
        <v>83</v>
      </c>
      <c r="L3" s="25" t="s">
        <v>84</v>
      </c>
    </row>
    <row r="4" spans="2:19" x14ac:dyDescent="0.3">
      <c r="B4" s="17">
        <v>332937.28500000021</v>
      </c>
      <c r="D4" s="15">
        <v>153079.54500000027</v>
      </c>
      <c r="F4" s="21">
        <f>GETPIVOTDATA("Gross Profit",$D$3)/GETPIVOTDATA("Revenue",$B$3)</f>
        <v>0.45978492616109423</v>
      </c>
      <c r="H4">
        <v>4075</v>
      </c>
      <c r="J4">
        <v>500</v>
      </c>
      <c r="L4" s="14">
        <v>179857.74000000022</v>
      </c>
    </row>
    <row r="8" spans="2:19" x14ac:dyDescent="0.3">
      <c r="B8" s="12" t="s">
        <v>71</v>
      </c>
      <c r="C8" t="s">
        <v>85</v>
      </c>
      <c r="D8" t="s">
        <v>86</v>
      </c>
      <c r="F8" s="12" t="s">
        <v>71</v>
      </c>
      <c r="G8" t="s">
        <v>85</v>
      </c>
      <c r="I8" s="25" t="s">
        <v>71</v>
      </c>
      <c r="J8" s="25" t="s">
        <v>85</v>
      </c>
      <c r="L8" s="25" t="s">
        <v>71</v>
      </c>
      <c r="M8" s="25" t="s">
        <v>85</v>
      </c>
      <c r="O8" s="12" t="s">
        <v>71</v>
      </c>
      <c r="P8" t="s">
        <v>85</v>
      </c>
      <c r="R8" s="20" t="str">
        <f>O8</f>
        <v>Row Labels</v>
      </c>
      <c r="S8" s="20" t="str">
        <f>P8</f>
        <v>TOTAL REVENUE</v>
      </c>
    </row>
    <row r="9" spans="2:19" x14ac:dyDescent="0.3">
      <c r="B9" s="16" t="s">
        <v>76</v>
      </c>
      <c r="C9" s="18">
        <v>50322.606500000009</v>
      </c>
      <c r="D9" s="18">
        <v>23399.30650000001</v>
      </c>
      <c r="F9" s="16" t="s">
        <v>53</v>
      </c>
      <c r="G9" s="18">
        <v>29078.206999999999</v>
      </c>
      <c r="I9" s="16" t="s">
        <v>23</v>
      </c>
      <c r="J9" s="18">
        <v>94780.306499999992</v>
      </c>
      <c r="L9" s="16" t="s">
        <v>30</v>
      </c>
      <c r="M9" s="14">
        <v>95989.746000000014</v>
      </c>
      <c r="O9" s="16" t="s">
        <v>45</v>
      </c>
      <c r="P9" s="14">
        <v>21177.8125</v>
      </c>
      <c r="R9" s="22" t="str">
        <f t="shared" ref="R9:R24" si="0">O9</f>
        <v>Austria</v>
      </c>
      <c r="S9" s="22">
        <f t="shared" ref="S9:S24" si="1">P9</f>
        <v>21177.8125</v>
      </c>
    </row>
    <row r="10" spans="2:19" x14ac:dyDescent="0.3">
      <c r="B10" s="16" t="s">
        <v>77</v>
      </c>
      <c r="C10" s="18">
        <v>59324.040499999981</v>
      </c>
      <c r="D10" s="18">
        <v>27230.210499999994</v>
      </c>
      <c r="F10" s="16" t="s">
        <v>22</v>
      </c>
      <c r="G10" s="18">
        <v>26102.889499999997</v>
      </c>
      <c r="I10" s="16" t="s">
        <v>33</v>
      </c>
      <c r="J10" s="18">
        <v>77158.010500000019</v>
      </c>
      <c r="L10" s="16" t="s">
        <v>41</v>
      </c>
      <c r="M10" s="14">
        <v>90867.444000000018</v>
      </c>
      <c r="O10" s="16" t="s">
        <v>63</v>
      </c>
      <c r="P10" s="14">
        <v>17061.367000000006</v>
      </c>
      <c r="R10" s="22" t="str">
        <f t="shared" si="0"/>
        <v>Belgium</v>
      </c>
      <c r="S10" s="22">
        <f t="shared" si="1"/>
        <v>17061.367000000006</v>
      </c>
    </row>
    <row r="11" spans="2:19" x14ac:dyDescent="0.3">
      <c r="B11" s="16" t="s">
        <v>78</v>
      </c>
      <c r="C11" s="18">
        <v>54141.095000000001</v>
      </c>
      <c r="D11" s="18">
        <v>24422.024999999994</v>
      </c>
      <c r="F11" s="16" t="s">
        <v>32</v>
      </c>
      <c r="G11" s="18">
        <v>23889.156500000001</v>
      </c>
      <c r="I11" s="16" t="s">
        <v>18</v>
      </c>
      <c r="J11" s="18">
        <v>78150.087999999945</v>
      </c>
      <c r="L11" s="16" t="s">
        <v>16</v>
      </c>
      <c r="M11" s="14">
        <v>85509.236499999985</v>
      </c>
      <c r="O11" s="16" t="s">
        <v>35</v>
      </c>
      <c r="P11" s="14">
        <v>22991.113999999998</v>
      </c>
      <c r="R11" s="22" t="str">
        <f t="shared" si="0"/>
        <v>Czechia</v>
      </c>
      <c r="S11" s="22">
        <f t="shared" si="1"/>
        <v>22991.113999999998</v>
      </c>
    </row>
    <row r="12" spans="2:19" x14ac:dyDescent="0.3">
      <c r="B12" s="16" t="s">
        <v>79</v>
      </c>
      <c r="C12" s="18">
        <v>54627.661000000007</v>
      </c>
      <c r="D12" s="18">
        <v>25154.431</v>
      </c>
      <c r="F12" s="16" t="s">
        <v>17</v>
      </c>
      <c r="G12" s="18">
        <v>35517.19049999999</v>
      </c>
      <c r="I12" s="16" t="s">
        <v>27</v>
      </c>
      <c r="J12" s="18">
        <v>82848.87999999999</v>
      </c>
      <c r="L12" s="16" t="s">
        <v>48</v>
      </c>
      <c r="M12" s="14">
        <v>60570.858499999973</v>
      </c>
      <c r="O12" s="16" t="s">
        <v>42</v>
      </c>
      <c r="P12" s="14">
        <v>18715.009999999998</v>
      </c>
      <c r="R12" s="22" t="str">
        <f t="shared" si="0"/>
        <v>Denmark</v>
      </c>
      <c r="S12" s="22">
        <f t="shared" si="1"/>
        <v>18715.009999999998</v>
      </c>
    </row>
    <row r="13" spans="2:19" x14ac:dyDescent="0.3">
      <c r="B13" s="16" t="s">
        <v>80</v>
      </c>
      <c r="C13" s="18">
        <v>67890.171499999997</v>
      </c>
      <c r="D13" s="18">
        <v>30731.491500000007</v>
      </c>
      <c r="F13" s="16" t="s">
        <v>31</v>
      </c>
      <c r="G13" s="18">
        <v>28784.846999999994</v>
      </c>
      <c r="I13" s="23" t="s">
        <v>72</v>
      </c>
      <c r="J13" s="24">
        <v>332937.28499999997</v>
      </c>
      <c r="L13" s="23" t="s">
        <v>72</v>
      </c>
      <c r="M13" s="24">
        <v>332937.28499999997</v>
      </c>
      <c r="O13" s="16" t="s">
        <v>59</v>
      </c>
      <c r="P13" s="14">
        <v>22817.126499999998</v>
      </c>
      <c r="R13" s="22" t="str">
        <f t="shared" si="0"/>
        <v>Finland</v>
      </c>
      <c r="S13" s="22">
        <f t="shared" si="1"/>
        <v>22817.126499999998</v>
      </c>
    </row>
    <row r="14" spans="2:19" x14ac:dyDescent="0.3">
      <c r="B14" s="16" t="s">
        <v>81</v>
      </c>
      <c r="C14" s="18">
        <v>46631.710500000001</v>
      </c>
      <c r="D14" s="18">
        <v>22142.080500000007</v>
      </c>
      <c r="F14" s="16" t="s">
        <v>72</v>
      </c>
      <c r="G14" s="19">
        <v>143372.2905</v>
      </c>
      <c r="O14" s="16" t="s">
        <v>66</v>
      </c>
      <c r="P14" s="14">
        <v>20227.321</v>
      </c>
      <c r="R14" s="22" t="str">
        <f t="shared" si="0"/>
        <v>France</v>
      </c>
      <c r="S14" s="22">
        <f t="shared" si="1"/>
        <v>20227.321</v>
      </c>
    </row>
    <row r="15" spans="2:19" x14ac:dyDescent="0.3">
      <c r="B15" s="16" t="s">
        <v>72</v>
      </c>
      <c r="C15" s="19">
        <v>332937.28499999997</v>
      </c>
      <c r="D15" s="19">
        <v>153079.54500000001</v>
      </c>
      <c r="O15" s="16" t="s">
        <v>46</v>
      </c>
      <c r="P15" s="14">
        <v>23035.972499999996</v>
      </c>
      <c r="R15" s="22" t="str">
        <f t="shared" si="0"/>
        <v>Germany</v>
      </c>
      <c r="S15" s="22">
        <f t="shared" si="1"/>
        <v>23035.972499999996</v>
      </c>
    </row>
    <row r="16" spans="2:19" x14ac:dyDescent="0.3">
      <c r="O16" s="16" t="s">
        <v>53</v>
      </c>
      <c r="P16" s="18">
        <v>29078.206999999999</v>
      </c>
      <c r="R16" s="22" t="str">
        <f t="shared" si="0"/>
        <v>Ireland</v>
      </c>
      <c r="S16" s="22">
        <f t="shared" si="1"/>
        <v>29078.206999999999</v>
      </c>
    </row>
    <row r="17" spans="15:19" x14ac:dyDescent="0.3">
      <c r="O17" s="16" t="s">
        <v>22</v>
      </c>
      <c r="P17" s="18">
        <v>26102.889499999997</v>
      </c>
      <c r="R17" s="22" t="str">
        <f t="shared" si="0"/>
        <v>Italy</v>
      </c>
      <c r="S17" s="22">
        <f t="shared" si="1"/>
        <v>26102.889499999997</v>
      </c>
    </row>
    <row r="18" spans="15:19" x14ac:dyDescent="0.3">
      <c r="O18" s="16" t="s">
        <v>61</v>
      </c>
      <c r="P18" s="14">
        <v>8734.4665000000005</v>
      </c>
      <c r="R18" s="22" t="str">
        <f t="shared" si="0"/>
        <v>Netherlands</v>
      </c>
      <c r="S18" s="22">
        <f t="shared" si="1"/>
        <v>8734.4665000000005</v>
      </c>
    </row>
    <row r="19" spans="15:19" x14ac:dyDescent="0.3">
      <c r="O19" s="16" t="s">
        <v>32</v>
      </c>
      <c r="P19" s="18">
        <v>23889.156500000001</v>
      </c>
      <c r="R19" s="22" t="str">
        <f t="shared" si="0"/>
        <v>Portugal</v>
      </c>
      <c r="S19" s="22">
        <f t="shared" si="1"/>
        <v>23889.156500000001</v>
      </c>
    </row>
    <row r="20" spans="15:19" x14ac:dyDescent="0.3">
      <c r="O20" s="16" t="s">
        <v>17</v>
      </c>
      <c r="P20" s="18">
        <v>35517.19049999999</v>
      </c>
      <c r="R20" s="22" t="str">
        <f t="shared" si="0"/>
        <v>Spain</v>
      </c>
      <c r="S20" s="22">
        <f t="shared" si="1"/>
        <v>35517.19049999999</v>
      </c>
    </row>
    <row r="21" spans="15:19" x14ac:dyDescent="0.3">
      <c r="O21" s="16" t="s">
        <v>51</v>
      </c>
      <c r="P21" s="14">
        <v>20257.1005</v>
      </c>
      <c r="R21" s="22" t="str">
        <f t="shared" si="0"/>
        <v>Sweden</v>
      </c>
      <c r="S21" s="22">
        <f t="shared" si="1"/>
        <v>20257.1005</v>
      </c>
    </row>
    <row r="22" spans="15:19" x14ac:dyDescent="0.3">
      <c r="O22" s="16" t="s">
        <v>31</v>
      </c>
      <c r="P22" s="18">
        <v>28784.846999999994</v>
      </c>
      <c r="R22" s="22" t="str">
        <f t="shared" si="0"/>
        <v>Switzerland</v>
      </c>
      <c r="S22" s="22">
        <f t="shared" si="1"/>
        <v>28784.846999999994</v>
      </c>
    </row>
    <row r="23" spans="15:19" x14ac:dyDescent="0.3">
      <c r="O23" s="16" t="s">
        <v>49</v>
      </c>
      <c r="P23" s="14">
        <v>14547.703999999998</v>
      </c>
      <c r="R23" s="22" t="str">
        <f t="shared" si="0"/>
        <v>United Kingdom</v>
      </c>
      <c r="S23" s="22">
        <f t="shared" si="1"/>
        <v>14547.703999999998</v>
      </c>
    </row>
    <row r="24" spans="15:19" x14ac:dyDescent="0.3">
      <c r="O24" s="16" t="s">
        <v>72</v>
      </c>
      <c r="P24" s="19">
        <v>332937.28500000003</v>
      </c>
      <c r="R24" s="20" t="str">
        <f t="shared" si="0"/>
        <v>Grand Total</v>
      </c>
      <c r="S24" s="20">
        <f t="shared" si="1"/>
        <v>332937.28500000003</v>
      </c>
    </row>
  </sheetData>
  <pageMargins left="0.7" right="0.7" top="0.75" bottom="0.75" header="0.3" footer="0.3"/>
  <pageSetup orientation="portrait"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68ABD-A1BC-45DC-B935-DDC373C26DC9}">
  <sheetPr>
    <tabColor theme="4" tint="-0.499984740745262"/>
  </sheetPr>
  <dimension ref="A1:AF57"/>
  <sheetViews>
    <sheetView showGridLines="0" tabSelected="1" zoomScale="67" zoomScaleNormal="85" workbookViewId="0">
      <selection activeCell="M41" sqref="M41"/>
    </sheetView>
  </sheetViews>
  <sheetFormatPr defaultRowHeight="14.4" x14ac:dyDescent="0.3"/>
  <sheetData>
    <row r="1" spans="1:32" x14ac:dyDescent="0.3">
      <c r="A1" s="13"/>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row>
    <row r="2" spans="1:32" x14ac:dyDescent="0.3">
      <c r="A2" s="13"/>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3"/>
    </row>
    <row r="3" spans="1:32" x14ac:dyDescent="0.3">
      <c r="A3" s="13"/>
      <c r="B3" s="13"/>
      <c r="C3" s="13"/>
      <c r="D3" s="13"/>
      <c r="E3" s="13"/>
      <c r="F3" s="13"/>
      <c r="G3" s="13"/>
      <c r="H3" s="13"/>
      <c r="I3" s="13"/>
      <c r="J3" s="13"/>
      <c r="K3" s="13"/>
      <c r="L3" s="13"/>
      <c r="M3" s="13"/>
      <c r="N3" s="13"/>
      <c r="O3" s="13"/>
      <c r="P3" s="13"/>
      <c r="Q3" s="13"/>
      <c r="R3" s="13"/>
      <c r="S3" s="13"/>
      <c r="T3" s="13"/>
      <c r="U3" s="13"/>
      <c r="V3" s="13"/>
      <c r="W3" s="13"/>
      <c r="X3" s="13"/>
      <c r="Y3" s="13"/>
      <c r="Z3" s="13"/>
      <c r="AA3" s="13"/>
      <c r="AB3" s="13"/>
      <c r="AC3" s="13"/>
      <c r="AD3" s="13"/>
      <c r="AE3" s="13"/>
      <c r="AF3" s="13"/>
    </row>
    <row r="4" spans="1:32" x14ac:dyDescent="0.3">
      <c r="A4" s="13"/>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row>
    <row r="5" spans="1:32" x14ac:dyDescent="0.3">
      <c r="A5" s="13"/>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row>
    <row r="6" spans="1:32" x14ac:dyDescent="0.3">
      <c r="A6" s="13"/>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row>
    <row r="7" spans="1:32" x14ac:dyDescent="0.3">
      <c r="A7" s="13"/>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row>
    <row r="8" spans="1:32" x14ac:dyDescent="0.3">
      <c r="A8" s="13"/>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row>
    <row r="9" spans="1:32" x14ac:dyDescent="0.3">
      <c r="A9" s="13"/>
      <c r="B9" s="13"/>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row>
    <row r="10" spans="1:32" x14ac:dyDescent="0.3">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row>
    <row r="11" spans="1:32" x14ac:dyDescent="0.3">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row>
    <row r="12" spans="1:32" x14ac:dyDescent="0.3">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row>
    <row r="13" spans="1:32" x14ac:dyDescent="0.3">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row>
    <row r="14" spans="1:32" x14ac:dyDescent="0.3">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row>
    <row r="15" spans="1:32" x14ac:dyDescent="0.3">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row>
    <row r="16" spans="1:32" x14ac:dyDescent="0.3">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row>
    <row r="17" spans="1:32" x14ac:dyDescent="0.3">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row>
    <row r="18" spans="1:32" x14ac:dyDescent="0.3">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row>
    <row r="19" spans="1:32" x14ac:dyDescent="0.3">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row>
    <row r="20" spans="1:32" x14ac:dyDescent="0.3">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row>
    <row r="21" spans="1:32" x14ac:dyDescent="0.3">
      <c r="A21" s="13"/>
      <c r="B21" s="13"/>
      <c r="C21" s="13"/>
      <c r="D21" s="13"/>
      <c r="E21" s="13"/>
      <c r="F21" s="13"/>
      <c r="G21" s="13"/>
      <c r="H21" s="13"/>
      <c r="I21" s="13"/>
      <c r="J21" s="13"/>
      <c r="K21" s="13"/>
      <c r="L21" s="13"/>
      <c r="M21" s="13"/>
      <c r="N21" s="13"/>
      <c r="O21" s="13"/>
      <c r="P21" s="13"/>
      <c r="Q21" s="13" t="s">
        <v>87</v>
      </c>
      <c r="R21" s="13"/>
      <c r="S21" s="13"/>
      <c r="T21" s="13"/>
      <c r="U21" s="13"/>
      <c r="V21" s="13"/>
      <c r="W21" s="13"/>
      <c r="X21" s="13"/>
      <c r="Y21" s="13"/>
      <c r="Z21" s="13"/>
      <c r="AA21" s="13"/>
      <c r="AB21" s="13"/>
      <c r="AC21" s="13"/>
      <c r="AD21" s="13"/>
      <c r="AE21" s="13"/>
      <c r="AF21" s="13"/>
    </row>
    <row r="22" spans="1:32" x14ac:dyDescent="0.3">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row>
    <row r="23" spans="1:32" x14ac:dyDescent="0.3">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row>
    <row r="24" spans="1:32" x14ac:dyDescent="0.3">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row>
    <row r="25" spans="1:32" x14ac:dyDescent="0.3">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row>
    <row r="26" spans="1:32" x14ac:dyDescent="0.3">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row>
    <row r="27" spans="1:32" x14ac:dyDescent="0.3">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row>
    <row r="28" spans="1:32" x14ac:dyDescent="0.3">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row>
    <row r="29" spans="1:32" x14ac:dyDescent="0.3">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row>
    <row r="30" spans="1:32" x14ac:dyDescent="0.3">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row>
    <row r="31" spans="1:32" x14ac:dyDescent="0.3">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row>
    <row r="32" spans="1:32" x14ac:dyDescent="0.3">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row>
    <row r="33" spans="1:32" x14ac:dyDescent="0.3">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row>
    <row r="34" spans="1:32" x14ac:dyDescent="0.3">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row>
    <row r="35" spans="1:32" x14ac:dyDescent="0.3">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row>
    <row r="36" spans="1:32" x14ac:dyDescent="0.3">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row>
    <row r="37" spans="1:32" x14ac:dyDescent="0.3">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row>
    <row r="38" spans="1:32" x14ac:dyDescent="0.3">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row>
    <row r="39" spans="1:32" x14ac:dyDescent="0.3">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row>
    <row r="40" spans="1:32" x14ac:dyDescent="0.3">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row>
    <row r="41" spans="1:32" x14ac:dyDescent="0.3">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row>
    <row r="42" spans="1:32" x14ac:dyDescent="0.3">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row>
    <row r="43" spans="1:32" x14ac:dyDescent="0.3">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row>
    <row r="44" spans="1:32" x14ac:dyDescent="0.3">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row>
    <row r="45" spans="1:32" x14ac:dyDescent="0.3">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row>
    <row r="46" spans="1:32" x14ac:dyDescent="0.3">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row>
    <row r="47" spans="1:32" x14ac:dyDescent="0.3">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row>
    <row r="48" spans="1:32" x14ac:dyDescent="0.3">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row>
    <row r="49" spans="1:32" x14ac:dyDescent="0.3">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row>
    <row r="50" spans="1:32" x14ac:dyDescent="0.3">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row>
    <row r="51" spans="1:32" x14ac:dyDescent="0.3">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row>
    <row r="52" spans="1:32" x14ac:dyDescent="0.3">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row>
    <row r="53" spans="1:32" x14ac:dyDescent="0.3">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row>
    <row r="54" spans="1:32" x14ac:dyDescent="0.3">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row>
    <row r="55" spans="1:32" x14ac:dyDescent="0.3">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row>
    <row r="56" spans="1:32" x14ac:dyDescent="0.3">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row>
    <row r="57" spans="1:32" x14ac:dyDescent="0.3">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Hunar</dc:creator>
  <cp:lastModifiedBy>Hunar</cp:lastModifiedBy>
  <dcterms:created xsi:type="dcterms:W3CDTF">2026-10-17T03:57:28Z</dcterms:created>
  <dcterms:modified xsi:type="dcterms:W3CDTF">2026-10-26T19:15:21Z</dcterms:modified>
</cp:coreProperties>
</file>